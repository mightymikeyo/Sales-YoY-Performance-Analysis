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might\Downloads\"/>
    </mc:Choice>
  </mc:AlternateContent>
  <xr:revisionPtr revIDLastSave="0" documentId="8_{6724D60F-7A17-4F9B-BC83-F5CF479AAA01}" xr6:coauthVersionLast="47" xr6:coauthVersionMax="47" xr10:uidLastSave="{00000000-0000-0000-0000-000000000000}"/>
  <bookViews>
    <workbookView xWindow="-110" yWindow="-110" windowWidth="19420" windowHeight="10300" tabRatio="458" xr2:uid="{00000000-000D-0000-FFFF-FFFF00000000}"/>
  </bookViews>
  <sheets>
    <sheet name="ReadMe" sheetId="85" r:id="rId1"/>
    <sheet name="Email" sheetId="73" r:id="rId2"/>
    <sheet name="Summary" sheetId="84" r:id="rId3"/>
    <sheet name="Forecast" sheetId="80" r:id="rId4"/>
    <sheet name="Pivot" sheetId="78" r:id="rId5"/>
    <sheet name="Volume Data" sheetId="72" r:id="rId6"/>
    <sheet name="EXT0070122021 (OG)" sheetId="76" state="hidden" r:id="rId7"/>
    <sheet name="Sheet3 (OG)" sheetId="74" state="hidden" r:id="rId8"/>
    <sheet name="Geo Data" sheetId="71" r:id="rId9"/>
    <sheet name="EXT0070122021 (OG) (2)" sheetId="77" state="hidden" r:id="rId10"/>
  </sheets>
  <calcPr calcId="191029"/>
  <pivotCaches>
    <pivotCache cacheId="24" r:id="rId11"/>
  </pivotCaches>
  <extLst>
    <ext xmlns:x15="http://schemas.microsoft.com/office/spreadsheetml/2010/11/main" uri="{FCE2AD5D-F65C-4FA6-A056-5C36A1767C68}">
      <x15:dataModel>
        <x15:modelTables>
          <x15:modelTable id="Table5_1caa84d4-627a-467d-8d94-702909f12bbd" name="Table5" connection="Query - Table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" i="72" l="1"/>
  <c r="S10" i="80"/>
  <c r="S11" i="80"/>
  <c r="S12" i="80"/>
  <c r="S8" i="80"/>
  <c r="Q9" i="80"/>
  <c r="Q10" i="80"/>
  <c r="Q11" i="80"/>
  <c r="Q12" i="80"/>
  <c r="C8" i="84" s="1"/>
  <c r="Q8" i="80"/>
  <c r="P9" i="80"/>
  <c r="P10" i="80"/>
  <c r="P11" i="80"/>
  <c r="P12" i="80"/>
  <c r="P8" i="80"/>
  <c r="N9" i="80"/>
  <c r="S9" i="80" s="1"/>
  <c r="N10" i="80"/>
  <c r="N11" i="80"/>
  <c r="N12" i="80"/>
  <c r="N8" i="80"/>
  <c r="M9" i="80"/>
  <c r="M10" i="80"/>
  <c r="M11" i="80"/>
  <c r="M12" i="80"/>
  <c r="M8" i="80"/>
  <c r="O46" i="80"/>
  <c r="P46" i="80"/>
  <c r="Q46" i="80"/>
  <c r="R46" i="80"/>
  <c r="S46" i="80"/>
  <c r="O47" i="80"/>
  <c r="P47" i="80"/>
  <c r="Q47" i="80"/>
  <c r="R47" i="80"/>
  <c r="S47" i="80"/>
  <c r="O48" i="80"/>
  <c r="P48" i="80"/>
  <c r="Q48" i="80"/>
  <c r="R48" i="80"/>
  <c r="S48" i="80"/>
  <c r="O49" i="80"/>
  <c r="P49" i="80"/>
  <c r="Q49" i="80"/>
  <c r="R49" i="80"/>
  <c r="S49" i="80"/>
  <c r="N47" i="80"/>
  <c r="N48" i="80"/>
  <c r="N49" i="80"/>
  <c r="N46" i="80"/>
  <c r="Y9" i="80"/>
  <c r="Z9" i="80"/>
  <c r="Y10" i="80"/>
  <c r="Z10" i="80"/>
  <c r="Y11" i="80"/>
  <c r="Z11" i="80"/>
  <c r="Y12" i="80"/>
  <c r="Z12" i="80"/>
  <c r="Y8" i="80"/>
  <c r="Z8" i="80"/>
  <c r="AB9" i="80"/>
  <c r="AB10" i="80"/>
  <c r="AB11" i="80"/>
  <c r="AB12" i="80"/>
  <c r="AB8" i="80"/>
  <c r="I40" i="78" a="1"/>
  <c r="I40" i="78" s="1"/>
  <c r="N4" i="72"/>
  <c r="N5" i="72"/>
  <c r="N6" i="72"/>
  <c r="N7" i="72"/>
  <c r="N3" i="72"/>
  <c r="H3" i="72"/>
  <c r="H4" i="72"/>
  <c r="H5" i="72"/>
  <c r="H6" i="72"/>
  <c r="H7" i="72"/>
  <c r="H8" i="72"/>
  <c r="H9" i="72"/>
  <c r="H10" i="72"/>
  <c r="H11" i="72"/>
  <c r="H12" i="72"/>
  <c r="H13" i="72"/>
  <c r="H14" i="72"/>
  <c r="H15" i="72"/>
  <c r="H16" i="72"/>
  <c r="H17" i="72"/>
  <c r="H18" i="72"/>
  <c r="H19" i="72"/>
  <c r="H20" i="72"/>
  <c r="H21" i="72"/>
  <c r="H22" i="72"/>
  <c r="H23" i="72"/>
  <c r="H24" i="72"/>
  <c r="H25" i="72"/>
  <c r="H26" i="72"/>
  <c r="H27" i="72"/>
  <c r="H28" i="72"/>
  <c r="H29" i="72"/>
  <c r="H30" i="72"/>
  <c r="H31" i="72"/>
  <c r="H32" i="72"/>
  <c r="H33" i="72"/>
  <c r="H34" i="72"/>
  <c r="H35" i="72"/>
  <c r="H36" i="72"/>
  <c r="H37" i="72"/>
  <c r="H38" i="72"/>
  <c r="H39" i="72"/>
  <c r="H40" i="72"/>
  <c r="H41" i="72"/>
  <c r="H42" i="72"/>
  <c r="H43" i="72"/>
  <c r="H44" i="72"/>
  <c r="H45" i="72"/>
  <c r="H46" i="72"/>
  <c r="H47" i="72"/>
  <c r="H48" i="72"/>
  <c r="H49" i="72"/>
  <c r="H50" i="72"/>
  <c r="H51" i="72"/>
  <c r="H52" i="72"/>
  <c r="H53" i="72"/>
  <c r="H54" i="72"/>
  <c r="H55" i="72"/>
  <c r="H56" i="72"/>
  <c r="H57" i="72"/>
  <c r="H58" i="72"/>
  <c r="H59" i="72"/>
  <c r="H60" i="72"/>
  <c r="H61" i="72"/>
  <c r="H62" i="72"/>
  <c r="H63" i="72"/>
  <c r="H64" i="72"/>
  <c r="H65" i="72"/>
  <c r="H66" i="72"/>
  <c r="H67" i="72"/>
  <c r="H68" i="72"/>
  <c r="H69" i="72"/>
  <c r="H70" i="72"/>
  <c r="H71" i="72"/>
  <c r="H72" i="72"/>
  <c r="H73" i="72"/>
  <c r="H74" i="72"/>
  <c r="H75" i="72"/>
  <c r="H76" i="72"/>
  <c r="H77" i="72"/>
  <c r="H78" i="72"/>
  <c r="H79" i="72"/>
  <c r="H80" i="72"/>
  <c r="H81" i="72"/>
  <c r="H82" i="72"/>
  <c r="H83" i="72"/>
  <c r="H84" i="72"/>
  <c r="H85" i="72"/>
  <c r="H86" i="72"/>
  <c r="H87" i="72"/>
  <c r="H88" i="72"/>
  <c r="H89" i="72"/>
  <c r="H90" i="72"/>
  <c r="H91" i="72"/>
  <c r="H92" i="72"/>
  <c r="H93" i="72"/>
  <c r="H94" i="72"/>
  <c r="H95" i="72"/>
  <c r="H96" i="72"/>
  <c r="H97" i="72"/>
  <c r="H98" i="72"/>
  <c r="H99" i="72"/>
  <c r="H100" i="72"/>
  <c r="H101" i="72"/>
  <c r="H102" i="72"/>
  <c r="H103" i="72"/>
  <c r="H104" i="72"/>
  <c r="H105" i="72"/>
  <c r="H106" i="72"/>
  <c r="H107" i="72"/>
  <c r="H108" i="72"/>
  <c r="H109" i="72"/>
  <c r="H110" i="72"/>
  <c r="H111" i="72"/>
  <c r="H112" i="72"/>
  <c r="H113" i="72"/>
  <c r="H114" i="72"/>
  <c r="H115" i="72"/>
  <c r="H116" i="72"/>
  <c r="H117" i="72"/>
  <c r="H118" i="72"/>
  <c r="H119" i="72"/>
  <c r="H120" i="72"/>
  <c r="H121" i="72"/>
  <c r="H122" i="72"/>
  <c r="H123" i="72"/>
  <c r="H124" i="72"/>
  <c r="H125" i="72"/>
  <c r="H126" i="72"/>
  <c r="H127" i="72"/>
  <c r="H128" i="72"/>
  <c r="H129" i="72"/>
  <c r="H130" i="72"/>
  <c r="H131" i="72"/>
  <c r="H132" i="72"/>
  <c r="H133" i="72"/>
  <c r="H134" i="72"/>
  <c r="H135" i="72"/>
  <c r="H136" i="72"/>
  <c r="H137" i="72"/>
  <c r="H138" i="72"/>
  <c r="H139" i="72"/>
  <c r="H140" i="72"/>
  <c r="H141" i="72"/>
  <c r="H142" i="72"/>
  <c r="H143" i="72"/>
  <c r="H144" i="72"/>
  <c r="H145" i="72"/>
  <c r="H146" i="72"/>
  <c r="H147" i="72"/>
  <c r="H148" i="72"/>
  <c r="H149" i="72"/>
  <c r="H150" i="72"/>
  <c r="H151" i="72"/>
  <c r="H152" i="72"/>
  <c r="H153" i="72"/>
  <c r="H154" i="72"/>
  <c r="H155" i="72"/>
  <c r="H156" i="72"/>
  <c r="H157" i="72"/>
  <c r="H158" i="72"/>
  <c r="H159" i="72"/>
  <c r="H160" i="72"/>
  <c r="H161" i="72"/>
  <c r="H162" i="72"/>
  <c r="H163" i="72"/>
  <c r="H164" i="72"/>
  <c r="H165" i="72"/>
  <c r="H166" i="72"/>
  <c r="H167" i="72"/>
  <c r="H168" i="72"/>
  <c r="H169" i="72"/>
  <c r="H170" i="72"/>
  <c r="H171" i="72"/>
  <c r="H172" i="72"/>
  <c r="H173" i="72"/>
  <c r="H174" i="72"/>
  <c r="H175" i="72"/>
  <c r="H176" i="72"/>
  <c r="H177" i="72"/>
  <c r="H178" i="72"/>
  <c r="H179" i="72"/>
  <c r="H180" i="72"/>
  <c r="H181" i="72"/>
  <c r="H182" i="72"/>
  <c r="H183" i="72"/>
  <c r="H184" i="72"/>
  <c r="H185" i="72"/>
  <c r="H186" i="72"/>
  <c r="H187" i="72"/>
  <c r="H188" i="72"/>
  <c r="H189" i="72"/>
  <c r="H190" i="72"/>
  <c r="H191" i="72"/>
  <c r="H192" i="72"/>
  <c r="H193" i="72"/>
  <c r="H194" i="72"/>
  <c r="H195" i="72"/>
  <c r="H196" i="72"/>
  <c r="H197" i="72"/>
  <c r="H198" i="72"/>
  <c r="H199" i="72"/>
  <c r="H200" i="72"/>
  <c r="H201" i="72"/>
  <c r="H202" i="72"/>
  <c r="H203" i="72"/>
  <c r="H204" i="72"/>
  <c r="H205" i="72"/>
  <c r="H206" i="72"/>
  <c r="H207" i="72"/>
  <c r="H208" i="72"/>
  <c r="H209" i="72"/>
  <c r="H210" i="72"/>
  <c r="H211" i="72"/>
  <c r="H212" i="72"/>
  <c r="H213" i="72"/>
  <c r="H214" i="72"/>
  <c r="H215" i="72"/>
  <c r="H216" i="72"/>
  <c r="H217" i="72"/>
  <c r="H218" i="72"/>
  <c r="H219" i="72"/>
  <c r="H220" i="72"/>
  <c r="H221" i="72"/>
  <c r="H222" i="72"/>
  <c r="H223" i="72"/>
  <c r="H224" i="72"/>
  <c r="H225" i="72"/>
  <c r="H226" i="72"/>
  <c r="H227" i="72"/>
  <c r="H228" i="72"/>
  <c r="H229" i="72"/>
  <c r="H230" i="72"/>
  <c r="H231" i="72"/>
  <c r="H232" i="72"/>
  <c r="H233" i="72"/>
  <c r="H234" i="72"/>
  <c r="H235" i="72"/>
  <c r="H236" i="72"/>
  <c r="H237" i="72"/>
  <c r="H238" i="72"/>
  <c r="H239" i="72"/>
  <c r="H240" i="72"/>
  <c r="H241" i="72"/>
  <c r="H242" i="72"/>
  <c r="H243" i="72"/>
  <c r="H244" i="72"/>
  <c r="H245" i="72"/>
  <c r="H246" i="72"/>
  <c r="H247" i="72"/>
  <c r="H248" i="72"/>
  <c r="H249" i="72"/>
  <c r="H250" i="72"/>
  <c r="H251" i="72"/>
  <c r="H252" i="72"/>
  <c r="H253" i="72"/>
  <c r="H254" i="72"/>
  <c r="H255" i="72"/>
  <c r="H256" i="72"/>
  <c r="H257" i="72"/>
  <c r="H258" i="72"/>
  <c r="H259" i="72"/>
  <c r="H260" i="72"/>
  <c r="H261" i="72"/>
  <c r="H262" i="72"/>
  <c r="H263" i="72"/>
  <c r="H264" i="72"/>
  <c r="H265" i="72"/>
  <c r="H266" i="72"/>
  <c r="H267" i="72"/>
  <c r="H268" i="72"/>
  <c r="H269" i="72"/>
  <c r="H270" i="72"/>
  <c r="H271" i="72"/>
  <c r="H272" i="72"/>
  <c r="H273" i="72"/>
  <c r="H274" i="72"/>
  <c r="H275" i="72"/>
  <c r="H276" i="72"/>
  <c r="H277" i="72"/>
  <c r="H278" i="72"/>
  <c r="H279" i="72"/>
  <c r="H280" i="72"/>
  <c r="H281" i="72"/>
  <c r="H282" i="72"/>
  <c r="H283" i="72"/>
  <c r="H284" i="72"/>
  <c r="H285" i="72"/>
  <c r="H286" i="72"/>
  <c r="H287" i="72"/>
  <c r="H288" i="72"/>
  <c r="H289" i="72"/>
  <c r="H290" i="72"/>
  <c r="H291" i="72"/>
  <c r="H292" i="72"/>
  <c r="H293" i="72"/>
  <c r="H294" i="72"/>
  <c r="H295" i="72"/>
  <c r="H296" i="72"/>
  <c r="H297" i="72"/>
  <c r="H298" i="72"/>
  <c r="H299" i="72"/>
  <c r="H300" i="72"/>
  <c r="H301" i="72"/>
  <c r="H302" i="72"/>
  <c r="H303" i="72"/>
  <c r="H304" i="72"/>
  <c r="H305" i="72"/>
  <c r="H306" i="72"/>
  <c r="H307" i="72"/>
  <c r="H308" i="72"/>
  <c r="H309" i="72"/>
  <c r="H310" i="72"/>
  <c r="H311" i="72"/>
  <c r="H312" i="72"/>
  <c r="H313" i="72"/>
  <c r="H314" i="72"/>
  <c r="H315" i="72"/>
  <c r="H316" i="72"/>
  <c r="H317" i="72"/>
  <c r="H318" i="72"/>
  <c r="H319" i="72"/>
  <c r="H320" i="72"/>
  <c r="H321" i="72"/>
  <c r="H322" i="72"/>
  <c r="H323" i="72"/>
  <c r="H324" i="72"/>
  <c r="H325" i="72"/>
  <c r="H326" i="72"/>
  <c r="H327" i="72"/>
  <c r="H328" i="72"/>
  <c r="H329" i="72"/>
  <c r="H330" i="72"/>
  <c r="H331" i="72"/>
  <c r="H332" i="72"/>
  <c r="H333" i="72"/>
  <c r="H334" i="72"/>
  <c r="H335" i="72"/>
  <c r="H336" i="72"/>
  <c r="H337" i="72"/>
  <c r="H338" i="72"/>
  <c r="H339" i="72"/>
  <c r="H340" i="72"/>
  <c r="H341" i="72"/>
  <c r="H342" i="72"/>
  <c r="H343" i="72"/>
  <c r="H344" i="72"/>
  <c r="H345" i="72"/>
  <c r="H346" i="72"/>
  <c r="H347" i="72"/>
  <c r="H348" i="72"/>
  <c r="H349" i="72"/>
  <c r="H350" i="72"/>
  <c r="H351" i="72"/>
  <c r="H352" i="72"/>
  <c r="H353" i="72"/>
  <c r="H354" i="72"/>
  <c r="H355" i="72"/>
  <c r="H356" i="72"/>
  <c r="H357" i="72"/>
  <c r="H358" i="72"/>
  <c r="H359" i="72"/>
  <c r="H360" i="72"/>
  <c r="H361" i="72"/>
  <c r="H362" i="72"/>
  <c r="H363" i="72"/>
  <c r="H364" i="72"/>
  <c r="H365" i="72"/>
  <c r="H366" i="72"/>
  <c r="H367" i="72"/>
  <c r="H368" i="72"/>
  <c r="H369" i="72"/>
  <c r="H370" i="72"/>
  <c r="H371" i="72"/>
  <c r="H372" i="72"/>
  <c r="H373" i="72"/>
  <c r="H374" i="72"/>
  <c r="H375" i="72"/>
  <c r="H376" i="72"/>
  <c r="H377" i="72"/>
  <c r="H378" i="72"/>
  <c r="H379" i="72"/>
  <c r="H380" i="72"/>
  <c r="H381" i="72"/>
  <c r="H382" i="72"/>
  <c r="H383" i="72"/>
  <c r="H384" i="72"/>
  <c r="H385" i="72"/>
  <c r="H386" i="72"/>
  <c r="H387" i="72"/>
  <c r="H388" i="72"/>
  <c r="H389" i="72"/>
  <c r="H390" i="72"/>
  <c r="H391" i="72"/>
  <c r="H392" i="72"/>
  <c r="H393" i="72"/>
  <c r="H394" i="72"/>
  <c r="H395" i="72"/>
  <c r="H396" i="72"/>
  <c r="H397" i="72"/>
  <c r="H398" i="72"/>
  <c r="H399" i="72"/>
  <c r="H400" i="72"/>
  <c r="H401" i="72"/>
  <c r="H402" i="72"/>
  <c r="H403" i="72"/>
  <c r="H404" i="72"/>
  <c r="H405" i="72"/>
  <c r="H406" i="72"/>
  <c r="H407" i="72"/>
  <c r="H408" i="72"/>
  <c r="H409" i="72"/>
  <c r="H410" i="72"/>
  <c r="H411" i="72"/>
  <c r="H412" i="72"/>
  <c r="H413" i="72"/>
  <c r="H414" i="72"/>
  <c r="H415" i="72"/>
  <c r="H416" i="72"/>
  <c r="H417" i="72"/>
  <c r="H418" i="72"/>
  <c r="H419" i="72"/>
  <c r="H420" i="72"/>
  <c r="H421" i="72"/>
  <c r="H422" i="72"/>
  <c r="H423" i="72"/>
  <c r="H424" i="72"/>
  <c r="H425" i="72"/>
  <c r="H426" i="72"/>
  <c r="H427" i="72"/>
  <c r="H428" i="72"/>
  <c r="H429" i="72"/>
  <c r="H430" i="72"/>
  <c r="H431" i="72"/>
  <c r="H432" i="72"/>
  <c r="H433" i="72"/>
  <c r="H434" i="72"/>
  <c r="H435" i="72"/>
  <c r="H436" i="72"/>
  <c r="H437" i="72"/>
  <c r="H438" i="72"/>
  <c r="H439" i="72"/>
  <c r="H440" i="72"/>
  <c r="H441" i="72"/>
  <c r="H442" i="72"/>
  <c r="H443" i="72"/>
  <c r="H444" i="72"/>
  <c r="H445" i="72"/>
  <c r="H446" i="72"/>
  <c r="H447" i="72"/>
  <c r="H448" i="72"/>
  <c r="H449" i="72"/>
  <c r="H450" i="72"/>
  <c r="H451" i="72"/>
  <c r="H452" i="72"/>
  <c r="H453" i="72"/>
  <c r="H454" i="72"/>
  <c r="H455" i="72"/>
  <c r="H456" i="72"/>
  <c r="H457" i="72"/>
  <c r="H458" i="72"/>
  <c r="H459" i="72"/>
  <c r="H460" i="72"/>
  <c r="H461" i="72"/>
  <c r="H462" i="72"/>
  <c r="H463" i="72"/>
  <c r="H464" i="72"/>
  <c r="H465" i="72"/>
  <c r="H466" i="72"/>
  <c r="H467" i="72"/>
  <c r="H468" i="72"/>
  <c r="H469" i="72"/>
  <c r="H470" i="72"/>
  <c r="H471" i="72"/>
  <c r="H472" i="72"/>
  <c r="H473" i="72"/>
  <c r="H474" i="72"/>
  <c r="H475" i="72"/>
  <c r="H476" i="72"/>
  <c r="H477" i="72"/>
  <c r="H478" i="72"/>
  <c r="H479" i="72"/>
  <c r="H480" i="72"/>
  <c r="H481" i="72"/>
  <c r="H482" i="72"/>
  <c r="H483" i="72"/>
  <c r="H484" i="72"/>
  <c r="H485" i="72"/>
  <c r="H486" i="72"/>
  <c r="H487" i="72"/>
  <c r="H488" i="72"/>
  <c r="H489" i="72"/>
  <c r="H490" i="72"/>
  <c r="H491" i="72"/>
  <c r="H492" i="72"/>
  <c r="H493" i="72"/>
  <c r="H494" i="72"/>
  <c r="H495" i="72"/>
  <c r="H496" i="72"/>
  <c r="H497" i="72"/>
  <c r="H498" i="72"/>
  <c r="H499" i="72"/>
  <c r="H500" i="72"/>
  <c r="H501" i="72"/>
  <c r="H502" i="72"/>
  <c r="H503" i="72"/>
  <c r="H504" i="72"/>
  <c r="H505" i="72"/>
  <c r="H506" i="72"/>
  <c r="H507" i="72"/>
  <c r="H508" i="72"/>
  <c r="H509" i="72"/>
  <c r="H510" i="72"/>
  <c r="H511" i="72"/>
  <c r="H512" i="72"/>
  <c r="H513" i="72"/>
  <c r="H514" i="72"/>
  <c r="H515" i="72"/>
  <c r="H516" i="72"/>
  <c r="H517" i="72"/>
  <c r="H518" i="72"/>
  <c r="H519" i="72"/>
  <c r="H520" i="72"/>
  <c r="H521" i="72"/>
  <c r="H522" i="72"/>
  <c r="H523" i="72"/>
  <c r="H524" i="72"/>
  <c r="H525" i="72"/>
  <c r="H526" i="72"/>
  <c r="H527" i="72"/>
  <c r="H528" i="72"/>
  <c r="H529" i="72"/>
  <c r="H530" i="72"/>
  <c r="H531" i="72"/>
  <c r="H532" i="72"/>
  <c r="H533" i="72"/>
  <c r="H534" i="72"/>
  <c r="H535" i="72"/>
  <c r="H536" i="72"/>
  <c r="H537" i="72"/>
  <c r="H538" i="72"/>
  <c r="H539" i="72"/>
  <c r="H540" i="72"/>
  <c r="H541" i="72"/>
  <c r="H542" i="72"/>
  <c r="H543" i="72"/>
  <c r="H544" i="72"/>
  <c r="H545" i="72"/>
  <c r="H546" i="72"/>
  <c r="H547" i="72"/>
  <c r="H548" i="72"/>
  <c r="H549" i="72"/>
  <c r="H550" i="72"/>
  <c r="H551" i="72"/>
  <c r="H552" i="72"/>
  <c r="H553" i="72"/>
  <c r="H554" i="72"/>
  <c r="H555" i="72"/>
  <c r="H556" i="72"/>
  <c r="H557" i="72"/>
  <c r="H558" i="72"/>
  <c r="H559" i="72"/>
  <c r="H560" i="72"/>
  <c r="H561" i="72"/>
  <c r="H562" i="72"/>
  <c r="H563" i="72"/>
  <c r="H564" i="72"/>
  <c r="H565" i="72"/>
  <c r="H566" i="72"/>
  <c r="H567" i="72"/>
  <c r="H568" i="72"/>
  <c r="H569" i="72"/>
  <c r="H570" i="72"/>
  <c r="H571" i="72"/>
  <c r="H572" i="72"/>
  <c r="H573" i="72"/>
  <c r="H574" i="72"/>
  <c r="H575" i="72"/>
  <c r="H576" i="72"/>
  <c r="H577" i="72"/>
  <c r="H578" i="72"/>
  <c r="H579" i="72"/>
  <c r="H580" i="72"/>
  <c r="H581" i="72"/>
  <c r="H582" i="72"/>
  <c r="H583" i="72"/>
  <c r="H584" i="72"/>
  <c r="H585" i="72"/>
  <c r="H586" i="72"/>
  <c r="H587" i="72"/>
  <c r="H588" i="72"/>
  <c r="H589" i="72"/>
  <c r="H590" i="72"/>
  <c r="H591" i="72"/>
  <c r="H592" i="72"/>
  <c r="H593" i="72"/>
  <c r="H594" i="72"/>
  <c r="H595" i="72"/>
  <c r="H596" i="72"/>
  <c r="H597" i="72"/>
  <c r="H598" i="72"/>
  <c r="H599" i="72"/>
  <c r="H600" i="72"/>
  <c r="H601" i="72"/>
  <c r="H602" i="72"/>
  <c r="H603" i="72"/>
  <c r="H604" i="72"/>
  <c r="H605" i="72"/>
  <c r="H606" i="72"/>
  <c r="H607" i="72"/>
  <c r="H608" i="72"/>
  <c r="H609" i="72"/>
  <c r="H610" i="72"/>
  <c r="H611" i="72"/>
  <c r="H612" i="72"/>
  <c r="H613" i="72"/>
  <c r="H614" i="72"/>
  <c r="H615" i="72"/>
  <c r="H616" i="72"/>
  <c r="H617" i="72"/>
  <c r="H618" i="72"/>
  <c r="H619" i="72"/>
  <c r="H620" i="72"/>
  <c r="H621" i="72"/>
  <c r="H622" i="72"/>
  <c r="H623" i="72"/>
  <c r="H624" i="72"/>
  <c r="H625" i="72"/>
  <c r="H626" i="72"/>
  <c r="H627" i="72"/>
  <c r="H628" i="72"/>
  <c r="H629" i="72"/>
  <c r="H630" i="72"/>
  <c r="H631" i="72"/>
  <c r="H632" i="72"/>
  <c r="H633" i="72"/>
  <c r="H634" i="72"/>
  <c r="H635" i="72"/>
  <c r="H636" i="72"/>
  <c r="H637" i="72"/>
  <c r="H638" i="72"/>
  <c r="H639" i="72"/>
  <c r="H640" i="72"/>
  <c r="H641" i="72"/>
  <c r="H642" i="72"/>
  <c r="H643" i="72"/>
  <c r="H644" i="72"/>
  <c r="H645" i="72"/>
  <c r="H646" i="72"/>
  <c r="H647" i="72"/>
  <c r="H648" i="72"/>
  <c r="H649" i="72"/>
  <c r="H650" i="72"/>
  <c r="H651" i="72"/>
  <c r="H652" i="72"/>
  <c r="H653" i="72"/>
  <c r="H654" i="72"/>
  <c r="H655" i="72"/>
  <c r="H656" i="72"/>
  <c r="H657" i="72"/>
  <c r="H658" i="72"/>
  <c r="H659" i="72"/>
  <c r="H660" i="72"/>
  <c r="H661" i="72"/>
  <c r="H662" i="72"/>
  <c r="H663" i="72"/>
  <c r="H664" i="72"/>
  <c r="H665" i="72"/>
  <c r="H666" i="72"/>
  <c r="H667" i="72"/>
  <c r="H668" i="72"/>
  <c r="H669" i="72"/>
  <c r="H670" i="72"/>
  <c r="H671" i="72"/>
  <c r="H672" i="72"/>
  <c r="H673" i="72"/>
  <c r="H674" i="72"/>
  <c r="H675" i="72"/>
  <c r="H676" i="72"/>
  <c r="H677" i="72"/>
  <c r="H678" i="72"/>
  <c r="H679" i="72"/>
  <c r="H680" i="72"/>
  <c r="H681" i="72"/>
  <c r="H682" i="72"/>
  <c r="H683" i="72"/>
  <c r="H684" i="72"/>
  <c r="H685" i="72"/>
  <c r="H686" i="72"/>
  <c r="H687" i="72"/>
  <c r="H688" i="72"/>
  <c r="H689" i="72"/>
  <c r="H690" i="72"/>
  <c r="H691" i="72"/>
  <c r="H692" i="72"/>
  <c r="H693" i="72"/>
  <c r="H694" i="72"/>
  <c r="H695" i="72"/>
  <c r="H696" i="72"/>
  <c r="H697" i="72"/>
  <c r="H698" i="72"/>
  <c r="H699" i="72"/>
  <c r="H700" i="72"/>
  <c r="H701" i="72"/>
  <c r="H702" i="72"/>
  <c r="H703" i="72"/>
  <c r="H704" i="72"/>
  <c r="H705" i="72"/>
  <c r="H706" i="72"/>
  <c r="H707" i="72"/>
  <c r="H708" i="72"/>
  <c r="H709" i="72"/>
  <c r="H710" i="72"/>
  <c r="H711" i="72"/>
  <c r="H712" i="72"/>
  <c r="H713" i="72"/>
  <c r="H714" i="72"/>
  <c r="H715" i="72"/>
  <c r="H716" i="72"/>
  <c r="H717" i="72"/>
  <c r="H718" i="72"/>
  <c r="H719" i="72"/>
  <c r="H720" i="72"/>
  <c r="H721" i="72"/>
  <c r="H722" i="72"/>
  <c r="H723" i="72"/>
  <c r="H724" i="72"/>
  <c r="H725" i="72"/>
  <c r="H726" i="72"/>
  <c r="H727" i="72"/>
  <c r="H728" i="72"/>
  <c r="H729" i="72"/>
  <c r="H730" i="72"/>
  <c r="H731" i="72"/>
  <c r="H732" i="72"/>
  <c r="H733" i="72"/>
  <c r="H734" i="72"/>
  <c r="H735" i="72"/>
  <c r="H736" i="72"/>
  <c r="H737" i="72"/>
  <c r="H738" i="72"/>
  <c r="H739" i="72"/>
  <c r="H740" i="72"/>
  <c r="H741" i="72"/>
  <c r="H742" i="72"/>
  <c r="H743" i="72"/>
  <c r="H744" i="72"/>
  <c r="H745" i="72"/>
  <c r="H746" i="72"/>
  <c r="H747" i="72"/>
  <c r="H748" i="72"/>
  <c r="H749" i="72"/>
  <c r="H750" i="72"/>
  <c r="H751" i="72"/>
  <c r="H752" i="72"/>
  <c r="H753" i="72"/>
  <c r="H754" i="72"/>
  <c r="H755" i="72"/>
  <c r="H756" i="72"/>
  <c r="H757" i="72"/>
  <c r="H758" i="72"/>
  <c r="H759" i="72"/>
  <c r="H760" i="72"/>
  <c r="H761" i="72"/>
  <c r="H762" i="72"/>
  <c r="H763" i="72"/>
  <c r="H764" i="72"/>
  <c r="H765" i="72"/>
  <c r="H766" i="72"/>
  <c r="H767" i="72"/>
  <c r="H768" i="72"/>
  <c r="H769" i="72"/>
  <c r="H770" i="72"/>
  <c r="H771" i="72"/>
  <c r="H772" i="72"/>
  <c r="H773" i="72"/>
  <c r="H774" i="72"/>
  <c r="H775" i="72"/>
  <c r="H776" i="72"/>
  <c r="H777" i="72"/>
  <c r="H778" i="72"/>
  <c r="H779" i="72"/>
  <c r="H780" i="72"/>
  <c r="H781" i="72"/>
  <c r="H782" i="72"/>
  <c r="H783" i="72"/>
  <c r="H784" i="72"/>
  <c r="H785" i="72"/>
  <c r="H786" i="72"/>
  <c r="H787" i="72"/>
  <c r="H788" i="72"/>
  <c r="H789" i="72"/>
  <c r="H790" i="72"/>
  <c r="H791" i="72"/>
  <c r="H792" i="72"/>
  <c r="H793" i="72"/>
  <c r="H794" i="72"/>
  <c r="H795" i="72"/>
  <c r="H796" i="72"/>
  <c r="H797" i="72"/>
  <c r="H798" i="72"/>
  <c r="H799" i="72"/>
  <c r="H800" i="72"/>
  <c r="H801" i="72"/>
  <c r="H802" i="72"/>
  <c r="H803" i="72"/>
  <c r="H804" i="72"/>
  <c r="H805" i="72"/>
  <c r="H806" i="72"/>
  <c r="H807" i="72"/>
  <c r="H808" i="72"/>
  <c r="H809" i="72"/>
  <c r="H810" i="72"/>
  <c r="H811" i="72"/>
  <c r="H812" i="72"/>
  <c r="H813" i="72"/>
  <c r="H814" i="72"/>
  <c r="H815" i="72"/>
  <c r="H816" i="72"/>
  <c r="H817" i="72"/>
  <c r="H818" i="72"/>
  <c r="H819" i="72"/>
  <c r="H820" i="72"/>
  <c r="H821" i="72"/>
  <c r="H822" i="72"/>
  <c r="H823" i="72"/>
  <c r="H824" i="72"/>
  <c r="H825" i="72"/>
  <c r="H826" i="72"/>
  <c r="H827" i="72"/>
  <c r="H828" i="72"/>
  <c r="H829" i="72"/>
  <c r="H830" i="72"/>
  <c r="H831" i="72"/>
  <c r="H832" i="72"/>
  <c r="H833" i="72"/>
  <c r="H834" i="72"/>
  <c r="H835" i="72"/>
  <c r="H836" i="72"/>
  <c r="H837" i="72"/>
  <c r="H838" i="72"/>
  <c r="H839" i="72"/>
  <c r="H840" i="72"/>
  <c r="H841" i="72"/>
  <c r="H842" i="72"/>
  <c r="H843" i="72"/>
  <c r="H844" i="72"/>
  <c r="H845" i="72"/>
  <c r="H846" i="72"/>
  <c r="H847" i="72"/>
  <c r="H848" i="72"/>
  <c r="H849" i="72"/>
  <c r="H850" i="72"/>
  <c r="H851" i="72"/>
  <c r="H852" i="72"/>
  <c r="H853" i="72"/>
  <c r="H854" i="72"/>
  <c r="H855" i="72"/>
  <c r="H856" i="72"/>
  <c r="H857" i="72"/>
  <c r="H858" i="72"/>
  <c r="H859" i="72"/>
  <c r="H860" i="72"/>
  <c r="H861" i="72"/>
  <c r="H862" i="72"/>
  <c r="H863" i="72"/>
  <c r="H864" i="72"/>
  <c r="H865" i="72"/>
  <c r="H866" i="72"/>
  <c r="H867" i="72"/>
  <c r="H868" i="72"/>
  <c r="H869" i="72"/>
  <c r="H870" i="72"/>
  <c r="H871" i="72"/>
  <c r="H872" i="72"/>
  <c r="H873" i="72"/>
  <c r="H874" i="72"/>
  <c r="H875" i="72"/>
  <c r="H876" i="72"/>
  <c r="H877" i="72"/>
  <c r="H878" i="72"/>
  <c r="H879" i="72"/>
  <c r="H880" i="72"/>
  <c r="H881" i="72"/>
  <c r="H882" i="72"/>
  <c r="H883" i="72"/>
  <c r="H884" i="72"/>
  <c r="H885" i="72"/>
  <c r="H886" i="72"/>
  <c r="H887" i="72"/>
  <c r="H888" i="72"/>
  <c r="H889" i="72"/>
  <c r="H890" i="72"/>
  <c r="H891" i="72"/>
  <c r="H892" i="72"/>
  <c r="H893" i="72"/>
  <c r="H894" i="72"/>
  <c r="H895" i="72"/>
  <c r="H896" i="72"/>
  <c r="H897" i="72"/>
  <c r="H898" i="72"/>
  <c r="H899" i="72"/>
  <c r="H900" i="72"/>
  <c r="H901" i="72"/>
  <c r="H902" i="72"/>
  <c r="H903" i="72"/>
  <c r="H904" i="72"/>
  <c r="H905" i="72"/>
  <c r="H906" i="72"/>
  <c r="H907" i="72"/>
  <c r="H908" i="72"/>
  <c r="E436" i="72"/>
  <c r="G436" i="72" s="1"/>
  <c r="E500" i="72"/>
  <c r="G500" i="72" s="1"/>
  <c r="E540" i="72"/>
  <c r="G540" i="72" s="1"/>
  <c r="E584" i="72"/>
  <c r="G584" i="72" s="1"/>
  <c r="E620" i="72"/>
  <c r="G620" i="72" s="1"/>
  <c r="E652" i="72"/>
  <c r="G652" i="72" s="1"/>
  <c r="E676" i="72"/>
  <c r="G676" i="72" s="1"/>
  <c r="E699" i="72"/>
  <c r="G699" i="72" s="1"/>
  <c r="E716" i="72"/>
  <c r="G716" i="72" s="1"/>
  <c r="E732" i="72"/>
  <c r="G732" i="72" s="1"/>
  <c r="E748" i="72"/>
  <c r="G748" i="72" s="1"/>
  <c r="E764" i="72"/>
  <c r="G764" i="72" s="1"/>
  <c r="E780" i="72"/>
  <c r="G780" i="72" s="1"/>
  <c r="E796" i="72"/>
  <c r="G796" i="72" s="1"/>
  <c r="E812" i="72"/>
  <c r="G812" i="72" s="1"/>
  <c r="E828" i="72"/>
  <c r="G828" i="72" s="1"/>
  <c r="E844" i="72"/>
  <c r="G844" i="72" s="1"/>
  <c r="E860" i="72"/>
  <c r="G860" i="72" s="1"/>
  <c r="E876" i="72"/>
  <c r="G876" i="72" s="1"/>
  <c r="E892" i="72"/>
  <c r="G892" i="72" s="1"/>
  <c r="E908" i="72"/>
  <c r="G908" i="72" s="1"/>
  <c r="D2" i="71"/>
  <c r="E2" i="71"/>
  <c r="E3" i="71"/>
  <c r="E4" i="71"/>
  <c r="E5" i="71"/>
  <c r="E6" i="71"/>
  <c r="E7" i="71"/>
  <c r="E8" i="71"/>
  <c r="E9" i="71"/>
  <c r="E10" i="71"/>
  <c r="E11" i="71"/>
  <c r="E12" i="71"/>
  <c r="E13" i="71"/>
  <c r="E14" i="71"/>
  <c r="E15" i="71"/>
  <c r="E16" i="71"/>
  <c r="E17" i="71"/>
  <c r="E18" i="71"/>
  <c r="E19" i="71"/>
  <c r="E20" i="71"/>
  <c r="E21" i="71"/>
  <c r="E22" i="71"/>
  <c r="E23" i="71"/>
  <c r="E24" i="71"/>
  <c r="E25" i="71"/>
  <c r="E26" i="71"/>
  <c r="E27" i="71"/>
  <c r="E28" i="71"/>
  <c r="E29" i="71"/>
  <c r="E30" i="71"/>
  <c r="E31" i="71"/>
  <c r="E32" i="71"/>
  <c r="E33" i="71"/>
  <c r="E34" i="71"/>
  <c r="E35" i="71"/>
  <c r="E36" i="71"/>
  <c r="E37" i="71"/>
  <c r="E38" i="71"/>
  <c r="E39" i="71"/>
  <c r="E40" i="71"/>
  <c r="E41" i="71"/>
  <c r="E42" i="71"/>
  <c r="E43" i="71"/>
  <c r="E44" i="71"/>
  <c r="E45" i="71"/>
  <c r="E46" i="71"/>
  <c r="E47" i="71"/>
  <c r="E48" i="71"/>
  <c r="E49" i="71"/>
  <c r="E50" i="71"/>
  <c r="E51" i="71"/>
  <c r="E52" i="71"/>
  <c r="E53" i="71"/>
  <c r="E54" i="71"/>
  <c r="D3" i="71"/>
  <c r="D4" i="71"/>
  <c r="D5" i="71"/>
  <c r="D6" i="71"/>
  <c r="D7" i="71"/>
  <c r="D8" i="71"/>
  <c r="D9" i="71"/>
  <c r="D10" i="71"/>
  <c r="D11" i="71"/>
  <c r="D12" i="71"/>
  <c r="D13" i="71"/>
  <c r="D14" i="71"/>
  <c r="D15" i="71"/>
  <c r="D16" i="71"/>
  <c r="D17" i="71"/>
  <c r="D18" i="71"/>
  <c r="D19" i="71"/>
  <c r="D20" i="71"/>
  <c r="D21" i="71"/>
  <c r="D22" i="71"/>
  <c r="D23" i="71"/>
  <c r="D24" i="71"/>
  <c r="D25" i="71"/>
  <c r="D26" i="71"/>
  <c r="D27" i="71"/>
  <c r="D28" i="71"/>
  <c r="D29" i="71"/>
  <c r="D30" i="71"/>
  <c r="D31" i="71"/>
  <c r="D32" i="71"/>
  <c r="D33" i="71"/>
  <c r="D34" i="71"/>
  <c r="D35" i="71"/>
  <c r="D36" i="71"/>
  <c r="D37" i="71"/>
  <c r="D38" i="71"/>
  <c r="D39" i="71"/>
  <c r="D40" i="71"/>
  <c r="D41" i="71"/>
  <c r="D42" i="71"/>
  <c r="D43" i="71"/>
  <c r="D44" i="71"/>
  <c r="D45" i="71"/>
  <c r="D46" i="71"/>
  <c r="D47" i="71"/>
  <c r="D48" i="71"/>
  <c r="D49" i="71"/>
  <c r="D50" i="71"/>
  <c r="D51" i="71"/>
  <c r="D52" i="71"/>
  <c r="D53" i="71"/>
  <c r="D54" i="71"/>
  <c r="D2" i="77"/>
  <c r="D3" i="77"/>
  <c r="D4" i="77"/>
  <c r="D5" i="77"/>
  <c r="D6" i="77"/>
  <c r="D7" i="77"/>
  <c r="D8" i="77"/>
  <c r="D9" i="77"/>
  <c r="D10" i="77"/>
  <c r="D11" i="77"/>
  <c r="D12" i="77"/>
  <c r="D13" i="77"/>
  <c r="D14" i="77"/>
  <c r="D15" i="77"/>
  <c r="D16" i="77"/>
  <c r="D17" i="77"/>
  <c r="D18" i="77"/>
  <c r="D19" i="77"/>
  <c r="D20" i="77"/>
  <c r="D21" i="77"/>
  <c r="D22" i="77"/>
  <c r="D23" i="77"/>
  <c r="D24" i="77"/>
  <c r="D25" i="77"/>
  <c r="D26" i="77"/>
  <c r="D27" i="77"/>
  <c r="D28" i="77"/>
  <c r="D29" i="77"/>
  <c r="D30" i="77"/>
  <c r="D31" i="77"/>
  <c r="D32" i="77"/>
  <c r="D33" i="77"/>
  <c r="D34" i="77"/>
  <c r="D35" i="77"/>
  <c r="D36" i="77"/>
  <c r="D37" i="77"/>
  <c r="D38" i="77"/>
  <c r="D39" i="77"/>
  <c r="D40" i="77"/>
  <c r="D41" i="77"/>
  <c r="D42" i="77"/>
  <c r="D43" i="77"/>
  <c r="D44" i="77"/>
  <c r="D45" i="77"/>
  <c r="D46" i="77"/>
  <c r="D47" i="77"/>
  <c r="D48" i="77"/>
  <c r="D49" i="77"/>
  <c r="D50" i="77"/>
  <c r="D51" i="77"/>
  <c r="D52" i="77"/>
  <c r="D53" i="77"/>
  <c r="D54" i="77"/>
  <c r="D55" i="77"/>
  <c r="D56" i="77"/>
  <c r="D57" i="77"/>
  <c r="D58" i="77"/>
  <c r="D59" i="77"/>
  <c r="D60" i="77"/>
  <c r="D61" i="77"/>
  <c r="D62" i="77"/>
  <c r="D63" i="77"/>
  <c r="D64" i="77"/>
  <c r="D65" i="77"/>
  <c r="D66" i="77"/>
  <c r="D67" i="77"/>
  <c r="D68" i="77"/>
  <c r="D69" i="77"/>
  <c r="D70" i="77"/>
  <c r="D71" i="77"/>
  <c r="D72" i="77"/>
  <c r="D73" i="77"/>
  <c r="D74" i="77"/>
  <c r="D75" i="77"/>
  <c r="D76" i="77"/>
  <c r="D77" i="77"/>
  <c r="D78" i="77"/>
  <c r="D79" i="77"/>
  <c r="D80" i="77"/>
  <c r="D81" i="77"/>
  <c r="D82" i="77"/>
  <c r="D83" i="77"/>
  <c r="D84" i="77"/>
  <c r="D85" i="77"/>
  <c r="D86" i="77"/>
  <c r="D87" i="77"/>
  <c r="D88" i="77"/>
  <c r="D89" i="77"/>
  <c r="D90" i="77"/>
  <c r="D91" i="77"/>
  <c r="D92" i="77"/>
  <c r="D93" i="77"/>
  <c r="D94" i="77"/>
  <c r="D95" i="77"/>
  <c r="D96" i="77"/>
  <c r="D97" i="77"/>
  <c r="D98" i="77"/>
  <c r="D99" i="77"/>
  <c r="D100" i="77"/>
  <c r="D101" i="77"/>
  <c r="D102" i="77"/>
  <c r="D103" i="77"/>
  <c r="D104" i="77"/>
  <c r="D105" i="77"/>
  <c r="D106" i="77"/>
  <c r="D107" i="77"/>
  <c r="D108" i="77"/>
  <c r="D109" i="77"/>
  <c r="D110" i="77"/>
  <c r="D111" i="77"/>
  <c r="D112" i="77"/>
  <c r="D113" i="77"/>
  <c r="D114" i="77"/>
  <c r="D115" i="77"/>
  <c r="D116" i="77"/>
  <c r="D117" i="77"/>
  <c r="D118" i="77"/>
  <c r="D119" i="77"/>
  <c r="D120" i="77"/>
  <c r="D121" i="77"/>
  <c r="D122" i="77"/>
  <c r="D123" i="77"/>
  <c r="D124" i="77"/>
  <c r="D125" i="77"/>
  <c r="D126" i="77"/>
  <c r="D127" i="77"/>
  <c r="D128" i="77"/>
  <c r="D129" i="77"/>
  <c r="D130" i="77"/>
  <c r="D131" i="77"/>
  <c r="D132" i="77"/>
  <c r="D133" i="77"/>
  <c r="D134" i="77"/>
  <c r="D135" i="77"/>
  <c r="D136" i="77"/>
  <c r="D137" i="77"/>
  <c r="D138" i="77"/>
  <c r="D139" i="77"/>
  <c r="D140" i="77"/>
  <c r="D141" i="77"/>
  <c r="D142" i="77"/>
  <c r="D143" i="77"/>
  <c r="D144" i="77"/>
  <c r="D145" i="77"/>
  <c r="D146" i="77"/>
  <c r="D147" i="77"/>
  <c r="D148" i="77"/>
  <c r="D149" i="77"/>
  <c r="D150" i="77"/>
  <c r="D151" i="77"/>
  <c r="D152" i="77"/>
  <c r="D153" i="77"/>
  <c r="D154" i="77"/>
  <c r="D155" i="77"/>
  <c r="D156" i="77"/>
  <c r="D157" i="77"/>
  <c r="D158" i="77"/>
  <c r="D159" i="77"/>
  <c r="D160" i="77"/>
  <c r="D161" i="77"/>
  <c r="D162" i="77"/>
  <c r="D163" i="77"/>
  <c r="D164" i="77"/>
  <c r="D165" i="77"/>
  <c r="D166" i="77"/>
  <c r="D167" i="77"/>
  <c r="D168" i="77"/>
  <c r="D169" i="77"/>
  <c r="D170" i="77"/>
  <c r="D171" i="77"/>
  <c r="D172" i="77"/>
  <c r="D173" i="77"/>
  <c r="D174" i="77"/>
  <c r="D175" i="77"/>
  <c r="D176" i="77"/>
  <c r="D177" i="77"/>
  <c r="D178" i="77"/>
  <c r="D179" i="77"/>
  <c r="D180" i="77"/>
  <c r="D181" i="77"/>
  <c r="D182" i="77"/>
  <c r="D183" i="77"/>
  <c r="D184" i="77"/>
  <c r="D185" i="77"/>
  <c r="D186" i="77"/>
  <c r="D187" i="77"/>
  <c r="D188" i="77"/>
  <c r="D189" i="77"/>
  <c r="D190" i="77"/>
  <c r="D191" i="77"/>
  <c r="D192" i="77"/>
  <c r="D193" i="77"/>
  <c r="D194" i="77"/>
  <c r="D195" i="77"/>
  <c r="D196" i="77"/>
  <c r="D197" i="77"/>
  <c r="D198" i="77"/>
  <c r="D199" i="77"/>
  <c r="D200" i="77"/>
  <c r="D201" i="77"/>
  <c r="D202" i="77"/>
  <c r="D203" i="77"/>
  <c r="D204" i="77"/>
  <c r="D205" i="77"/>
  <c r="D206" i="77"/>
  <c r="D207" i="77"/>
  <c r="D208" i="77"/>
  <c r="D209" i="77"/>
  <c r="D210" i="77"/>
  <c r="D211" i="77"/>
  <c r="D212" i="77"/>
  <c r="D213" i="77"/>
  <c r="D214" i="77"/>
  <c r="D215" i="77"/>
  <c r="D216" i="77"/>
  <c r="D217" i="77"/>
  <c r="D218" i="77"/>
  <c r="D219" i="77"/>
  <c r="D220" i="77"/>
  <c r="D221" i="77"/>
  <c r="D222" i="77"/>
  <c r="D223" i="77"/>
  <c r="D224" i="77"/>
  <c r="D225" i="77"/>
  <c r="D226" i="77"/>
  <c r="D227" i="77"/>
  <c r="D228" i="77"/>
  <c r="D229" i="77"/>
  <c r="D230" i="77"/>
  <c r="D231" i="77"/>
  <c r="D232" i="77"/>
  <c r="D233" i="77"/>
  <c r="D234" i="77"/>
  <c r="D235" i="77"/>
  <c r="D236" i="77"/>
  <c r="D237" i="77"/>
  <c r="D238" i="77"/>
  <c r="D239" i="77"/>
  <c r="D240" i="77"/>
  <c r="D241" i="77"/>
  <c r="D242" i="77"/>
  <c r="D243" i="77"/>
  <c r="D244" i="77"/>
  <c r="D245" i="77"/>
  <c r="D246" i="77"/>
  <c r="D247" i="77"/>
  <c r="D248" i="77"/>
  <c r="D249" i="77"/>
  <c r="D250" i="77"/>
  <c r="D251" i="77"/>
  <c r="D252" i="77"/>
  <c r="D253" i="77"/>
  <c r="D254" i="77"/>
  <c r="D255" i="77"/>
  <c r="D256" i="77"/>
  <c r="D257" i="77"/>
  <c r="D258" i="77"/>
  <c r="D259" i="77"/>
  <c r="D260" i="77"/>
  <c r="D261" i="77"/>
  <c r="D262" i="77"/>
  <c r="D263" i="77"/>
  <c r="D264" i="77"/>
  <c r="D265" i="77"/>
  <c r="D266" i="77"/>
  <c r="D267" i="77"/>
  <c r="D268" i="77"/>
  <c r="D269" i="77"/>
  <c r="D270" i="77"/>
  <c r="D271" i="77"/>
  <c r="D272" i="77"/>
  <c r="D273" i="77"/>
  <c r="D274" i="77"/>
  <c r="D275" i="77"/>
  <c r="D276" i="77"/>
  <c r="D277" i="77"/>
  <c r="D278" i="77"/>
  <c r="D279" i="77"/>
  <c r="D280" i="77"/>
  <c r="D281" i="77"/>
  <c r="D282" i="77"/>
  <c r="D283" i="77"/>
  <c r="D284" i="77"/>
  <c r="D285" i="77"/>
  <c r="D286" i="77"/>
  <c r="D287" i="77"/>
  <c r="D288" i="77"/>
  <c r="D289" i="77"/>
  <c r="D290" i="77"/>
  <c r="D291" i="77"/>
  <c r="D292" i="77"/>
  <c r="D293" i="77"/>
  <c r="D294" i="77"/>
  <c r="D295" i="77"/>
  <c r="D296" i="77"/>
  <c r="D297" i="77"/>
  <c r="D298" i="77"/>
  <c r="D299" i="77"/>
  <c r="D300" i="77"/>
  <c r="D301" i="77"/>
  <c r="D302" i="77"/>
  <c r="D303" i="77"/>
  <c r="D304" i="77"/>
  <c r="D305" i="77"/>
  <c r="D306" i="77"/>
  <c r="D307" i="77"/>
  <c r="D308" i="77"/>
  <c r="D309" i="77"/>
  <c r="D310" i="77"/>
  <c r="D311" i="77"/>
  <c r="D312" i="77"/>
  <c r="D313" i="77"/>
  <c r="D314" i="77"/>
  <c r="D315" i="77"/>
  <c r="D316" i="77"/>
  <c r="D317" i="77"/>
  <c r="D318" i="77"/>
  <c r="D319" i="77"/>
  <c r="D320" i="77"/>
  <c r="D321" i="77"/>
  <c r="D322" i="77"/>
  <c r="D323" i="77"/>
  <c r="D324" i="77"/>
  <c r="D325" i="77"/>
  <c r="D326" i="77"/>
  <c r="D327" i="77"/>
  <c r="D328" i="77"/>
  <c r="D329" i="77"/>
  <c r="D330" i="77"/>
  <c r="D331" i="77"/>
  <c r="D332" i="77"/>
  <c r="D333" i="77"/>
  <c r="D334" i="77"/>
  <c r="D335" i="77"/>
  <c r="D336" i="77"/>
  <c r="D337" i="77"/>
  <c r="D338" i="77"/>
  <c r="D339" i="77"/>
  <c r="D340" i="77"/>
  <c r="D341" i="77"/>
  <c r="D342" i="77"/>
  <c r="D343" i="77"/>
  <c r="D344" i="77"/>
  <c r="D345" i="77"/>
  <c r="D346" i="77"/>
  <c r="D347" i="77"/>
  <c r="D348" i="77"/>
  <c r="D349" i="77"/>
  <c r="D350" i="77"/>
  <c r="D351" i="77"/>
  <c r="D352" i="77"/>
  <c r="D353" i="77"/>
  <c r="D354" i="77"/>
  <c r="D355" i="77"/>
  <c r="D356" i="77"/>
  <c r="D357" i="77"/>
  <c r="D358" i="77"/>
  <c r="D359" i="77"/>
  <c r="D360" i="77"/>
  <c r="D361" i="77"/>
  <c r="D362" i="77"/>
  <c r="D363" i="77"/>
  <c r="D364" i="77"/>
  <c r="D365" i="77"/>
  <c r="D366" i="77"/>
  <c r="D367" i="77"/>
  <c r="D368" i="77"/>
  <c r="D369" i="77"/>
  <c r="D370" i="77"/>
  <c r="D371" i="77"/>
  <c r="D372" i="77"/>
  <c r="D373" i="77"/>
  <c r="D374" i="77"/>
  <c r="D375" i="77"/>
  <c r="D376" i="77"/>
  <c r="D377" i="77"/>
  <c r="D378" i="77"/>
  <c r="D379" i="77"/>
  <c r="D380" i="77"/>
  <c r="D381" i="77"/>
  <c r="D382" i="77"/>
  <c r="D383" i="77"/>
  <c r="D384" i="77"/>
  <c r="D385" i="77"/>
  <c r="D386" i="77"/>
  <c r="D387" i="77"/>
  <c r="D388" i="77"/>
  <c r="D389" i="77"/>
  <c r="D390" i="77"/>
  <c r="D391" i="77"/>
  <c r="D392" i="77"/>
  <c r="D393" i="77"/>
  <c r="D394" i="77"/>
  <c r="D395" i="77"/>
  <c r="D396" i="77"/>
  <c r="D397" i="77"/>
  <c r="D398" i="77"/>
  <c r="D399" i="77"/>
  <c r="D400" i="77"/>
  <c r="D401" i="77"/>
  <c r="D402" i="77"/>
  <c r="D403" i="77"/>
  <c r="D404" i="77"/>
  <c r="D405" i="77"/>
  <c r="D406" i="77"/>
  <c r="D407" i="77"/>
  <c r="D408" i="77"/>
  <c r="D409" i="77"/>
  <c r="D410" i="77"/>
  <c r="D411" i="77"/>
  <c r="D412" i="77"/>
  <c r="D413" i="77"/>
  <c r="D414" i="77"/>
  <c r="D415" i="77"/>
  <c r="D416" i="77"/>
  <c r="D417" i="77"/>
  <c r="D418" i="77"/>
  <c r="D419" i="77"/>
  <c r="D420" i="77"/>
  <c r="D421" i="77"/>
  <c r="D422" i="77"/>
  <c r="D423" i="77"/>
  <c r="D424" i="77"/>
  <c r="D425" i="77"/>
  <c r="D426" i="77"/>
  <c r="D427" i="77"/>
  <c r="D428" i="77"/>
  <c r="D429" i="77"/>
  <c r="D430" i="77"/>
  <c r="D431" i="77"/>
  <c r="D432" i="77"/>
  <c r="D433" i="77"/>
  <c r="D434" i="77"/>
  <c r="D435" i="77"/>
  <c r="D436" i="77"/>
  <c r="D437" i="77"/>
  <c r="D438" i="77"/>
  <c r="D439" i="77"/>
  <c r="D440" i="77"/>
  <c r="D441" i="77"/>
  <c r="D442" i="77"/>
  <c r="D443" i="77"/>
  <c r="D444" i="77"/>
  <c r="D445" i="77"/>
  <c r="D446" i="77"/>
  <c r="D447" i="77"/>
  <c r="D448" i="77"/>
  <c r="D449" i="77"/>
  <c r="D450" i="77"/>
  <c r="D451" i="77"/>
  <c r="D452" i="77"/>
  <c r="D453" i="77"/>
  <c r="D454" i="77"/>
  <c r="D455" i="77"/>
  <c r="D456" i="77"/>
  <c r="D457" i="77"/>
  <c r="D458" i="77"/>
  <c r="D459" i="77"/>
  <c r="D460" i="77"/>
  <c r="D461" i="77"/>
  <c r="D462" i="77"/>
  <c r="D463" i="77"/>
  <c r="D464" i="77"/>
  <c r="D465" i="77"/>
  <c r="D466" i="77"/>
  <c r="D467" i="77"/>
  <c r="D468" i="77"/>
  <c r="D469" i="77"/>
  <c r="D470" i="77"/>
  <c r="D471" i="77"/>
  <c r="D472" i="77"/>
  <c r="D473" i="77"/>
  <c r="D474" i="77"/>
  <c r="D475" i="77"/>
  <c r="D476" i="77"/>
  <c r="D477" i="77"/>
  <c r="D478" i="77"/>
  <c r="D479" i="77"/>
  <c r="D480" i="77"/>
  <c r="D481" i="77"/>
  <c r="D482" i="77"/>
  <c r="D483" i="77"/>
  <c r="D484" i="77"/>
  <c r="D485" i="77"/>
  <c r="D486" i="77"/>
  <c r="D487" i="77"/>
  <c r="D488" i="77"/>
  <c r="D489" i="77"/>
  <c r="D490" i="77"/>
  <c r="D491" i="77"/>
  <c r="D492" i="77"/>
  <c r="D493" i="77"/>
  <c r="D494" i="77"/>
  <c r="D495" i="77"/>
  <c r="D496" i="77"/>
  <c r="D497" i="77"/>
  <c r="D498" i="77"/>
  <c r="D499" i="77"/>
  <c r="D500" i="77"/>
  <c r="D501" i="77"/>
  <c r="D502" i="77"/>
  <c r="D503" i="77"/>
  <c r="D504" i="77"/>
  <c r="D505" i="77"/>
  <c r="D506" i="77"/>
  <c r="D507" i="77"/>
  <c r="D508" i="77"/>
  <c r="D509" i="77"/>
  <c r="D510" i="77"/>
  <c r="D511" i="77"/>
  <c r="D512" i="77"/>
  <c r="D513" i="77"/>
  <c r="D514" i="77"/>
  <c r="D515" i="77"/>
  <c r="D516" i="77"/>
  <c r="D517" i="77"/>
  <c r="D518" i="77"/>
  <c r="D519" i="77"/>
  <c r="D520" i="77"/>
  <c r="D521" i="77"/>
  <c r="D522" i="77"/>
  <c r="D523" i="77"/>
  <c r="D524" i="77"/>
  <c r="D525" i="77"/>
  <c r="D526" i="77"/>
  <c r="D527" i="77"/>
  <c r="D528" i="77"/>
  <c r="D529" i="77"/>
  <c r="D530" i="77"/>
  <c r="D531" i="77"/>
  <c r="D532" i="77"/>
  <c r="D533" i="77"/>
  <c r="D534" i="77"/>
  <c r="D535" i="77"/>
  <c r="D536" i="77"/>
  <c r="D537" i="77"/>
  <c r="D538" i="77"/>
  <c r="D539" i="77"/>
  <c r="D540" i="77"/>
  <c r="D541" i="77"/>
  <c r="D542" i="77"/>
  <c r="D543" i="77"/>
  <c r="D544" i="77"/>
  <c r="D545" i="77"/>
  <c r="D546" i="77"/>
  <c r="D547" i="77"/>
  <c r="D548" i="77"/>
  <c r="D549" i="77"/>
  <c r="D550" i="77"/>
  <c r="D551" i="77"/>
  <c r="D552" i="77"/>
  <c r="D553" i="77"/>
  <c r="D554" i="77"/>
  <c r="D555" i="77"/>
  <c r="D556" i="77"/>
  <c r="D557" i="77"/>
  <c r="D558" i="77"/>
  <c r="D559" i="77"/>
  <c r="D560" i="77"/>
  <c r="D561" i="77"/>
  <c r="D562" i="77"/>
  <c r="D563" i="77"/>
  <c r="D564" i="77"/>
  <c r="D565" i="77"/>
  <c r="D566" i="77"/>
  <c r="D567" i="77"/>
  <c r="D568" i="77"/>
  <c r="D569" i="77"/>
  <c r="D570" i="77"/>
  <c r="D571" i="77"/>
  <c r="D572" i="77"/>
  <c r="D573" i="77"/>
  <c r="D574" i="77"/>
  <c r="D575" i="77"/>
  <c r="D576" i="77"/>
  <c r="D577" i="77"/>
  <c r="D578" i="77"/>
  <c r="D579" i="77"/>
  <c r="D580" i="77"/>
  <c r="D581" i="77"/>
  <c r="D582" i="77"/>
  <c r="D583" i="77"/>
  <c r="D584" i="77"/>
  <c r="D585" i="77"/>
  <c r="D586" i="77"/>
  <c r="D587" i="77"/>
  <c r="D588" i="77"/>
  <c r="D589" i="77"/>
  <c r="D590" i="77"/>
  <c r="D591" i="77"/>
  <c r="D592" i="77"/>
  <c r="D593" i="77"/>
  <c r="D594" i="77"/>
  <c r="D595" i="77"/>
  <c r="D596" i="77"/>
  <c r="D597" i="77"/>
  <c r="D598" i="77"/>
  <c r="D599" i="77"/>
  <c r="D600" i="77"/>
  <c r="D601" i="77"/>
  <c r="D602" i="77"/>
  <c r="D603" i="77"/>
  <c r="D604" i="77"/>
  <c r="D605" i="77"/>
  <c r="D606" i="77"/>
  <c r="D607" i="77"/>
  <c r="D608" i="77"/>
  <c r="D609" i="77"/>
  <c r="D610" i="77"/>
  <c r="D611" i="77"/>
  <c r="D612" i="77"/>
  <c r="D613" i="77"/>
  <c r="D614" i="77"/>
  <c r="D615" i="77"/>
  <c r="D616" i="77"/>
  <c r="D617" i="77"/>
  <c r="D618" i="77"/>
  <c r="D619" i="77"/>
  <c r="D620" i="77"/>
  <c r="D621" i="77"/>
  <c r="D622" i="77"/>
  <c r="D623" i="77"/>
  <c r="D624" i="77"/>
  <c r="D625" i="77"/>
  <c r="D626" i="77"/>
  <c r="D627" i="77"/>
  <c r="D628" i="77"/>
  <c r="D629" i="77"/>
  <c r="D630" i="77"/>
  <c r="D631" i="77"/>
  <c r="D632" i="77"/>
  <c r="D633" i="77"/>
  <c r="D634" i="77"/>
  <c r="D635" i="77"/>
  <c r="D636" i="77"/>
  <c r="D637" i="77"/>
  <c r="D638" i="77"/>
  <c r="D639" i="77"/>
  <c r="D640" i="77"/>
  <c r="D641" i="77"/>
  <c r="D642" i="77"/>
  <c r="D643" i="77"/>
  <c r="D644" i="77"/>
  <c r="D645" i="77"/>
  <c r="D646" i="77"/>
  <c r="D647" i="77"/>
  <c r="D648" i="77"/>
  <c r="D649" i="77"/>
  <c r="D650" i="77"/>
  <c r="D651" i="77"/>
  <c r="D652" i="77"/>
  <c r="D653" i="77"/>
  <c r="D654" i="77"/>
  <c r="D655" i="77"/>
  <c r="D656" i="77"/>
  <c r="D657" i="77"/>
  <c r="D658" i="77"/>
  <c r="D659" i="77"/>
  <c r="D660" i="77"/>
  <c r="D661" i="77"/>
  <c r="D662" i="77"/>
  <c r="D663" i="77"/>
  <c r="D664" i="77"/>
  <c r="D665" i="77"/>
  <c r="D666" i="77"/>
  <c r="D667" i="77"/>
  <c r="D668" i="77"/>
  <c r="D669" i="77"/>
  <c r="D670" i="77"/>
  <c r="D671" i="77"/>
  <c r="D672" i="77"/>
  <c r="D673" i="77"/>
  <c r="D674" i="77"/>
  <c r="D675" i="77"/>
  <c r="D676" i="77"/>
  <c r="D677" i="77"/>
  <c r="D678" i="77"/>
  <c r="D679" i="77"/>
  <c r="D680" i="77"/>
  <c r="D681" i="77"/>
  <c r="D682" i="77"/>
  <c r="D683" i="77"/>
  <c r="D684" i="77"/>
  <c r="D685" i="77"/>
  <c r="D686" i="77"/>
  <c r="D687" i="77"/>
  <c r="D688" i="77"/>
  <c r="D689" i="77"/>
  <c r="D690" i="77"/>
  <c r="D691" i="77"/>
  <c r="D692" i="77"/>
  <c r="D693" i="77"/>
  <c r="D694" i="77"/>
  <c r="D695" i="77"/>
  <c r="D696" i="77"/>
  <c r="D697" i="77"/>
  <c r="D698" i="77"/>
  <c r="D699" i="77"/>
  <c r="D700" i="77"/>
  <c r="D701" i="77"/>
  <c r="D702" i="77"/>
  <c r="D703" i="77"/>
  <c r="D704" i="77"/>
  <c r="D705" i="77"/>
  <c r="D706" i="77"/>
  <c r="D707" i="77"/>
  <c r="D708" i="77"/>
  <c r="D709" i="77"/>
  <c r="D710" i="77"/>
  <c r="D711" i="77"/>
  <c r="D712" i="77"/>
  <c r="D713" i="77"/>
  <c r="D714" i="77"/>
  <c r="D715" i="77"/>
  <c r="D716" i="77"/>
  <c r="D717" i="77"/>
  <c r="D718" i="77"/>
  <c r="D719" i="77"/>
  <c r="D720" i="77"/>
  <c r="D721" i="77"/>
  <c r="D722" i="77"/>
  <c r="D723" i="77"/>
  <c r="D724" i="77"/>
  <c r="D725" i="77"/>
  <c r="D726" i="77"/>
  <c r="D727" i="77"/>
  <c r="D728" i="77"/>
  <c r="D729" i="77"/>
  <c r="D730" i="77"/>
  <c r="D731" i="77"/>
  <c r="D732" i="77"/>
  <c r="D733" i="77"/>
  <c r="D734" i="77"/>
  <c r="D735" i="77"/>
  <c r="D736" i="77"/>
  <c r="D737" i="77"/>
  <c r="D738" i="77"/>
  <c r="D739" i="77"/>
  <c r="D740" i="77"/>
  <c r="D741" i="77"/>
  <c r="D742" i="77"/>
  <c r="D743" i="77"/>
  <c r="D744" i="77"/>
  <c r="D745" i="77"/>
  <c r="D746" i="77"/>
  <c r="D747" i="77"/>
  <c r="D748" i="77"/>
  <c r="D749" i="77"/>
  <c r="D750" i="77"/>
  <c r="D751" i="77"/>
  <c r="D752" i="77"/>
  <c r="D753" i="77"/>
  <c r="D754" i="77"/>
  <c r="D755" i="77"/>
  <c r="D756" i="77"/>
  <c r="D757" i="77"/>
  <c r="D758" i="77"/>
  <c r="D759" i="77"/>
  <c r="D760" i="77"/>
  <c r="D761" i="77"/>
  <c r="D762" i="77"/>
  <c r="D763" i="77"/>
  <c r="D764" i="77"/>
  <c r="D765" i="77"/>
  <c r="D766" i="77"/>
  <c r="D767" i="77"/>
  <c r="D768" i="77"/>
  <c r="D769" i="77"/>
  <c r="D770" i="77"/>
  <c r="D771" i="77"/>
  <c r="D772" i="77"/>
  <c r="D773" i="77"/>
  <c r="D774" i="77"/>
  <c r="D775" i="77"/>
  <c r="D776" i="77"/>
  <c r="D777" i="77"/>
  <c r="D778" i="77"/>
  <c r="D779" i="77"/>
  <c r="D780" i="77"/>
  <c r="D781" i="77"/>
  <c r="D782" i="77"/>
  <c r="D783" i="77"/>
  <c r="D784" i="77"/>
  <c r="D785" i="77"/>
  <c r="D786" i="77"/>
  <c r="D787" i="77"/>
  <c r="D788" i="77"/>
  <c r="D789" i="77"/>
  <c r="D790" i="77"/>
  <c r="D791" i="77"/>
  <c r="D792" i="77"/>
  <c r="D793" i="77"/>
  <c r="D794" i="77"/>
  <c r="D795" i="77"/>
  <c r="D796" i="77"/>
  <c r="D797" i="77"/>
  <c r="D798" i="77"/>
  <c r="D799" i="77"/>
  <c r="D800" i="77"/>
  <c r="D801" i="77"/>
  <c r="D802" i="77"/>
  <c r="D803" i="77"/>
  <c r="D804" i="77"/>
  <c r="D805" i="77"/>
  <c r="D806" i="77"/>
  <c r="D807" i="77"/>
  <c r="D808" i="77"/>
  <c r="D809" i="77"/>
  <c r="D810" i="77"/>
  <c r="D811" i="77"/>
  <c r="D812" i="77"/>
  <c r="D813" i="77"/>
  <c r="D814" i="77"/>
  <c r="D815" i="77"/>
  <c r="D816" i="77"/>
  <c r="D817" i="77"/>
  <c r="D818" i="77"/>
  <c r="D819" i="77"/>
  <c r="D820" i="77"/>
  <c r="D821" i="77"/>
  <c r="D822" i="77"/>
  <c r="D823" i="77"/>
  <c r="D824" i="77"/>
  <c r="D825" i="77"/>
  <c r="D826" i="77"/>
  <c r="D827" i="77"/>
  <c r="D828" i="77"/>
  <c r="D829" i="77"/>
  <c r="D830" i="77"/>
  <c r="D831" i="77"/>
  <c r="D832" i="77"/>
  <c r="D833" i="77"/>
  <c r="D834" i="77"/>
  <c r="D835" i="77"/>
  <c r="D836" i="77"/>
  <c r="D837" i="77"/>
  <c r="D838" i="77"/>
  <c r="D839" i="77"/>
  <c r="D840" i="77"/>
  <c r="D841" i="77"/>
  <c r="D842" i="77"/>
  <c r="D843" i="77"/>
  <c r="D844" i="77"/>
  <c r="D845" i="77"/>
  <c r="D846" i="77"/>
  <c r="D847" i="77"/>
  <c r="D848" i="77"/>
  <c r="D849" i="77"/>
  <c r="D850" i="77"/>
  <c r="D851" i="77"/>
  <c r="D852" i="77"/>
  <c r="D853" i="77"/>
  <c r="D854" i="77"/>
  <c r="D855" i="77"/>
  <c r="D856" i="77"/>
  <c r="D857" i="77"/>
  <c r="D858" i="77"/>
  <c r="D859" i="77"/>
  <c r="D860" i="77"/>
  <c r="D861" i="77"/>
  <c r="D862" i="77"/>
  <c r="D863" i="77"/>
  <c r="D864" i="77"/>
  <c r="D865" i="77"/>
  <c r="D866" i="77"/>
  <c r="D867" i="77"/>
  <c r="D868" i="77"/>
  <c r="D869" i="77"/>
  <c r="D870" i="77"/>
  <c r="D871" i="77"/>
  <c r="D872" i="77"/>
  <c r="D873" i="77"/>
  <c r="D874" i="77"/>
  <c r="D875" i="77"/>
  <c r="D876" i="77"/>
  <c r="D877" i="77"/>
  <c r="D878" i="77"/>
  <c r="D879" i="77"/>
  <c r="D880" i="77"/>
  <c r="D881" i="77"/>
  <c r="D882" i="77"/>
  <c r="D883" i="77"/>
  <c r="D884" i="77"/>
  <c r="D885" i="77"/>
  <c r="D886" i="77"/>
  <c r="D887" i="77"/>
  <c r="D888" i="77"/>
  <c r="D889" i="77"/>
  <c r="D890" i="77"/>
  <c r="D891" i="77"/>
  <c r="D892" i="77"/>
  <c r="D893" i="77"/>
  <c r="D894" i="77"/>
  <c r="D895" i="77"/>
  <c r="D896" i="77"/>
  <c r="D897" i="77"/>
  <c r="D898" i="77"/>
  <c r="D899" i="77"/>
  <c r="D900" i="77"/>
  <c r="D901" i="77"/>
  <c r="D902" i="77"/>
  <c r="D903" i="77"/>
  <c r="D904" i="77"/>
  <c r="D905" i="77"/>
  <c r="D906" i="77"/>
  <c r="D907" i="77"/>
  <c r="D908" i="77"/>
  <c r="C2" i="71"/>
  <c r="C3" i="71"/>
  <c r="C4" i="71"/>
  <c r="C5" i="71"/>
  <c r="C6" i="71"/>
  <c r="C7" i="71"/>
  <c r="C8" i="71"/>
  <c r="C9" i="71"/>
  <c r="C10" i="71"/>
  <c r="C11" i="71"/>
  <c r="C12" i="71"/>
  <c r="C13" i="71"/>
  <c r="C14" i="71"/>
  <c r="C15" i="71"/>
  <c r="C16" i="71"/>
  <c r="C17" i="71"/>
  <c r="C18" i="71"/>
  <c r="C19" i="71"/>
  <c r="C20" i="71"/>
  <c r="C21" i="71"/>
  <c r="C22" i="71"/>
  <c r="C23" i="71"/>
  <c r="C24" i="71"/>
  <c r="C25" i="71"/>
  <c r="C26" i="71"/>
  <c r="C27" i="71"/>
  <c r="C28" i="71"/>
  <c r="C29" i="71"/>
  <c r="C30" i="71"/>
  <c r="C31" i="71"/>
  <c r="C32" i="71"/>
  <c r="C33" i="71"/>
  <c r="C34" i="71"/>
  <c r="C35" i="71"/>
  <c r="C36" i="71"/>
  <c r="C37" i="71"/>
  <c r="C38" i="71"/>
  <c r="C39" i="71"/>
  <c r="C40" i="71"/>
  <c r="C41" i="71"/>
  <c r="C42" i="71"/>
  <c r="C43" i="71"/>
  <c r="C44" i="71"/>
  <c r="C45" i="71"/>
  <c r="C46" i="71"/>
  <c r="C47" i="71"/>
  <c r="C48" i="71"/>
  <c r="C49" i="71"/>
  <c r="C50" i="71"/>
  <c r="C51" i="71"/>
  <c r="C52" i="71"/>
  <c r="C53" i="71"/>
  <c r="C54" i="71"/>
  <c r="D2" i="72"/>
  <c r="D3" i="72"/>
  <c r="D4" i="72"/>
  <c r="D5" i="72"/>
  <c r="D6" i="72"/>
  <c r="D7" i="72"/>
  <c r="D8" i="72"/>
  <c r="D9" i="72"/>
  <c r="D10" i="72"/>
  <c r="D11" i="72"/>
  <c r="D12" i="72"/>
  <c r="D13" i="72"/>
  <c r="D14" i="72"/>
  <c r="D15" i="72"/>
  <c r="D16" i="72"/>
  <c r="D17" i="72"/>
  <c r="D18" i="72"/>
  <c r="D19" i="72"/>
  <c r="D20" i="72"/>
  <c r="D21" i="72"/>
  <c r="D22" i="72"/>
  <c r="D23" i="72"/>
  <c r="D24" i="72"/>
  <c r="D25" i="72"/>
  <c r="D26" i="72"/>
  <c r="D27" i="72"/>
  <c r="D28" i="72"/>
  <c r="D29" i="72"/>
  <c r="D30" i="72"/>
  <c r="D31" i="72"/>
  <c r="D32" i="72"/>
  <c r="D33" i="72"/>
  <c r="D34" i="72"/>
  <c r="D35" i="72"/>
  <c r="D36" i="72"/>
  <c r="D37" i="72"/>
  <c r="D38" i="72"/>
  <c r="D39" i="72"/>
  <c r="D40" i="72"/>
  <c r="D41" i="72"/>
  <c r="D42" i="72"/>
  <c r="D43" i="72"/>
  <c r="D44" i="72"/>
  <c r="D45" i="72"/>
  <c r="D46" i="72"/>
  <c r="D47" i="72"/>
  <c r="D48" i="72"/>
  <c r="D49" i="72"/>
  <c r="D50" i="72"/>
  <c r="D51" i="72"/>
  <c r="D52" i="72"/>
  <c r="D53" i="72"/>
  <c r="D54" i="72"/>
  <c r="D55" i="72"/>
  <c r="D56" i="72"/>
  <c r="D57" i="72"/>
  <c r="D58" i="72"/>
  <c r="D59" i="72"/>
  <c r="D60" i="72"/>
  <c r="D61" i="72"/>
  <c r="D62" i="72"/>
  <c r="D63" i="72"/>
  <c r="D64" i="72"/>
  <c r="D65" i="72"/>
  <c r="D66" i="72"/>
  <c r="D67" i="72"/>
  <c r="D68" i="72"/>
  <c r="D69" i="72"/>
  <c r="D70" i="72"/>
  <c r="D71" i="72"/>
  <c r="D72" i="72"/>
  <c r="D73" i="72"/>
  <c r="D74" i="72"/>
  <c r="D75" i="72"/>
  <c r="D76" i="72"/>
  <c r="D77" i="72"/>
  <c r="D78" i="72"/>
  <c r="D79" i="72"/>
  <c r="D80" i="72"/>
  <c r="D81" i="72"/>
  <c r="D82" i="72"/>
  <c r="D83" i="72"/>
  <c r="D84" i="72"/>
  <c r="D85" i="72"/>
  <c r="D86" i="72"/>
  <c r="D87" i="72"/>
  <c r="D88" i="72"/>
  <c r="D89" i="72"/>
  <c r="D90" i="72"/>
  <c r="D91" i="72"/>
  <c r="D92" i="72"/>
  <c r="D93" i="72"/>
  <c r="D94" i="72"/>
  <c r="D95" i="72"/>
  <c r="D96" i="72"/>
  <c r="D97" i="72"/>
  <c r="D98" i="72"/>
  <c r="D99" i="72"/>
  <c r="D100" i="72"/>
  <c r="D101" i="72"/>
  <c r="D102" i="72"/>
  <c r="D103" i="72"/>
  <c r="D104" i="72"/>
  <c r="D105" i="72"/>
  <c r="D106" i="72"/>
  <c r="D107" i="72"/>
  <c r="D108" i="72"/>
  <c r="D109" i="72"/>
  <c r="D110" i="72"/>
  <c r="D111" i="72"/>
  <c r="D112" i="72"/>
  <c r="D113" i="72"/>
  <c r="D114" i="72"/>
  <c r="D115" i="72"/>
  <c r="D116" i="72"/>
  <c r="D117" i="72"/>
  <c r="D118" i="72"/>
  <c r="D119" i="72"/>
  <c r="D120" i="72"/>
  <c r="D121" i="72"/>
  <c r="D122" i="72"/>
  <c r="D123" i="72"/>
  <c r="D124" i="72"/>
  <c r="D125" i="72"/>
  <c r="D126" i="72"/>
  <c r="D127" i="72"/>
  <c r="D128" i="72"/>
  <c r="D129" i="72"/>
  <c r="D130" i="72"/>
  <c r="D131" i="72"/>
  <c r="D132" i="72"/>
  <c r="D133" i="72"/>
  <c r="D134" i="72"/>
  <c r="D135" i="72"/>
  <c r="D136" i="72"/>
  <c r="D137" i="72"/>
  <c r="D138" i="72"/>
  <c r="D139" i="72"/>
  <c r="D140" i="72"/>
  <c r="D141" i="72"/>
  <c r="D142" i="72"/>
  <c r="D143" i="72"/>
  <c r="D144" i="72"/>
  <c r="D145" i="72"/>
  <c r="D146" i="72"/>
  <c r="D147" i="72"/>
  <c r="D148" i="72"/>
  <c r="D149" i="72"/>
  <c r="D150" i="72"/>
  <c r="D151" i="72"/>
  <c r="D152" i="72"/>
  <c r="D153" i="72"/>
  <c r="D154" i="72"/>
  <c r="D155" i="72"/>
  <c r="D156" i="72"/>
  <c r="D157" i="72"/>
  <c r="D158" i="72"/>
  <c r="D159" i="72"/>
  <c r="D160" i="72"/>
  <c r="D161" i="72"/>
  <c r="D162" i="72"/>
  <c r="D163" i="72"/>
  <c r="D164" i="72"/>
  <c r="D165" i="72"/>
  <c r="D166" i="72"/>
  <c r="D167" i="72"/>
  <c r="D168" i="72"/>
  <c r="D169" i="72"/>
  <c r="D170" i="72"/>
  <c r="D171" i="72"/>
  <c r="D172" i="72"/>
  <c r="D173" i="72"/>
  <c r="D174" i="72"/>
  <c r="D175" i="72"/>
  <c r="D176" i="72"/>
  <c r="D177" i="72"/>
  <c r="D178" i="72"/>
  <c r="D179" i="72"/>
  <c r="D180" i="72"/>
  <c r="D181" i="72"/>
  <c r="D182" i="72"/>
  <c r="D183" i="72"/>
  <c r="D184" i="72"/>
  <c r="D185" i="72"/>
  <c r="D186" i="72"/>
  <c r="D187" i="72"/>
  <c r="D188" i="72"/>
  <c r="D189" i="72"/>
  <c r="D190" i="72"/>
  <c r="D191" i="72"/>
  <c r="D192" i="72"/>
  <c r="D193" i="72"/>
  <c r="D194" i="72"/>
  <c r="D195" i="72"/>
  <c r="D196" i="72"/>
  <c r="D197" i="72"/>
  <c r="D198" i="72"/>
  <c r="D199" i="72"/>
  <c r="D200" i="72"/>
  <c r="D201" i="72"/>
  <c r="D202" i="72"/>
  <c r="D203" i="72"/>
  <c r="D204" i="72"/>
  <c r="D205" i="72"/>
  <c r="D206" i="72"/>
  <c r="D207" i="72"/>
  <c r="D208" i="72"/>
  <c r="D209" i="72"/>
  <c r="D210" i="72"/>
  <c r="D211" i="72"/>
  <c r="D212" i="72"/>
  <c r="D213" i="72"/>
  <c r="D214" i="72"/>
  <c r="D215" i="72"/>
  <c r="D216" i="72"/>
  <c r="D217" i="72"/>
  <c r="D218" i="72"/>
  <c r="D219" i="72"/>
  <c r="D220" i="72"/>
  <c r="D221" i="72"/>
  <c r="D222" i="72"/>
  <c r="D223" i="72"/>
  <c r="D224" i="72"/>
  <c r="D225" i="72"/>
  <c r="D226" i="72"/>
  <c r="D227" i="72"/>
  <c r="D228" i="72"/>
  <c r="D229" i="72"/>
  <c r="D230" i="72"/>
  <c r="D231" i="72"/>
  <c r="D232" i="72"/>
  <c r="D233" i="72"/>
  <c r="D234" i="72"/>
  <c r="D235" i="72"/>
  <c r="D236" i="72"/>
  <c r="D237" i="72"/>
  <c r="D238" i="72"/>
  <c r="D239" i="72"/>
  <c r="D240" i="72"/>
  <c r="D241" i="72"/>
  <c r="D242" i="72"/>
  <c r="D243" i="72"/>
  <c r="D244" i="72"/>
  <c r="D245" i="72"/>
  <c r="D246" i="72"/>
  <c r="D247" i="72"/>
  <c r="D248" i="72"/>
  <c r="D249" i="72"/>
  <c r="D250" i="72"/>
  <c r="D251" i="72"/>
  <c r="D252" i="72"/>
  <c r="D253" i="72"/>
  <c r="D254" i="72"/>
  <c r="D255" i="72"/>
  <c r="D256" i="72"/>
  <c r="D257" i="72"/>
  <c r="D258" i="72"/>
  <c r="D259" i="72"/>
  <c r="D260" i="72"/>
  <c r="D261" i="72"/>
  <c r="D262" i="72"/>
  <c r="D263" i="72"/>
  <c r="D264" i="72"/>
  <c r="D265" i="72"/>
  <c r="D266" i="72"/>
  <c r="D267" i="72"/>
  <c r="D268" i="72"/>
  <c r="D269" i="72"/>
  <c r="D270" i="72"/>
  <c r="D271" i="72"/>
  <c r="D272" i="72"/>
  <c r="D273" i="72"/>
  <c r="D274" i="72"/>
  <c r="D275" i="72"/>
  <c r="D276" i="72"/>
  <c r="D277" i="72"/>
  <c r="D278" i="72"/>
  <c r="D279" i="72"/>
  <c r="D280" i="72"/>
  <c r="D281" i="72"/>
  <c r="D282" i="72"/>
  <c r="D283" i="72"/>
  <c r="D284" i="72"/>
  <c r="D285" i="72"/>
  <c r="D286" i="72"/>
  <c r="D287" i="72"/>
  <c r="D288" i="72"/>
  <c r="D289" i="72"/>
  <c r="D290" i="72"/>
  <c r="D291" i="72"/>
  <c r="D292" i="72"/>
  <c r="D293" i="72"/>
  <c r="D294" i="72"/>
  <c r="D295" i="72"/>
  <c r="D296" i="72"/>
  <c r="D297" i="72"/>
  <c r="D298" i="72"/>
  <c r="D299" i="72"/>
  <c r="D300" i="72"/>
  <c r="D301" i="72"/>
  <c r="D302" i="72"/>
  <c r="D303" i="72"/>
  <c r="D304" i="72"/>
  <c r="D305" i="72"/>
  <c r="D306" i="72"/>
  <c r="D307" i="72"/>
  <c r="D308" i="72"/>
  <c r="D309" i="72"/>
  <c r="D310" i="72"/>
  <c r="D311" i="72"/>
  <c r="D312" i="72"/>
  <c r="D313" i="72"/>
  <c r="D314" i="72"/>
  <c r="D315" i="72"/>
  <c r="D316" i="72"/>
  <c r="D317" i="72"/>
  <c r="D318" i="72"/>
  <c r="D319" i="72"/>
  <c r="D320" i="72"/>
  <c r="D321" i="72"/>
  <c r="D322" i="72"/>
  <c r="D323" i="72"/>
  <c r="D324" i="72"/>
  <c r="D325" i="72"/>
  <c r="D326" i="72"/>
  <c r="D327" i="72"/>
  <c r="D328" i="72"/>
  <c r="D329" i="72"/>
  <c r="D330" i="72"/>
  <c r="D331" i="72"/>
  <c r="D332" i="72"/>
  <c r="D333" i="72"/>
  <c r="D334" i="72"/>
  <c r="D335" i="72"/>
  <c r="D336" i="72"/>
  <c r="D337" i="72"/>
  <c r="D338" i="72"/>
  <c r="D339" i="72"/>
  <c r="D340" i="72"/>
  <c r="D341" i="72"/>
  <c r="D342" i="72"/>
  <c r="D343" i="72"/>
  <c r="D344" i="72"/>
  <c r="D345" i="72"/>
  <c r="D346" i="72"/>
  <c r="D347" i="72"/>
  <c r="D348" i="72"/>
  <c r="D349" i="72"/>
  <c r="D350" i="72"/>
  <c r="D351" i="72"/>
  <c r="D352" i="72"/>
  <c r="D353" i="72"/>
  <c r="D354" i="72"/>
  <c r="D355" i="72"/>
  <c r="D356" i="72"/>
  <c r="D357" i="72"/>
  <c r="D358" i="72"/>
  <c r="D359" i="72"/>
  <c r="D360" i="72"/>
  <c r="D361" i="72"/>
  <c r="D362" i="72"/>
  <c r="D363" i="72"/>
  <c r="D364" i="72"/>
  <c r="D365" i="72"/>
  <c r="D366" i="72"/>
  <c r="D367" i="72"/>
  <c r="D368" i="72"/>
  <c r="D369" i="72"/>
  <c r="D370" i="72"/>
  <c r="D371" i="72"/>
  <c r="D372" i="72"/>
  <c r="D373" i="72"/>
  <c r="D374" i="72"/>
  <c r="D375" i="72"/>
  <c r="D376" i="72"/>
  <c r="D377" i="72"/>
  <c r="D378" i="72"/>
  <c r="D379" i="72"/>
  <c r="D380" i="72"/>
  <c r="D381" i="72"/>
  <c r="D382" i="72"/>
  <c r="D383" i="72"/>
  <c r="D384" i="72"/>
  <c r="D385" i="72"/>
  <c r="D386" i="72"/>
  <c r="D387" i="72"/>
  <c r="D388" i="72"/>
  <c r="D389" i="72"/>
  <c r="D390" i="72"/>
  <c r="D391" i="72"/>
  <c r="D392" i="72"/>
  <c r="D393" i="72"/>
  <c r="D394" i="72"/>
  <c r="D395" i="72"/>
  <c r="D396" i="72"/>
  <c r="D397" i="72"/>
  <c r="D398" i="72"/>
  <c r="D399" i="72"/>
  <c r="D400" i="72"/>
  <c r="D401" i="72"/>
  <c r="D402" i="72"/>
  <c r="D403" i="72"/>
  <c r="D404" i="72"/>
  <c r="D405" i="72"/>
  <c r="D406" i="72"/>
  <c r="D407" i="72"/>
  <c r="D408" i="72"/>
  <c r="D409" i="72"/>
  <c r="D410" i="72"/>
  <c r="D411" i="72"/>
  <c r="D412" i="72"/>
  <c r="D413" i="72"/>
  <c r="D414" i="72"/>
  <c r="D415" i="72"/>
  <c r="D416" i="72"/>
  <c r="D417" i="72"/>
  <c r="D418" i="72"/>
  <c r="D419" i="72"/>
  <c r="D420" i="72"/>
  <c r="D421" i="72"/>
  <c r="D422" i="72"/>
  <c r="D423" i="72"/>
  <c r="D424" i="72"/>
  <c r="D425" i="72"/>
  <c r="D426" i="72"/>
  <c r="D427" i="72"/>
  <c r="D428" i="72"/>
  <c r="D429" i="72"/>
  <c r="D430" i="72"/>
  <c r="D431" i="72"/>
  <c r="D432" i="72"/>
  <c r="D433" i="72"/>
  <c r="D434" i="72"/>
  <c r="D435" i="72"/>
  <c r="D436" i="72"/>
  <c r="D437" i="72"/>
  <c r="D438" i="72"/>
  <c r="D439" i="72"/>
  <c r="D440" i="72"/>
  <c r="D441" i="72"/>
  <c r="D442" i="72"/>
  <c r="D443" i="72"/>
  <c r="D444" i="72"/>
  <c r="D445" i="72"/>
  <c r="D446" i="72"/>
  <c r="D447" i="72"/>
  <c r="D448" i="72"/>
  <c r="D449" i="72"/>
  <c r="D450" i="72"/>
  <c r="D451" i="72"/>
  <c r="D452" i="72"/>
  <c r="D453" i="72"/>
  <c r="D454" i="72"/>
  <c r="D455" i="72"/>
  <c r="D456" i="72"/>
  <c r="D457" i="72"/>
  <c r="D458" i="72"/>
  <c r="D459" i="72"/>
  <c r="D460" i="72"/>
  <c r="D461" i="72"/>
  <c r="D462" i="72"/>
  <c r="D463" i="72"/>
  <c r="D464" i="72"/>
  <c r="D465" i="72"/>
  <c r="D466" i="72"/>
  <c r="D467" i="72"/>
  <c r="D468" i="72"/>
  <c r="D469" i="72"/>
  <c r="D470" i="72"/>
  <c r="D471" i="72"/>
  <c r="D472" i="72"/>
  <c r="D473" i="72"/>
  <c r="D474" i="72"/>
  <c r="D475" i="72"/>
  <c r="D476" i="72"/>
  <c r="D477" i="72"/>
  <c r="D478" i="72"/>
  <c r="D479" i="72"/>
  <c r="D480" i="72"/>
  <c r="D481" i="72"/>
  <c r="D482" i="72"/>
  <c r="D483" i="72"/>
  <c r="D484" i="72"/>
  <c r="D485" i="72"/>
  <c r="D486" i="72"/>
  <c r="D487" i="72"/>
  <c r="D488" i="72"/>
  <c r="D489" i="72"/>
  <c r="D490" i="72"/>
  <c r="D491" i="72"/>
  <c r="D492" i="72"/>
  <c r="D493" i="72"/>
  <c r="D494" i="72"/>
  <c r="D495" i="72"/>
  <c r="D496" i="72"/>
  <c r="D497" i="72"/>
  <c r="D498" i="72"/>
  <c r="D499" i="72"/>
  <c r="D500" i="72"/>
  <c r="D501" i="72"/>
  <c r="D502" i="72"/>
  <c r="D503" i="72"/>
  <c r="D504" i="72"/>
  <c r="D505" i="72"/>
  <c r="D506" i="72"/>
  <c r="D507" i="72"/>
  <c r="D508" i="72"/>
  <c r="D509" i="72"/>
  <c r="D510" i="72"/>
  <c r="D511" i="72"/>
  <c r="D512" i="72"/>
  <c r="D513" i="72"/>
  <c r="D514" i="72"/>
  <c r="D515" i="72"/>
  <c r="D516" i="72"/>
  <c r="D517" i="72"/>
  <c r="D518" i="72"/>
  <c r="D519" i="72"/>
  <c r="D520" i="72"/>
  <c r="D521" i="72"/>
  <c r="D522" i="72"/>
  <c r="D523" i="72"/>
  <c r="D524" i="72"/>
  <c r="D525" i="72"/>
  <c r="D526" i="72"/>
  <c r="D527" i="72"/>
  <c r="D528" i="72"/>
  <c r="D529" i="72"/>
  <c r="D530" i="72"/>
  <c r="D531" i="72"/>
  <c r="D532" i="72"/>
  <c r="D533" i="72"/>
  <c r="D534" i="72"/>
  <c r="D535" i="72"/>
  <c r="D536" i="72"/>
  <c r="D537" i="72"/>
  <c r="D538" i="72"/>
  <c r="D539" i="72"/>
  <c r="D540" i="72"/>
  <c r="D541" i="72"/>
  <c r="D542" i="72"/>
  <c r="D543" i="72"/>
  <c r="D544" i="72"/>
  <c r="D545" i="72"/>
  <c r="D546" i="72"/>
  <c r="D547" i="72"/>
  <c r="D548" i="72"/>
  <c r="D549" i="72"/>
  <c r="D550" i="72"/>
  <c r="D551" i="72"/>
  <c r="D552" i="72"/>
  <c r="D553" i="72"/>
  <c r="D554" i="72"/>
  <c r="D555" i="72"/>
  <c r="D556" i="72"/>
  <c r="D557" i="72"/>
  <c r="D558" i="72"/>
  <c r="D559" i="72"/>
  <c r="D560" i="72"/>
  <c r="D561" i="72"/>
  <c r="D562" i="72"/>
  <c r="D563" i="72"/>
  <c r="D564" i="72"/>
  <c r="D565" i="72"/>
  <c r="D566" i="72"/>
  <c r="D567" i="72"/>
  <c r="D568" i="72"/>
  <c r="D569" i="72"/>
  <c r="D570" i="72"/>
  <c r="D571" i="72"/>
  <c r="D572" i="72"/>
  <c r="D573" i="72"/>
  <c r="D574" i="72"/>
  <c r="D575" i="72"/>
  <c r="D576" i="72"/>
  <c r="D577" i="72"/>
  <c r="D578" i="72"/>
  <c r="D579" i="72"/>
  <c r="D580" i="72"/>
  <c r="D581" i="72"/>
  <c r="D582" i="72"/>
  <c r="D583" i="72"/>
  <c r="D584" i="72"/>
  <c r="D585" i="72"/>
  <c r="D586" i="72"/>
  <c r="D587" i="72"/>
  <c r="D588" i="72"/>
  <c r="D589" i="72"/>
  <c r="D590" i="72"/>
  <c r="D591" i="72"/>
  <c r="D592" i="72"/>
  <c r="D593" i="72"/>
  <c r="D594" i="72"/>
  <c r="D595" i="72"/>
  <c r="D596" i="72"/>
  <c r="D597" i="72"/>
  <c r="D598" i="72"/>
  <c r="D599" i="72"/>
  <c r="D600" i="72"/>
  <c r="D601" i="72"/>
  <c r="D602" i="72"/>
  <c r="D603" i="72"/>
  <c r="D604" i="72"/>
  <c r="D605" i="72"/>
  <c r="D606" i="72"/>
  <c r="D607" i="72"/>
  <c r="D608" i="72"/>
  <c r="D609" i="72"/>
  <c r="D610" i="72"/>
  <c r="D611" i="72"/>
  <c r="D612" i="72"/>
  <c r="D613" i="72"/>
  <c r="D614" i="72"/>
  <c r="D615" i="72"/>
  <c r="D616" i="72"/>
  <c r="D617" i="72"/>
  <c r="D618" i="72"/>
  <c r="D619" i="72"/>
  <c r="D620" i="72"/>
  <c r="D621" i="72"/>
  <c r="D622" i="72"/>
  <c r="D623" i="72"/>
  <c r="D624" i="72"/>
  <c r="D625" i="72"/>
  <c r="D626" i="72"/>
  <c r="D627" i="72"/>
  <c r="D628" i="72"/>
  <c r="D629" i="72"/>
  <c r="D630" i="72"/>
  <c r="D631" i="72"/>
  <c r="D632" i="72"/>
  <c r="D633" i="72"/>
  <c r="D634" i="72"/>
  <c r="D635" i="72"/>
  <c r="D636" i="72"/>
  <c r="D637" i="72"/>
  <c r="D638" i="72"/>
  <c r="D639" i="72"/>
  <c r="D640" i="72"/>
  <c r="D641" i="72"/>
  <c r="D642" i="72"/>
  <c r="D643" i="72"/>
  <c r="D644" i="72"/>
  <c r="D645" i="72"/>
  <c r="D646" i="72"/>
  <c r="D647" i="72"/>
  <c r="D648" i="72"/>
  <c r="D649" i="72"/>
  <c r="D650" i="72"/>
  <c r="D651" i="72"/>
  <c r="D652" i="72"/>
  <c r="D653" i="72"/>
  <c r="D654" i="72"/>
  <c r="D655" i="72"/>
  <c r="D656" i="72"/>
  <c r="D657" i="72"/>
  <c r="D658" i="72"/>
  <c r="D659" i="72"/>
  <c r="D660" i="72"/>
  <c r="D661" i="72"/>
  <c r="D662" i="72"/>
  <c r="D663" i="72"/>
  <c r="D664" i="72"/>
  <c r="D665" i="72"/>
  <c r="D666" i="72"/>
  <c r="D667" i="72"/>
  <c r="D668" i="72"/>
  <c r="D669" i="72"/>
  <c r="D670" i="72"/>
  <c r="D671" i="72"/>
  <c r="D672" i="72"/>
  <c r="D673" i="72"/>
  <c r="D674" i="72"/>
  <c r="D675" i="72"/>
  <c r="D676" i="72"/>
  <c r="D677" i="72"/>
  <c r="D678" i="72"/>
  <c r="D679" i="72"/>
  <c r="D680" i="72"/>
  <c r="D681" i="72"/>
  <c r="D682" i="72"/>
  <c r="D683" i="72"/>
  <c r="D684" i="72"/>
  <c r="D685" i="72"/>
  <c r="D686" i="72"/>
  <c r="D687" i="72"/>
  <c r="D688" i="72"/>
  <c r="D689" i="72"/>
  <c r="D690" i="72"/>
  <c r="D691" i="72"/>
  <c r="D692" i="72"/>
  <c r="D693" i="72"/>
  <c r="D694" i="72"/>
  <c r="D695" i="72"/>
  <c r="D696" i="72"/>
  <c r="D697" i="72"/>
  <c r="D698" i="72"/>
  <c r="D699" i="72"/>
  <c r="D700" i="72"/>
  <c r="D701" i="72"/>
  <c r="D702" i="72"/>
  <c r="D703" i="72"/>
  <c r="D704" i="72"/>
  <c r="D705" i="72"/>
  <c r="D706" i="72"/>
  <c r="D707" i="72"/>
  <c r="D708" i="72"/>
  <c r="D709" i="72"/>
  <c r="D710" i="72"/>
  <c r="D711" i="72"/>
  <c r="D712" i="72"/>
  <c r="D713" i="72"/>
  <c r="D714" i="72"/>
  <c r="D715" i="72"/>
  <c r="D716" i="72"/>
  <c r="D717" i="72"/>
  <c r="D718" i="72"/>
  <c r="D719" i="72"/>
  <c r="D720" i="72"/>
  <c r="D721" i="72"/>
  <c r="D722" i="72"/>
  <c r="D723" i="72"/>
  <c r="D724" i="72"/>
  <c r="D725" i="72"/>
  <c r="D726" i="72"/>
  <c r="D727" i="72"/>
  <c r="D728" i="72"/>
  <c r="D729" i="72"/>
  <c r="D730" i="72"/>
  <c r="D731" i="72"/>
  <c r="D732" i="72"/>
  <c r="D733" i="72"/>
  <c r="D734" i="72"/>
  <c r="D735" i="72"/>
  <c r="D736" i="72"/>
  <c r="D737" i="72"/>
  <c r="D738" i="72"/>
  <c r="D739" i="72"/>
  <c r="D740" i="72"/>
  <c r="D741" i="72"/>
  <c r="D742" i="72"/>
  <c r="D743" i="72"/>
  <c r="D744" i="72"/>
  <c r="D745" i="72"/>
  <c r="D746" i="72"/>
  <c r="D747" i="72"/>
  <c r="D748" i="72"/>
  <c r="D749" i="72"/>
  <c r="D750" i="72"/>
  <c r="D751" i="72"/>
  <c r="D752" i="72"/>
  <c r="D753" i="72"/>
  <c r="D754" i="72"/>
  <c r="D755" i="72"/>
  <c r="D756" i="72"/>
  <c r="D757" i="72"/>
  <c r="D758" i="72"/>
  <c r="D759" i="72"/>
  <c r="D760" i="72"/>
  <c r="D761" i="72"/>
  <c r="D762" i="72"/>
  <c r="D763" i="72"/>
  <c r="D764" i="72"/>
  <c r="D765" i="72"/>
  <c r="D766" i="72"/>
  <c r="D767" i="72"/>
  <c r="D768" i="72"/>
  <c r="D769" i="72"/>
  <c r="D770" i="72"/>
  <c r="D771" i="72"/>
  <c r="D772" i="72"/>
  <c r="D773" i="72"/>
  <c r="D774" i="72"/>
  <c r="D775" i="72"/>
  <c r="D776" i="72"/>
  <c r="D777" i="72"/>
  <c r="D778" i="72"/>
  <c r="D779" i="72"/>
  <c r="D780" i="72"/>
  <c r="D781" i="72"/>
  <c r="D782" i="72"/>
  <c r="D783" i="72"/>
  <c r="D784" i="72"/>
  <c r="D785" i="72"/>
  <c r="D786" i="72"/>
  <c r="D787" i="72"/>
  <c r="D788" i="72"/>
  <c r="D789" i="72"/>
  <c r="D790" i="72"/>
  <c r="D791" i="72"/>
  <c r="D792" i="72"/>
  <c r="D793" i="72"/>
  <c r="D794" i="72"/>
  <c r="D795" i="72"/>
  <c r="D796" i="72"/>
  <c r="D797" i="72"/>
  <c r="D798" i="72"/>
  <c r="D799" i="72"/>
  <c r="D800" i="72"/>
  <c r="D801" i="72"/>
  <c r="D802" i="72"/>
  <c r="D803" i="72"/>
  <c r="D804" i="72"/>
  <c r="D805" i="72"/>
  <c r="D806" i="72"/>
  <c r="D807" i="72"/>
  <c r="D808" i="72"/>
  <c r="D809" i="72"/>
  <c r="D810" i="72"/>
  <c r="D811" i="72"/>
  <c r="D812" i="72"/>
  <c r="D813" i="72"/>
  <c r="D814" i="72"/>
  <c r="D815" i="72"/>
  <c r="D816" i="72"/>
  <c r="D817" i="72"/>
  <c r="D818" i="72"/>
  <c r="D819" i="72"/>
  <c r="D820" i="72"/>
  <c r="D821" i="72"/>
  <c r="D822" i="72"/>
  <c r="D823" i="72"/>
  <c r="D824" i="72"/>
  <c r="D825" i="72"/>
  <c r="D826" i="72"/>
  <c r="D827" i="72"/>
  <c r="D828" i="72"/>
  <c r="D829" i="72"/>
  <c r="D830" i="72"/>
  <c r="D831" i="72"/>
  <c r="D832" i="72"/>
  <c r="D833" i="72"/>
  <c r="D834" i="72"/>
  <c r="D835" i="72"/>
  <c r="D836" i="72"/>
  <c r="D837" i="72"/>
  <c r="D838" i="72"/>
  <c r="D839" i="72"/>
  <c r="D840" i="72"/>
  <c r="D841" i="72"/>
  <c r="D842" i="72"/>
  <c r="D843" i="72"/>
  <c r="D844" i="72"/>
  <c r="D845" i="72"/>
  <c r="D846" i="72"/>
  <c r="D847" i="72"/>
  <c r="D848" i="72"/>
  <c r="D849" i="72"/>
  <c r="D850" i="72"/>
  <c r="D851" i="72"/>
  <c r="D852" i="72"/>
  <c r="D853" i="72"/>
  <c r="D854" i="72"/>
  <c r="D855" i="72"/>
  <c r="D856" i="72"/>
  <c r="D857" i="72"/>
  <c r="D858" i="72"/>
  <c r="D859" i="72"/>
  <c r="D860" i="72"/>
  <c r="D861" i="72"/>
  <c r="D862" i="72"/>
  <c r="D863" i="72"/>
  <c r="D864" i="72"/>
  <c r="D865" i="72"/>
  <c r="D866" i="72"/>
  <c r="D867" i="72"/>
  <c r="D868" i="72"/>
  <c r="D869" i="72"/>
  <c r="D870" i="72"/>
  <c r="D871" i="72"/>
  <c r="D872" i="72"/>
  <c r="D873" i="72"/>
  <c r="D874" i="72"/>
  <c r="D875" i="72"/>
  <c r="D876" i="72"/>
  <c r="D877" i="72"/>
  <c r="D878" i="72"/>
  <c r="D879" i="72"/>
  <c r="D880" i="72"/>
  <c r="D881" i="72"/>
  <c r="D882" i="72"/>
  <c r="D883" i="72"/>
  <c r="D884" i="72"/>
  <c r="D885" i="72"/>
  <c r="D886" i="72"/>
  <c r="D887" i="72"/>
  <c r="D888" i="72"/>
  <c r="D889" i="72"/>
  <c r="D890" i="72"/>
  <c r="D891" i="72"/>
  <c r="D892" i="72"/>
  <c r="D893" i="72"/>
  <c r="D894" i="72"/>
  <c r="D895" i="72"/>
  <c r="D896" i="72"/>
  <c r="D897" i="72"/>
  <c r="D898" i="72"/>
  <c r="D899" i="72"/>
  <c r="D900" i="72"/>
  <c r="D901" i="72"/>
  <c r="D902" i="72"/>
  <c r="D903" i="72"/>
  <c r="D904" i="72"/>
  <c r="D905" i="72"/>
  <c r="D906" i="72"/>
  <c r="D907" i="72"/>
  <c r="D908" i="72"/>
  <c r="B8" i="84"/>
  <c r="B6" i="84"/>
  <c r="N50" i="80" l="1"/>
  <c r="F38" i="84"/>
  <c r="F37" i="84"/>
  <c r="E38" i="84"/>
  <c r="H38" i="84"/>
  <c r="H37" i="84"/>
  <c r="D39" i="84"/>
  <c r="G40" i="84"/>
  <c r="E37" i="84"/>
  <c r="G38" i="84"/>
  <c r="C39" i="84"/>
  <c r="E39" i="84"/>
  <c r="F39" i="84"/>
  <c r="G39" i="84"/>
  <c r="K39" i="84" s="1"/>
  <c r="H39" i="84"/>
  <c r="D40" i="84"/>
  <c r="E40" i="84"/>
  <c r="F40" i="84"/>
  <c r="C38" i="84"/>
  <c r="D38" i="84"/>
  <c r="H40" i="84"/>
  <c r="C37" i="84"/>
  <c r="D37" i="84"/>
  <c r="C40" i="84"/>
  <c r="G37" i="84"/>
  <c r="T12" i="80"/>
  <c r="T10" i="80"/>
  <c r="T9" i="80"/>
  <c r="T11" i="80"/>
  <c r="T8" i="80"/>
  <c r="S50" i="80"/>
  <c r="G6" i="84" s="1"/>
  <c r="R50" i="80"/>
  <c r="Q50" i="80"/>
  <c r="P50" i="80"/>
  <c r="O50" i="80"/>
  <c r="G8" i="84" s="1"/>
  <c r="AC8" i="80"/>
  <c r="AD10" i="80"/>
  <c r="AC10" i="80"/>
  <c r="AD9" i="80"/>
  <c r="AC9" i="80"/>
  <c r="AD12" i="80"/>
  <c r="AE12" i="80" s="1"/>
  <c r="AC12" i="80"/>
  <c r="AD11" i="80"/>
  <c r="AC11" i="80"/>
  <c r="AD8" i="80"/>
  <c r="I32" i="72"/>
  <c r="I591" i="72"/>
  <c r="I544" i="72"/>
  <c r="I256" i="72"/>
  <c r="I463" i="72"/>
  <c r="I747" i="72"/>
  <c r="I192" i="72"/>
  <c r="I686" i="72"/>
  <c r="I448" i="72"/>
  <c r="I191" i="72"/>
  <c r="I604" i="72"/>
  <c r="I545" i="72"/>
  <c r="I537" i="72"/>
  <c r="I795" i="72"/>
  <c r="I193" i="72"/>
  <c r="I680" i="72"/>
  <c r="I447" i="72"/>
  <c r="I188" i="72"/>
  <c r="I257" i="72"/>
  <c r="I536" i="72"/>
  <c r="I462" i="72"/>
  <c r="I673" i="72"/>
  <c r="I385" i="72"/>
  <c r="I186" i="72"/>
  <c r="I859" i="72"/>
  <c r="I288" i="72"/>
  <c r="I748" i="72"/>
  <c r="I746" i="72"/>
  <c r="I672" i="72"/>
  <c r="I368" i="72"/>
  <c r="I97" i="72"/>
  <c r="I289" i="72"/>
  <c r="I816" i="72"/>
  <c r="I287" i="72"/>
  <c r="I796" i="72"/>
  <c r="I255" i="72"/>
  <c r="I460" i="72"/>
  <c r="I745" i="72"/>
  <c r="I908" i="72"/>
  <c r="I632" i="72"/>
  <c r="I367" i="72"/>
  <c r="I96" i="72"/>
  <c r="I858" i="72"/>
  <c r="I798" i="72"/>
  <c r="I89" i="72"/>
  <c r="I871" i="72"/>
  <c r="I620" i="72"/>
  <c r="I353" i="72"/>
  <c r="I95" i="72"/>
  <c r="I351" i="72"/>
  <c r="I865" i="72"/>
  <c r="I619" i="72"/>
  <c r="I352" i="72"/>
  <c r="I92" i="72"/>
  <c r="I907" i="72"/>
  <c r="I794" i="72"/>
  <c r="I671" i="72"/>
  <c r="I529" i="72"/>
  <c r="I856" i="72"/>
  <c r="I721" i="72"/>
  <c r="I668" i="72"/>
  <c r="I446" i="72"/>
  <c r="I159" i="72"/>
  <c r="I849" i="72"/>
  <c r="I720" i="72"/>
  <c r="I590" i="72"/>
  <c r="I444" i="72"/>
  <c r="I252" i="72"/>
  <c r="I156" i="72"/>
  <c r="I154" i="72"/>
  <c r="I897" i="72"/>
  <c r="I831" i="72"/>
  <c r="I780" i="72"/>
  <c r="I665" i="72"/>
  <c r="I505" i="72"/>
  <c r="I345" i="72"/>
  <c r="I57" i="72"/>
  <c r="I896" i="72"/>
  <c r="I779" i="72"/>
  <c r="I641" i="72"/>
  <c r="I504" i="72"/>
  <c r="I344" i="72"/>
  <c r="I56" i="72"/>
  <c r="I828" i="72"/>
  <c r="I715" i="72"/>
  <c r="I584" i="72"/>
  <c r="I410" i="72"/>
  <c r="I241" i="72"/>
  <c r="I145" i="72"/>
  <c r="I826" i="72"/>
  <c r="I714" i="72"/>
  <c r="I577" i="72"/>
  <c r="I409" i="72"/>
  <c r="I240" i="72"/>
  <c r="I144" i="72"/>
  <c r="I892" i="72"/>
  <c r="I759" i="72"/>
  <c r="I636" i="72"/>
  <c r="I494" i="72"/>
  <c r="I312" i="72"/>
  <c r="I143" i="72"/>
  <c r="I874" i="72"/>
  <c r="I753" i="72"/>
  <c r="I635" i="72"/>
  <c r="I492" i="72"/>
  <c r="I305" i="72"/>
  <c r="I33" i="72"/>
  <c r="I873" i="72"/>
  <c r="I823" i="72"/>
  <c r="I752" i="72"/>
  <c r="I700" i="72"/>
  <c r="I634" i="72"/>
  <c r="I553" i="72"/>
  <c r="I491" i="72"/>
  <c r="I400" i="72"/>
  <c r="I304" i="72"/>
  <c r="I208" i="72"/>
  <c r="I112" i="72"/>
  <c r="I857" i="72"/>
  <c r="I744" i="72"/>
  <c r="I603" i="72"/>
  <c r="I90" i="72"/>
  <c r="I906" i="72"/>
  <c r="I793" i="72"/>
  <c r="I528" i="72"/>
  <c r="I12" i="72"/>
  <c r="I15" i="72"/>
  <c r="I60" i="72"/>
  <c r="I113" i="72"/>
  <c r="I160" i="72"/>
  <c r="I217" i="72"/>
  <c r="I271" i="72"/>
  <c r="I316" i="72"/>
  <c r="I369" i="72"/>
  <c r="I416" i="72"/>
  <c r="I465" i="72"/>
  <c r="I520" i="72"/>
  <c r="I558" i="72"/>
  <c r="I606" i="72"/>
  <c r="I648" i="72"/>
  <c r="I688" i="72"/>
  <c r="I728" i="72"/>
  <c r="I766" i="72"/>
  <c r="I799" i="72"/>
  <c r="I842" i="72"/>
  <c r="I875" i="72"/>
  <c r="I64" i="72"/>
  <c r="I474" i="72"/>
  <c r="I560" i="72"/>
  <c r="I695" i="72"/>
  <c r="I730" i="72"/>
  <c r="I807" i="72"/>
  <c r="I879" i="72"/>
  <c r="I65" i="72"/>
  <c r="I25" i="72"/>
  <c r="I281" i="72"/>
  <c r="I380" i="72"/>
  <c r="I524" i="72"/>
  <c r="I617" i="72"/>
  <c r="I737" i="72"/>
  <c r="I809" i="72"/>
  <c r="I881" i="72"/>
  <c r="I80" i="72"/>
  <c r="I440" i="72"/>
  <c r="I575" i="72"/>
  <c r="I699" i="72"/>
  <c r="I776" i="72"/>
  <c r="I848" i="72"/>
  <c r="I81" i="72"/>
  <c r="I337" i="72"/>
  <c r="I490" i="72"/>
  <c r="I576" i="72"/>
  <c r="I16" i="72"/>
  <c r="I63" i="72"/>
  <c r="I120" i="72"/>
  <c r="I161" i="72"/>
  <c r="I218" i="72"/>
  <c r="I272" i="72"/>
  <c r="I319" i="72"/>
  <c r="I376" i="72"/>
  <c r="I417" i="72"/>
  <c r="I472" i="72"/>
  <c r="I521" i="72"/>
  <c r="I559" i="72"/>
  <c r="I607" i="72"/>
  <c r="I649" i="72"/>
  <c r="I689" i="72"/>
  <c r="I729" i="72"/>
  <c r="I767" i="72"/>
  <c r="I801" i="72"/>
  <c r="I843" i="72"/>
  <c r="I876" i="72"/>
  <c r="I17" i="72"/>
  <c r="I121" i="72"/>
  <c r="I175" i="72"/>
  <c r="I220" i="72"/>
  <c r="I273" i="72"/>
  <c r="I320" i="72"/>
  <c r="I377" i="72"/>
  <c r="I431" i="72"/>
  <c r="I522" i="72"/>
  <c r="I608" i="72"/>
  <c r="I650" i="72"/>
  <c r="I768" i="72"/>
  <c r="I844" i="72"/>
  <c r="I24" i="72"/>
  <c r="I122" i="72"/>
  <c r="I176" i="72"/>
  <c r="I223" i="72"/>
  <c r="I280" i="72"/>
  <c r="I321" i="72"/>
  <c r="I378" i="72"/>
  <c r="I432" i="72"/>
  <c r="I475" i="72"/>
  <c r="I523" i="72"/>
  <c r="I561" i="72"/>
  <c r="I609" i="72"/>
  <c r="I656" i="72"/>
  <c r="I696" i="72"/>
  <c r="I731" i="72"/>
  <c r="I769" i="72"/>
  <c r="I808" i="72"/>
  <c r="I846" i="72"/>
  <c r="I880" i="72"/>
  <c r="I79" i="72"/>
  <c r="I124" i="72"/>
  <c r="I177" i="72"/>
  <c r="I224" i="72"/>
  <c r="I335" i="72"/>
  <c r="I433" i="72"/>
  <c r="I476" i="72"/>
  <c r="I574" i="72"/>
  <c r="I657" i="72"/>
  <c r="I697" i="72"/>
  <c r="I775" i="72"/>
  <c r="I847" i="72"/>
  <c r="I26" i="72"/>
  <c r="I127" i="72"/>
  <c r="I184" i="72"/>
  <c r="I225" i="72"/>
  <c r="I282" i="72"/>
  <c r="I336" i="72"/>
  <c r="I383" i="72"/>
  <c r="I478" i="72"/>
  <c r="I526" i="72"/>
  <c r="I618" i="72"/>
  <c r="I664" i="72"/>
  <c r="I743" i="72"/>
  <c r="I815" i="72"/>
  <c r="I887" i="72"/>
  <c r="I28" i="72"/>
  <c r="I128" i="72"/>
  <c r="I185" i="72"/>
  <c r="I239" i="72"/>
  <c r="I284" i="72"/>
  <c r="I384" i="72"/>
  <c r="I441" i="72"/>
  <c r="I904" i="72"/>
  <c r="I792" i="72"/>
  <c r="I667" i="72"/>
  <c r="I507" i="72"/>
  <c r="I348" i="72"/>
  <c r="I88" i="72"/>
  <c r="I903" i="72"/>
  <c r="I832" i="72"/>
  <c r="I782" i="72"/>
  <c r="I719" i="72"/>
  <c r="I666" i="72"/>
  <c r="I588" i="72"/>
  <c r="I506" i="72"/>
  <c r="I442" i="72"/>
  <c r="I346" i="72"/>
  <c r="I250" i="72"/>
  <c r="I58" i="72"/>
  <c r="I718" i="72"/>
  <c r="I587" i="72"/>
  <c r="I415" i="72"/>
  <c r="I249" i="72"/>
  <c r="I153" i="72"/>
  <c r="I830" i="72"/>
  <c r="I716" i="72"/>
  <c r="I585" i="72"/>
  <c r="I412" i="72"/>
  <c r="I248" i="72"/>
  <c r="I152" i="72"/>
  <c r="I895" i="72"/>
  <c r="I778" i="72"/>
  <c r="I639" i="72"/>
  <c r="I496" i="72"/>
  <c r="I314" i="72"/>
  <c r="I49" i="72"/>
  <c r="I894" i="72"/>
  <c r="I764" i="72"/>
  <c r="I638" i="72"/>
  <c r="I495" i="72"/>
  <c r="I313" i="72"/>
  <c r="I48" i="72"/>
  <c r="I825" i="72"/>
  <c r="I703" i="72"/>
  <c r="I555" i="72"/>
  <c r="I408" i="72"/>
  <c r="I216" i="72"/>
  <c r="I47" i="72"/>
  <c r="I824" i="72"/>
  <c r="I702" i="72"/>
  <c r="I554" i="72"/>
  <c r="I401" i="72"/>
  <c r="I209" i="72"/>
  <c r="I129" i="72"/>
  <c r="I872" i="72"/>
  <c r="I817" i="72"/>
  <c r="I751" i="72"/>
  <c r="I687" i="72"/>
  <c r="I633" i="72"/>
  <c r="I552" i="72"/>
  <c r="I464" i="72"/>
  <c r="I399" i="72"/>
  <c r="I303" i="72"/>
  <c r="I207" i="72"/>
  <c r="I111" i="72"/>
  <c r="I31" i="72"/>
  <c r="I905" i="72"/>
  <c r="I878" i="72"/>
  <c r="I855" i="72"/>
  <c r="I827" i="72"/>
  <c r="I800" i="72"/>
  <c r="I777" i="72"/>
  <c r="I750" i="72"/>
  <c r="I727" i="72"/>
  <c r="I698" i="72"/>
  <c r="I670" i="72"/>
  <c r="I640" i="72"/>
  <c r="I616" i="72"/>
  <c r="I586" i="72"/>
  <c r="I556" i="72"/>
  <c r="I527" i="72"/>
  <c r="I497" i="72"/>
  <c r="I473" i="72"/>
  <c r="I443" i="72"/>
  <c r="I411" i="72"/>
  <c r="I379" i="72"/>
  <c r="I347" i="72"/>
  <c r="I315" i="72"/>
  <c r="I283" i="72"/>
  <c r="I251" i="72"/>
  <c r="I219" i="72"/>
  <c r="I187" i="72"/>
  <c r="I155" i="72"/>
  <c r="I123" i="72"/>
  <c r="I91" i="72"/>
  <c r="I59" i="72"/>
  <c r="I27" i="72"/>
  <c r="I602" i="72"/>
  <c r="I572" i="72"/>
  <c r="I543" i="72"/>
  <c r="I513" i="72"/>
  <c r="I489" i="72"/>
  <c r="I459" i="72"/>
  <c r="I428" i="72"/>
  <c r="I396" i="72"/>
  <c r="I364" i="72"/>
  <c r="I332" i="72"/>
  <c r="I300" i="72"/>
  <c r="I268" i="72"/>
  <c r="I236" i="72"/>
  <c r="I204" i="72"/>
  <c r="I172" i="72"/>
  <c r="I140" i="72"/>
  <c r="I108" i="72"/>
  <c r="I76" i="72"/>
  <c r="I44" i="72"/>
  <c r="I2" i="72"/>
  <c r="I18" i="72"/>
  <c r="I34" i="72"/>
  <c r="I50" i="72"/>
  <c r="I66" i="72"/>
  <c r="I82" i="72"/>
  <c r="I98" i="72"/>
  <c r="I114" i="72"/>
  <c r="I130" i="72"/>
  <c r="I146" i="72"/>
  <c r="I162" i="72"/>
  <c r="I178" i="72"/>
  <c r="I194" i="72"/>
  <c r="I210" i="72"/>
  <c r="I226" i="72"/>
  <c r="I242" i="72"/>
  <c r="I258" i="72"/>
  <c r="I274" i="72"/>
  <c r="I290" i="72"/>
  <c r="I306" i="72"/>
  <c r="I322" i="72"/>
  <c r="I338" i="72"/>
  <c r="I354" i="72"/>
  <c r="I370" i="72"/>
  <c r="I386" i="72"/>
  <c r="I402" i="72"/>
  <c r="I418" i="72"/>
  <c r="I434" i="72"/>
  <c r="I450" i="72"/>
  <c r="I466" i="72"/>
  <c r="I482" i="72"/>
  <c r="I498" i="72"/>
  <c r="I514" i="72"/>
  <c r="I530" i="72"/>
  <c r="I546" i="72"/>
  <c r="I562" i="72"/>
  <c r="I578" i="72"/>
  <c r="I594" i="72"/>
  <c r="I610" i="72"/>
  <c r="I626" i="72"/>
  <c r="I642" i="72"/>
  <c r="I658" i="72"/>
  <c r="I674" i="72"/>
  <c r="I690" i="72"/>
  <c r="I706" i="72"/>
  <c r="I722" i="72"/>
  <c r="I738" i="72"/>
  <c r="I754" i="72"/>
  <c r="I770" i="72"/>
  <c r="I786" i="72"/>
  <c r="I802" i="72"/>
  <c r="I818" i="72"/>
  <c r="I834" i="72"/>
  <c r="I850" i="72"/>
  <c r="I866" i="72"/>
  <c r="I882" i="72"/>
  <c r="I898" i="72"/>
  <c r="I23" i="72"/>
  <c r="I455" i="72"/>
  <c r="I535" i="72"/>
  <c r="I599" i="72"/>
  <c r="I663" i="72"/>
  <c r="I3" i="72"/>
  <c r="I19" i="72"/>
  <c r="I35" i="72"/>
  <c r="I51" i="72"/>
  <c r="I67" i="72"/>
  <c r="I83" i="72"/>
  <c r="I99" i="72"/>
  <c r="I115" i="72"/>
  <c r="I131" i="72"/>
  <c r="I147" i="72"/>
  <c r="I163" i="72"/>
  <c r="I179" i="72"/>
  <c r="I195" i="72"/>
  <c r="I211" i="72"/>
  <c r="I227" i="72"/>
  <c r="I243" i="72"/>
  <c r="I259" i="72"/>
  <c r="I275" i="72"/>
  <c r="I291" i="72"/>
  <c r="I307" i="72"/>
  <c r="I323" i="72"/>
  <c r="I339" i="72"/>
  <c r="I355" i="72"/>
  <c r="I371" i="72"/>
  <c r="I387" i="72"/>
  <c r="I403" i="72"/>
  <c r="I419" i="72"/>
  <c r="I435" i="72"/>
  <c r="I451" i="72"/>
  <c r="I467" i="72"/>
  <c r="I483" i="72"/>
  <c r="I499" i="72"/>
  <c r="I515" i="72"/>
  <c r="I531" i="72"/>
  <c r="I547" i="72"/>
  <c r="I563" i="72"/>
  <c r="I579" i="72"/>
  <c r="I595" i="72"/>
  <c r="I611" i="72"/>
  <c r="I627" i="72"/>
  <c r="I643" i="72"/>
  <c r="I659" i="72"/>
  <c r="I675" i="72"/>
  <c r="I691" i="72"/>
  <c r="I707" i="72"/>
  <c r="I723" i="72"/>
  <c r="I739" i="72"/>
  <c r="I755" i="72"/>
  <c r="I771" i="72"/>
  <c r="I787" i="72"/>
  <c r="I803" i="72"/>
  <c r="I819" i="72"/>
  <c r="I835" i="72"/>
  <c r="I851" i="72"/>
  <c r="I867" i="72"/>
  <c r="I883" i="72"/>
  <c r="I899" i="72"/>
  <c r="I71" i="72"/>
  <c r="I471" i="72"/>
  <c r="I551" i="72"/>
  <c r="I615" i="72"/>
  <c r="I679" i="72"/>
  <c r="I4" i="72"/>
  <c r="I20" i="72"/>
  <c r="I36" i="72"/>
  <c r="I52" i="72"/>
  <c r="I68" i="72"/>
  <c r="I84" i="72"/>
  <c r="I100" i="72"/>
  <c r="I116" i="72"/>
  <c r="I132" i="72"/>
  <c r="I148" i="72"/>
  <c r="I164" i="72"/>
  <c r="I180" i="72"/>
  <c r="I196" i="72"/>
  <c r="I212" i="72"/>
  <c r="I228" i="72"/>
  <c r="I244" i="72"/>
  <c r="I260" i="72"/>
  <c r="I276" i="72"/>
  <c r="I292" i="72"/>
  <c r="I308" i="72"/>
  <c r="I324" i="72"/>
  <c r="I340" i="72"/>
  <c r="I356" i="72"/>
  <c r="I372" i="72"/>
  <c r="I388" i="72"/>
  <c r="I404" i="72"/>
  <c r="I420" i="72"/>
  <c r="I436" i="72"/>
  <c r="I452" i="72"/>
  <c r="I468" i="72"/>
  <c r="I484" i="72"/>
  <c r="I500" i="72"/>
  <c r="I516" i="72"/>
  <c r="I532" i="72"/>
  <c r="I548" i="72"/>
  <c r="I564" i="72"/>
  <c r="I580" i="72"/>
  <c r="I596" i="72"/>
  <c r="I612" i="72"/>
  <c r="I628" i="72"/>
  <c r="I644" i="72"/>
  <c r="I660" i="72"/>
  <c r="I676" i="72"/>
  <c r="I692" i="72"/>
  <c r="I708" i="72"/>
  <c r="I724" i="72"/>
  <c r="I740" i="72"/>
  <c r="I756" i="72"/>
  <c r="I772" i="72"/>
  <c r="I788" i="72"/>
  <c r="I804" i="72"/>
  <c r="I820" i="72"/>
  <c r="I836" i="72"/>
  <c r="I852" i="72"/>
  <c r="I868" i="72"/>
  <c r="I884" i="72"/>
  <c r="I900" i="72"/>
  <c r="I39" i="72"/>
  <c r="I487" i="72"/>
  <c r="I583" i="72"/>
  <c r="I647" i="72"/>
  <c r="I711" i="72"/>
  <c r="I5" i="72"/>
  <c r="I21" i="72"/>
  <c r="I37" i="72"/>
  <c r="I53" i="72"/>
  <c r="I69" i="72"/>
  <c r="I85" i="72"/>
  <c r="I101" i="72"/>
  <c r="I117" i="72"/>
  <c r="I133" i="72"/>
  <c r="I149" i="72"/>
  <c r="I165" i="72"/>
  <c r="I181" i="72"/>
  <c r="I197" i="72"/>
  <c r="I213" i="72"/>
  <c r="I229" i="72"/>
  <c r="I245" i="72"/>
  <c r="I261" i="72"/>
  <c r="I277" i="72"/>
  <c r="I293" i="72"/>
  <c r="I309" i="72"/>
  <c r="I325" i="72"/>
  <c r="I341" i="72"/>
  <c r="I357" i="72"/>
  <c r="I373" i="72"/>
  <c r="I389" i="72"/>
  <c r="I405" i="72"/>
  <c r="I421" i="72"/>
  <c r="I437" i="72"/>
  <c r="I453" i="72"/>
  <c r="I469" i="72"/>
  <c r="I485" i="72"/>
  <c r="I501" i="72"/>
  <c r="I517" i="72"/>
  <c r="I533" i="72"/>
  <c r="I549" i="72"/>
  <c r="I565" i="72"/>
  <c r="I581" i="72"/>
  <c r="I597" i="72"/>
  <c r="I613" i="72"/>
  <c r="I629" i="72"/>
  <c r="I645" i="72"/>
  <c r="I661" i="72"/>
  <c r="I677" i="72"/>
  <c r="I693" i="72"/>
  <c r="I709" i="72"/>
  <c r="I725" i="72"/>
  <c r="I741" i="72"/>
  <c r="I757" i="72"/>
  <c r="I773" i="72"/>
  <c r="I789" i="72"/>
  <c r="I805" i="72"/>
  <c r="I821" i="72"/>
  <c r="I837" i="72"/>
  <c r="I853" i="72"/>
  <c r="I869" i="72"/>
  <c r="I885" i="72"/>
  <c r="I901" i="72"/>
  <c r="I55" i="72"/>
  <c r="I6" i="72"/>
  <c r="I22" i="72"/>
  <c r="I38" i="72"/>
  <c r="I54" i="72"/>
  <c r="I70" i="72"/>
  <c r="I86" i="72"/>
  <c r="I102" i="72"/>
  <c r="I118" i="72"/>
  <c r="I134" i="72"/>
  <c r="I150" i="72"/>
  <c r="I166" i="72"/>
  <c r="I182" i="72"/>
  <c r="I198" i="72"/>
  <c r="I214" i="72"/>
  <c r="I230" i="72"/>
  <c r="I246" i="72"/>
  <c r="I262" i="72"/>
  <c r="I278" i="72"/>
  <c r="I294" i="72"/>
  <c r="I310" i="72"/>
  <c r="I326" i="72"/>
  <c r="I342" i="72"/>
  <c r="I358" i="72"/>
  <c r="I374" i="72"/>
  <c r="I390" i="72"/>
  <c r="I406" i="72"/>
  <c r="I422" i="72"/>
  <c r="I438" i="72"/>
  <c r="I454" i="72"/>
  <c r="I470" i="72"/>
  <c r="I486" i="72"/>
  <c r="I502" i="72"/>
  <c r="I518" i="72"/>
  <c r="I534" i="72"/>
  <c r="I550" i="72"/>
  <c r="I566" i="72"/>
  <c r="I582" i="72"/>
  <c r="I598" i="72"/>
  <c r="I614" i="72"/>
  <c r="I630" i="72"/>
  <c r="I646" i="72"/>
  <c r="I662" i="72"/>
  <c r="I678" i="72"/>
  <c r="I694" i="72"/>
  <c r="I710" i="72"/>
  <c r="I726" i="72"/>
  <c r="I742" i="72"/>
  <c r="I758" i="72"/>
  <c r="I774" i="72"/>
  <c r="I790" i="72"/>
  <c r="I806" i="72"/>
  <c r="I822" i="72"/>
  <c r="I838" i="72"/>
  <c r="I854" i="72"/>
  <c r="I870" i="72"/>
  <c r="I886" i="72"/>
  <c r="I902" i="72"/>
  <c r="I7" i="72"/>
  <c r="I87" i="72"/>
  <c r="I103" i="72"/>
  <c r="I119" i="72"/>
  <c r="I135" i="72"/>
  <c r="I151" i="72"/>
  <c r="I167" i="72"/>
  <c r="I183" i="72"/>
  <c r="I199" i="72"/>
  <c r="I215" i="72"/>
  <c r="I231" i="72"/>
  <c r="I247" i="72"/>
  <c r="I263" i="72"/>
  <c r="I279" i="72"/>
  <c r="I295" i="72"/>
  <c r="I311" i="72"/>
  <c r="I327" i="72"/>
  <c r="I343" i="72"/>
  <c r="I359" i="72"/>
  <c r="I375" i="72"/>
  <c r="I391" i="72"/>
  <c r="I407" i="72"/>
  <c r="I423" i="72"/>
  <c r="I439" i="72"/>
  <c r="I503" i="72"/>
  <c r="I519" i="72"/>
  <c r="I567" i="72"/>
  <c r="I631" i="72"/>
  <c r="I13" i="72"/>
  <c r="I29" i="72"/>
  <c r="I45" i="72"/>
  <c r="I61" i="72"/>
  <c r="I77" i="72"/>
  <c r="I93" i="72"/>
  <c r="I109" i="72"/>
  <c r="I125" i="72"/>
  <c r="I141" i="72"/>
  <c r="I157" i="72"/>
  <c r="I173" i="72"/>
  <c r="I189" i="72"/>
  <c r="I205" i="72"/>
  <c r="I221" i="72"/>
  <c r="I237" i="72"/>
  <c r="I253" i="72"/>
  <c r="I269" i="72"/>
  <c r="I285" i="72"/>
  <c r="I301" i="72"/>
  <c r="I317" i="72"/>
  <c r="I333" i="72"/>
  <c r="I349" i="72"/>
  <c r="I365" i="72"/>
  <c r="I381" i="72"/>
  <c r="I397" i="72"/>
  <c r="I413" i="72"/>
  <c r="I429" i="72"/>
  <c r="I445" i="72"/>
  <c r="I461" i="72"/>
  <c r="I477" i="72"/>
  <c r="I493" i="72"/>
  <c r="I509" i="72"/>
  <c r="I525" i="72"/>
  <c r="I541" i="72"/>
  <c r="I557" i="72"/>
  <c r="I573" i="72"/>
  <c r="I589" i="72"/>
  <c r="I605" i="72"/>
  <c r="I621" i="72"/>
  <c r="I637" i="72"/>
  <c r="I653" i="72"/>
  <c r="I669" i="72"/>
  <c r="I685" i="72"/>
  <c r="I701" i="72"/>
  <c r="I717" i="72"/>
  <c r="I733" i="72"/>
  <c r="I749" i="72"/>
  <c r="I765" i="72"/>
  <c r="I781" i="72"/>
  <c r="I797" i="72"/>
  <c r="I813" i="72"/>
  <c r="I829" i="72"/>
  <c r="I845" i="72"/>
  <c r="I861" i="72"/>
  <c r="I877" i="72"/>
  <c r="I893" i="72"/>
  <c r="I14" i="72"/>
  <c r="I30" i="72"/>
  <c r="I46" i="72"/>
  <c r="I62" i="72"/>
  <c r="I78" i="72"/>
  <c r="I94" i="72"/>
  <c r="I110" i="72"/>
  <c r="I126" i="72"/>
  <c r="I142" i="72"/>
  <c r="I158" i="72"/>
  <c r="I174" i="72"/>
  <c r="I190" i="72"/>
  <c r="I206" i="72"/>
  <c r="I222" i="72"/>
  <c r="I238" i="72"/>
  <c r="I254" i="72"/>
  <c r="I270" i="72"/>
  <c r="I286" i="72"/>
  <c r="I302" i="72"/>
  <c r="I318" i="72"/>
  <c r="I334" i="72"/>
  <c r="I350" i="72"/>
  <c r="I366" i="72"/>
  <c r="I382" i="72"/>
  <c r="I398" i="72"/>
  <c r="I414" i="72"/>
  <c r="I430" i="72"/>
  <c r="I891" i="72"/>
  <c r="I864" i="72"/>
  <c r="I841" i="72"/>
  <c r="I814" i="72"/>
  <c r="I791" i="72"/>
  <c r="I763" i="72"/>
  <c r="I736" i="72"/>
  <c r="I713" i="72"/>
  <c r="I684" i="72"/>
  <c r="I655" i="72"/>
  <c r="I625" i="72"/>
  <c r="I601" i="72"/>
  <c r="I571" i="72"/>
  <c r="I542" i="72"/>
  <c r="I512" i="72"/>
  <c r="I488" i="72"/>
  <c r="I458" i="72"/>
  <c r="I427" i="72"/>
  <c r="I395" i="72"/>
  <c r="I363" i="72"/>
  <c r="I331" i="72"/>
  <c r="I299" i="72"/>
  <c r="I267" i="72"/>
  <c r="I235" i="72"/>
  <c r="I203" i="72"/>
  <c r="I171" i="72"/>
  <c r="I139" i="72"/>
  <c r="I107" i="72"/>
  <c r="I75" i="72"/>
  <c r="I43" i="72"/>
  <c r="I11" i="72"/>
  <c r="I890" i="72"/>
  <c r="I863" i="72"/>
  <c r="I840" i="72"/>
  <c r="I812" i="72"/>
  <c r="I785" i="72"/>
  <c r="I762" i="72"/>
  <c r="I735" i="72"/>
  <c r="I712" i="72"/>
  <c r="I683" i="72"/>
  <c r="I654" i="72"/>
  <c r="I624" i="72"/>
  <c r="I600" i="72"/>
  <c r="I570" i="72"/>
  <c r="I540" i="72"/>
  <c r="I511" i="72"/>
  <c r="I481" i="72"/>
  <c r="I457" i="72"/>
  <c r="I426" i="72"/>
  <c r="I394" i="72"/>
  <c r="I362" i="72"/>
  <c r="I330" i="72"/>
  <c r="I298" i="72"/>
  <c r="I266" i="72"/>
  <c r="I234" i="72"/>
  <c r="I202" i="72"/>
  <c r="I170" i="72"/>
  <c r="I138" i="72"/>
  <c r="I106" i="72"/>
  <c r="I74" i="72"/>
  <c r="I42" i="72"/>
  <c r="I10" i="72"/>
  <c r="I889" i="72"/>
  <c r="I862" i="72"/>
  <c r="I839" i="72"/>
  <c r="I811" i="72"/>
  <c r="I784" i="72"/>
  <c r="I761" i="72"/>
  <c r="I734" i="72"/>
  <c r="I705" i="72"/>
  <c r="I682" i="72"/>
  <c r="I652" i="72"/>
  <c r="I623" i="72"/>
  <c r="I593" i="72"/>
  <c r="I569" i="72"/>
  <c r="I539" i="72"/>
  <c r="I510" i="72"/>
  <c r="I480" i="72"/>
  <c r="I456" i="72"/>
  <c r="I425" i="72"/>
  <c r="I393" i="72"/>
  <c r="I361" i="72"/>
  <c r="I329" i="72"/>
  <c r="I297" i="72"/>
  <c r="I265" i="72"/>
  <c r="I233" i="72"/>
  <c r="I201" i="72"/>
  <c r="I169" i="72"/>
  <c r="I137" i="72"/>
  <c r="I105" i="72"/>
  <c r="I73" i="72"/>
  <c r="I41" i="72"/>
  <c r="I9" i="72"/>
  <c r="I888" i="72"/>
  <c r="I860" i="72"/>
  <c r="I833" i="72"/>
  <c r="I810" i="72"/>
  <c r="I783" i="72"/>
  <c r="I760" i="72"/>
  <c r="I732" i="72"/>
  <c r="I704" i="72"/>
  <c r="I681" i="72"/>
  <c r="I651" i="72"/>
  <c r="I622" i="72"/>
  <c r="I592" i="72"/>
  <c r="I568" i="72"/>
  <c r="I538" i="72"/>
  <c r="I508" i="72"/>
  <c r="I479" i="72"/>
  <c r="I449" i="72"/>
  <c r="I424" i="72"/>
  <c r="I392" i="72"/>
  <c r="I360" i="72"/>
  <c r="I328" i="72"/>
  <c r="I296" i="72"/>
  <c r="I264" i="72"/>
  <c r="I232" i="72"/>
  <c r="I200" i="72"/>
  <c r="I168" i="72"/>
  <c r="I136" i="72"/>
  <c r="I104" i="72"/>
  <c r="I72" i="72"/>
  <c r="I40" i="72"/>
  <c r="I8" i="72"/>
  <c r="E16" i="72"/>
  <c r="G16" i="72" s="1"/>
  <c r="E32" i="72"/>
  <c r="G32" i="72" s="1"/>
  <c r="E48" i="72"/>
  <c r="G48" i="72" s="1"/>
  <c r="E64" i="72"/>
  <c r="G64" i="72" s="1"/>
  <c r="E80" i="72"/>
  <c r="G80" i="72" s="1"/>
  <c r="E96" i="72"/>
  <c r="G96" i="72" s="1"/>
  <c r="E112" i="72"/>
  <c r="G112" i="72" s="1"/>
  <c r="E128" i="72"/>
  <c r="G128" i="72" s="1"/>
  <c r="E144" i="72"/>
  <c r="G144" i="72" s="1"/>
  <c r="E160" i="72"/>
  <c r="G160" i="72" s="1"/>
  <c r="E176" i="72"/>
  <c r="G176" i="72" s="1"/>
  <c r="E192" i="72"/>
  <c r="G192" i="72" s="1"/>
  <c r="E208" i="72"/>
  <c r="G208" i="72" s="1"/>
  <c r="E224" i="72"/>
  <c r="G224" i="72" s="1"/>
  <c r="E240" i="72"/>
  <c r="G240" i="72" s="1"/>
  <c r="E256" i="72"/>
  <c r="G256" i="72" s="1"/>
  <c r="E272" i="72"/>
  <c r="G272" i="72" s="1"/>
  <c r="E288" i="72"/>
  <c r="G288" i="72" s="1"/>
  <c r="E304" i="72"/>
  <c r="G304" i="72" s="1"/>
  <c r="E320" i="72"/>
  <c r="G320" i="72" s="1"/>
  <c r="E336" i="72"/>
  <c r="G336" i="72" s="1"/>
  <c r="E352" i="72"/>
  <c r="G352" i="72" s="1"/>
  <c r="E368" i="72"/>
  <c r="G368" i="72" s="1"/>
  <c r="E384" i="72"/>
  <c r="G384" i="72" s="1"/>
  <c r="E400" i="72"/>
  <c r="G400" i="72" s="1"/>
  <c r="E416" i="72"/>
  <c r="G416" i="72" s="1"/>
  <c r="E432" i="72"/>
  <c r="G432" i="72" s="1"/>
  <c r="E448" i="72"/>
  <c r="G448" i="72" s="1"/>
  <c r="E464" i="72"/>
  <c r="G464" i="72" s="1"/>
  <c r="E480" i="72"/>
  <c r="G480" i="72" s="1"/>
  <c r="E496" i="72"/>
  <c r="G496" i="72" s="1"/>
  <c r="E512" i="72"/>
  <c r="G512" i="72" s="1"/>
  <c r="E528" i="72"/>
  <c r="G528" i="72" s="1"/>
  <c r="E544" i="72"/>
  <c r="G544" i="72" s="1"/>
  <c r="E560" i="72"/>
  <c r="G560" i="72" s="1"/>
  <c r="E576" i="72"/>
  <c r="G576" i="72" s="1"/>
  <c r="E592" i="72"/>
  <c r="G592" i="72" s="1"/>
  <c r="E608" i="72"/>
  <c r="G608" i="72" s="1"/>
  <c r="E624" i="72"/>
  <c r="G624" i="72" s="1"/>
  <c r="E640" i="72"/>
  <c r="G640" i="72" s="1"/>
  <c r="E17" i="72"/>
  <c r="G17" i="72" s="1"/>
  <c r="E33" i="72"/>
  <c r="G33" i="72" s="1"/>
  <c r="E49" i="72"/>
  <c r="G49" i="72" s="1"/>
  <c r="E65" i="72"/>
  <c r="G65" i="72" s="1"/>
  <c r="E81" i="72"/>
  <c r="G81" i="72" s="1"/>
  <c r="E97" i="72"/>
  <c r="G97" i="72" s="1"/>
  <c r="E113" i="72"/>
  <c r="G113" i="72" s="1"/>
  <c r="E129" i="72"/>
  <c r="G129" i="72" s="1"/>
  <c r="E145" i="72"/>
  <c r="G145" i="72" s="1"/>
  <c r="E161" i="72"/>
  <c r="G161" i="72" s="1"/>
  <c r="E177" i="72"/>
  <c r="G177" i="72" s="1"/>
  <c r="E193" i="72"/>
  <c r="G193" i="72" s="1"/>
  <c r="E209" i="72"/>
  <c r="G209" i="72" s="1"/>
  <c r="E225" i="72"/>
  <c r="G225" i="72" s="1"/>
  <c r="E241" i="72"/>
  <c r="G241" i="72" s="1"/>
  <c r="E257" i="72"/>
  <c r="G257" i="72" s="1"/>
  <c r="E273" i="72"/>
  <c r="G273" i="72" s="1"/>
  <c r="E289" i="72"/>
  <c r="G289" i="72" s="1"/>
  <c r="E305" i="72"/>
  <c r="G305" i="72" s="1"/>
  <c r="E321" i="72"/>
  <c r="G321" i="72" s="1"/>
  <c r="E337" i="72"/>
  <c r="G337" i="72" s="1"/>
  <c r="E353" i="72"/>
  <c r="G353" i="72" s="1"/>
  <c r="E369" i="72"/>
  <c r="G369" i="72" s="1"/>
  <c r="E385" i="72"/>
  <c r="G385" i="72" s="1"/>
  <c r="E401" i="72"/>
  <c r="G401" i="72" s="1"/>
  <c r="E417" i="72"/>
  <c r="G417" i="72" s="1"/>
  <c r="E433" i="72"/>
  <c r="G433" i="72" s="1"/>
  <c r="E449" i="72"/>
  <c r="G449" i="72" s="1"/>
  <c r="E465" i="72"/>
  <c r="G465" i="72" s="1"/>
  <c r="E481" i="72"/>
  <c r="G481" i="72" s="1"/>
  <c r="E497" i="72"/>
  <c r="G497" i="72" s="1"/>
  <c r="E513" i="72"/>
  <c r="G513" i="72" s="1"/>
  <c r="E529" i="72"/>
  <c r="G529" i="72" s="1"/>
  <c r="E545" i="72"/>
  <c r="G545" i="72" s="1"/>
  <c r="E561" i="72"/>
  <c r="G561" i="72" s="1"/>
  <c r="E577" i="72"/>
  <c r="G577" i="72" s="1"/>
  <c r="E593" i="72"/>
  <c r="G593" i="72" s="1"/>
  <c r="E609" i="72"/>
  <c r="G609" i="72" s="1"/>
  <c r="E625" i="72"/>
  <c r="G625" i="72" s="1"/>
  <c r="E641" i="72"/>
  <c r="G641" i="72" s="1"/>
  <c r="E657" i="72"/>
  <c r="G657" i="72" s="1"/>
  <c r="E673" i="72"/>
  <c r="G673" i="72" s="1"/>
  <c r="E689" i="72"/>
  <c r="G689" i="72" s="1"/>
  <c r="E2" i="72"/>
  <c r="G2" i="72" s="1"/>
  <c r="E18" i="72"/>
  <c r="G18" i="72" s="1"/>
  <c r="E34" i="72"/>
  <c r="G34" i="72" s="1"/>
  <c r="E50" i="72"/>
  <c r="G50" i="72" s="1"/>
  <c r="E66" i="72"/>
  <c r="G66" i="72" s="1"/>
  <c r="E82" i="72"/>
  <c r="G82" i="72" s="1"/>
  <c r="E98" i="72"/>
  <c r="G98" i="72" s="1"/>
  <c r="E114" i="72"/>
  <c r="G114" i="72" s="1"/>
  <c r="E130" i="72"/>
  <c r="G130" i="72" s="1"/>
  <c r="E146" i="72"/>
  <c r="G146" i="72" s="1"/>
  <c r="E162" i="72"/>
  <c r="G162" i="72" s="1"/>
  <c r="E178" i="72"/>
  <c r="G178" i="72" s="1"/>
  <c r="E194" i="72"/>
  <c r="G194" i="72" s="1"/>
  <c r="E210" i="72"/>
  <c r="G210" i="72" s="1"/>
  <c r="E226" i="72"/>
  <c r="G226" i="72" s="1"/>
  <c r="E242" i="72"/>
  <c r="G242" i="72" s="1"/>
  <c r="E258" i="72"/>
  <c r="G258" i="72" s="1"/>
  <c r="E274" i="72"/>
  <c r="G274" i="72" s="1"/>
  <c r="E290" i="72"/>
  <c r="G290" i="72" s="1"/>
  <c r="E306" i="72"/>
  <c r="G306" i="72" s="1"/>
  <c r="E322" i="72"/>
  <c r="G322" i="72" s="1"/>
  <c r="E338" i="72"/>
  <c r="G338" i="72" s="1"/>
  <c r="E354" i="72"/>
  <c r="G354" i="72" s="1"/>
  <c r="E370" i="72"/>
  <c r="G370" i="72" s="1"/>
  <c r="E386" i="72"/>
  <c r="G386" i="72" s="1"/>
  <c r="E402" i="72"/>
  <c r="G402" i="72" s="1"/>
  <c r="E418" i="72"/>
  <c r="G418" i="72" s="1"/>
  <c r="E434" i="72"/>
  <c r="G434" i="72" s="1"/>
  <c r="E450" i="72"/>
  <c r="G450" i="72" s="1"/>
  <c r="E466" i="72"/>
  <c r="G466" i="72" s="1"/>
  <c r="E482" i="72"/>
  <c r="G482" i="72" s="1"/>
  <c r="E498" i="72"/>
  <c r="G498" i="72" s="1"/>
  <c r="E514" i="72"/>
  <c r="G514" i="72" s="1"/>
  <c r="E530" i="72"/>
  <c r="G530" i="72" s="1"/>
  <c r="E546" i="72"/>
  <c r="G546" i="72" s="1"/>
  <c r="E562" i="72"/>
  <c r="G562" i="72" s="1"/>
  <c r="E578" i="72"/>
  <c r="G578" i="72" s="1"/>
  <c r="E594" i="72"/>
  <c r="G594" i="72" s="1"/>
  <c r="E610" i="72"/>
  <c r="G610" i="72" s="1"/>
  <c r="E626" i="72"/>
  <c r="G626" i="72" s="1"/>
  <c r="E642" i="72"/>
  <c r="G642" i="72" s="1"/>
  <c r="E658" i="72"/>
  <c r="G658" i="72" s="1"/>
  <c r="E674" i="72"/>
  <c r="G674" i="72" s="1"/>
  <c r="E690" i="72"/>
  <c r="G690" i="72" s="1"/>
  <c r="E3" i="72"/>
  <c r="E19" i="72"/>
  <c r="G19" i="72" s="1"/>
  <c r="E35" i="72"/>
  <c r="G35" i="72" s="1"/>
  <c r="E51" i="72"/>
  <c r="G51" i="72" s="1"/>
  <c r="E67" i="72"/>
  <c r="G67" i="72" s="1"/>
  <c r="E83" i="72"/>
  <c r="G83" i="72" s="1"/>
  <c r="E99" i="72"/>
  <c r="G99" i="72" s="1"/>
  <c r="E115" i="72"/>
  <c r="G115" i="72" s="1"/>
  <c r="E131" i="72"/>
  <c r="G131" i="72" s="1"/>
  <c r="E147" i="72"/>
  <c r="G147" i="72" s="1"/>
  <c r="E163" i="72"/>
  <c r="G163" i="72" s="1"/>
  <c r="E179" i="72"/>
  <c r="G179" i="72" s="1"/>
  <c r="E195" i="72"/>
  <c r="G195" i="72" s="1"/>
  <c r="E211" i="72"/>
  <c r="G211" i="72" s="1"/>
  <c r="E227" i="72"/>
  <c r="G227" i="72" s="1"/>
  <c r="E243" i="72"/>
  <c r="G243" i="72" s="1"/>
  <c r="E259" i="72"/>
  <c r="G259" i="72" s="1"/>
  <c r="E275" i="72"/>
  <c r="G275" i="72" s="1"/>
  <c r="E291" i="72"/>
  <c r="G291" i="72" s="1"/>
  <c r="E307" i="72"/>
  <c r="G307" i="72" s="1"/>
  <c r="E323" i="72"/>
  <c r="G323" i="72" s="1"/>
  <c r="E339" i="72"/>
  <c r="G339" i="72" s="1"/>
  <c r="E355" i="72"/>
  <c r="G355" i="72" s="1"/>
  <c r="E371" i="72"/>
  <c r="G371" i="72" s="1"/>
  <c r="E387" i="72"/>
  <c r="G387" i="72" s="1"/>
  <c r="E403" i="72"/>
  <c r="G403" i="72" s="1"/>
  <c r="E419" i="72"/>
  <c r="G419" i="72" s="1"/>
  <c r="E435" i="72"/>
  <c r="G435" i="72" s="1"/>
  <c r="E451" i="72"/>
  <c r="G451" i="72" s="1"/>
  <c r="E467" i="72"/>
  <c r="G467" i="72" s="1"/>
  <c r="E483" i="72"/>
  <c r="G483" i="72" s="1"/>
  <c r="E499" i="72"/>
  <c r="G499" i="72" s="1"/>
  <c r="E515" i="72"/>
  <c r="G515" i="72" s="1"/>
  <c r="E531" i="72"/>
  <c r="G531" i="72" s="1"/>
  <c r="E547" i="72"/>
  <c r="G547" i="72" s="1"/>
  <c r="E563" i="72"/>
  <c r="G563" i="72" s="1"/>
  <c r="E579" i="72"/>
  <c r="G579" i="72" s="1"/>
  <c r="E595" i="72"/>
  <c r="G595" i="72" s="1"/>
  <c r="E611" i="72"/>
  <c r="G611" i="72" s="1"/>
  <c r="E627" i="72"/>
  <c r="G627" i="72" s="1"/>
  <c r="E643" i="72"/>
  <c r="G643" i="72" s="1"/>
  <c r="E659" i="72"/>
  <c r="G659" i="72" s="1"/>
  <c r="E675" i="72"/>
  <c r="G675" i="72" s="1"/>
  <c r="E691" i="72"/>
  <c r="G691" i="72" s="1"/>
  <c r="E4" i="72"/>
  <c r="G4" i="72" s="1"/>
  <c r="E20" i="72"/>
  <c r="G20" i="72" s="1"/>
  <c r="E36" i="72"/>
  <c r="G36" i="72" s="1"/>
  <c r="E52" i="72"/>
  <c r="G52" i="72" s="1"/>
  <c r="E68" i="72"/>
  <c r="G68" i="72" s="1"/>
  <c r="E84" i="72"/>
  <c r="G84" i="72" s="1"/>
  <c r="E100" i="72"/>
  <c r="G100" i="72" s="1"/>
  <c r="E116" i="72"/>
  <c r="G116" i="72" s="1"/>
  <c r="E132" i="72"/>
  <c r="G132" i="72" s="1"/>
  <c r="E148" i="72"/>
  <c r="G148" i="72" s="1"/>
  <c r="E164" i="72"/>
  <c r="G164" i="72" s="1"/>
  <c r="E180" i="72"/>
  <c r="G180" i="72" s="1"/>
  <c r="E196" i="72"/>
  <c r="G196" i="72" s="1"/>
  <c r="E212" i="72"/>
  <c r="G212" i="72" s="1"/>
  <c r="E228" i="72"/>
  <c r="G228" i="72" s="1"/>
  <c r="E244" i="72"/>
  <c r="G244" i="72" s="1"/>
  <c r="E5" i="72"/>
  <c r="G5" i="72" s="1"/>
  <c r="E21" i="72"/>
  <c r="G21" i="72" s="1"/>
  <c r="E37" i="72"/>
  <c r="G37" i="72" s="1"/>
  <c r="E53" i="72"/>
  <c r="G53" i="72" s="1"/>
  <c r="E69" i="72"/>
  <c r="G69" i="72" s="1"/>
  <c r="E85" i="72"/>
  <c r="G85" i="72" s="1"/>
  <c r="E101" i="72"/>
  <c r="G101" i="72" s="1"/>
  <c r="E117" i="72"/>
  <c r="G117" i="72" s="1"/>
  <c r="E133" i="72"/>
  <c r="G133" i="72" s="1"/>
  <c r="E149" i="72"/>
  <c r="G149" i="72" s="1"/>
  <c r="E165" i="72"/>
  <c r="G165" i="72" s="1"/>
  <c r="E181" i="72"/>
  <c r="G181" i="72" s="1"/>
  <c r="E197" i="72"/>
  <c r="G197" i="72" s="1"/>
  <c r="E213" i="72"/>
  <c r="G213" i="72" s="1"/>
  <c r="E229" i="72"/>
  <c r="G229" i="72" s="1"/>
  <c r="E245" i="72"/>
  <c r="G245" i="72" s="1"/>
  <c r="E261" i="72"/>
  <c r="G261" i="72" s="1"/>
  <c r="E277" i="72"/>
  <c r="G277" i="72" s="1"/>
  <c r="E293" i="72"/>
  <c r="G293" i="72" s="1"/>
  <c r="E309" i="72"/>
  <c r="G309" i="72" s="1"/>
  <c r="E325" i="72"/>
  <c r="G325" i="72" s="1"/>
  <c r="E341" i="72"/>
  <c r="G341" i="72" s="1"/>
  <c r="E357" i="72"/>
  <c r="G357" i="72" s="1"/>
  <c r="E373" i="72"/>
  <c r="G373" i="72" s="1"/>
  <c r="E389" i="72"/>
  <c r="G389" i="72" s="1"/>
  <c r="E405" i="72"/>
  <c r="G405" i="72" s="1"/>
  <c r="E421" i="72"/>
  <c r="G421" i="72" s="1"/>
  <c r="E437" i="72"/>
  <c r="G437" i="72" s="1"/>
  <c r="E453" i="72"/>
  <c r="G453" i="72" s="1"/>
  <c r="E469" i="72"/>
  <c r="G469" i="72" s="1"/>
  <c r="E6" i="72"/>
  <c r="G6" i="72" s="1"/>
  <c r="E22" i="72"/>
  <c r="G22" i="72" s="1"/>
  <c r="E38" i="72"/>
  <c r="G38" i="72" s="1"/>
  <c r="E54" i="72"/>
  <c r="G54" i="72" s="1"/>
  <c r="E70" i="72"/>
  <c r="G70" i="72" s="1"/>
  <c r="E86" i="72"/>
  <c r="G86" i="72" s="1"/>
  <c r="E102" i="72"/>
  <c r="G102" i="72" s="1"/>
  <c r="E118" i="72"/>
  <c r="G118" i="72" s="1"/>
  <c r="E134" i="72"/>
  <c r="G134" i="72" s="1"/>
  <c r="E150" i="72"/>
  <c r="G150" i="72" s="1"/>
  <c r="E166" i="72"/>
  <c r="G166" i="72" s="1"/>
  <c r="E182" i="72"/>
  <c r="G182" i="72" s="1"/>
  <c r="E198" i="72"/>
  <c r="G198" i="72" s="1"/>
  <c r="E214" i="72"/>
  <c r="G214" i="72" s="1"/>
  <c r="E230" i="72"/>
  <c r="G230" i="72" s="1"/>
  <c r="E246" i="72"/>
  <c r="G246" i="72" s="1"/>
  <c r="E262" i="72"/>
  <c r="G262" i="72" s="1"/>
  <c r="E278" i="72"/>
  <c r="G278" i="72" s="1"/>
  <c r="E294" i="72"/>
  <c r="G294" i="72" s="1"/>
  <c r="E310" i="72"/>
  <c r="G310" i="72" s="1"/>
  <c r="E326" i="72"/>
  <c r="G326" i="72" s="1"/>
  <c r="E342" i="72"/>
  <c r="G342" i="72" s="1"/>
  <c r="E358" i="72"/>
  <c r="G358" i="72" s="1"/>
  <c r="E374" i="72"/>
  <c r="G374" i="72" s="1"/>
  <c r="E390" i="72"/>
  <c r="G390" i="72" s="1"/>
  <c r="E406" i="72"/>
  <c r="G406" i="72" s="1"/>
  <c r="E422" i="72"/>
  <c r="G422" i="72" s="1"/>
  <c r="E438" i="72"/>
  <c r="G438" i="72" s="1"/>
  <c r="E454" i="72"/>
  <c r="G454" i="72" s="1"/>
  <c r="E470" i="72"/>
  <c r="G470" i="72" s="1"/>
  <c r="E486" i="72"/>
  <c r="G486" i="72" s="1"/>
  <c r="E502" i="72"/>
  <c r="G502" i="72" s="1"/>
  <c r="E518" i="72"/>
  <c r="G518" i="72" s="1"/>
  <c r="E534" i="72"/>
  <c r="G534" i="72" s="1"/>
  <c r="E550" i="72"/>
  <c r="G550" i="72" s="1"/>
  <c r="E566" i="72"/>
  <c r="G566" i="72" s="1"/>
  <c r="E582" i="72"/>
  <c r="G582" i="72" s="1"/>
  <c r="E598" i="72"/>
  <c r="G598" i="72" s="1"/>
  <c r="E614" i="72"/>
  <c r="G614" i="72" s="1"/>
  <c r="E630" i="72"/>
  <c r="G630" i="72" s="1"/>
  <c r="E646" i="72"/>
  <c r="G646" i="72" s="1"/>
  <c r="E662" i="72"/>
  <c r="G662" i="72" s="1"/>
  <c r="E678" i="72"/>
  <c r="G678" i="72" s="1"/>
  <c r="E694" i="72"/>
  <c r="G694" i="72" s="1"/>
  <c r="E7" i="72"/>
  <c r="G7" i="72" s="1"/>
  <c r="E23" i="72"/>
  <c r="G23" i="72" s="1"/>
  <c r="E39" i="72"/>
  <c r="G39" i="72" s="1"/>
  <c r="E55" i="72"/>
  <c r="G55" i="72" s="1"/>
  <c r="E71" i="72"/>
  <c r="G71" i="72" s="1"/>
  <c r="E87" i="72"/>
  <c r="G87" i="72" s="1"/>
  <c r="E103" i="72"/>
  <c r="G103" i="72" s="1"/>
  <c r="E119" i="72"/>
  <c r="G119" i="72" s="1"/>
  <c r="E135" i="72"/>
  <c r="G135" i="72" s="1"/>
  <c r="E151" i="72"/>
  <c r="G151" i="72" s="1"/>
  <c r="E167" i="72"/>
  <c r="G167" i="72" s="1"/>
  <c r="E183" i="72"/>
  <c r="G183" i="72" s="1"/>
  <c r="E199" i="72"/>
  <c r="G199" i="72" s="1"/>
  <c r="E215" i="72"/>
  <c r="G215" i="72" s="1"/>
  <c r="E231" i="72"/>
  <c r="G231" i="72" s="1"/>
  <c r="E247" i="72"/>
  <c r="G247" i="72" s="1"/>
  <c r="E263" i="72"/>
  <c r="G263" i="72" s="1"/>
  <c r="E279" i="72"/>
  <c r="G279" i="72" s="1"/>
  <c r="E295" i="72"/>
  <c r="G295" i="72" s="1"/>
  <c r="E311" i="72"/>
  <c r="G311" i="72" s="1"/>
  <c r="E327" i="72"/>
  <c r="G327" i="72" s="1"/>
  <c r="E343" i="72"/>
  <c r="G343" i="72" s="1"/>
  <c r="E359" i="72"/>
  <c r="G359" i="72" s="1"/>
  <c r="E375" i="72"/>
  <c r="G375" i="72" s="1"/>
  <c r="E391" i="72"/>
  <c r="G391" i="72" s="1"/>
  <c r="E407" i="72"/>
  <c r="G407" i="72" s="1"/>
  <c r="E423" i="72"/>
  <c r="G423" i="72" s="1"/>
  <c r="E439" i="72"/>
  <c r="G439" i="72" s="1"/>
  <c r="E455" i="72"/>
  <c r="G455" i="72" s="1"/>
  <c r="E471" i="72"/>
  <c r="G471" i="72" s="1"/>
  <c r="E487" i="72"/>
  <c r="G487" i="72" s="1"/>
  <c r="E503" i="72"/>
  <c r="G503" i="72" s="1"/>
  <c r="E519" i="72"/>
  <c r="G519" i="72" s="1"/>
  <c r="E535" i="72"/>
  <c r="G535" i="72" s="1"/>
  <c r="E551" i="72"/>
  <c r="G551" i="72" s="1"/>
  <c r="E567" i="72"/>
  <c r="G567" i="72" s="1"/>
  <c r="E583" i="72"/>
  <c r="G583" i="72" s="1"/>
  <c r="E599" i="72"/>
  <c r="G599" i="72" s="1"/>
  <c r="E615" i="72"/>
  <c r="G615" i="72" s="1"/>
  <c r="E631" i="72"/>
  <c r="G631" i="72" s="1"/>
  <c r="E647" i="72"/>
  <c r="G647" i="72" s="1"/>
  <c r="E8" i="72"/>
  <c r="G8" i="72" s="1"/>
  <c r="E24" i="72"/>
  <c r="G24" i="72" s="1"/>
  <c r="E40" i="72"/>
  <c r="G40" i="72" s="1"/>
  <c r="E56" i="72"/>
  <c r="G56" i="72" s="1"/>
  <c r="E72" i="72"/>
  <c r="G72" i="72" s="1"/>
  <c r="E88" i="72"/>
  <c r="G88" i="72" s="1"/>
  <c r="E104" i="72"/>
  <c r="G104" i="72" s="1"/>
  <c r="E120" i="72"/>
  <c r="G120" i="72" s="1"/>
  <c r="E136" i="72"/>
  <c r="G136" i="72" s="1"/>
  <c r="E152" i="72"/>
  <c r="G152" i="72" s="1"/>
  <c r="E168" i="72"/>
  <c r="G168" i="72" s="1"/>
  <c r="E184" i="72"/>
  <c r="G184" i="72" s="1"/>
  <c r="E200" i="72"/>
  <c r="G200" i="72" s="1"/>
  <c r="E216" i="72"/>
  <c r="G216" i="72" s="1"/>
  <c r="E232" i="72"/>
  <c r="G232" i="72" s="1"/>
  <c r="E248" i="72"/>
  <c r="G248" i="72" s="1"/>
  <c r="E264" i="72"/>
  <c r="G264" i="72" s="1"/>
  <c r="E280" i="72"/>
  <c r="G280" i="72" s="1"/>
  <c r="E296" i="72"/>
  <c r="G296" i="72" s="1"/>
  <c r="E312" i="72"/>
  <c r="G312" i="72" s="1"/>
  <c r="E328" i="72"/>
  <c r="G328" i="72" s="1"/>
  <c r="E344" i="72"/>
  <c r="G344" i="72" s="1"/>
  <c r="E360" i="72"/>
  <c r="G360" i="72" s="1"/>
  <c r="E376" i="72"/>
  <c r="G376" i="72" s="1"/>
  <c r="E392" i="72"/>
  <c r="G392" i="72" s="1"/>
  <c r="E408" i="72"/>
  <c r="G408" i="72" s="1"/>
  <c r="E424" i="72"/>
  <c r="G424" i="72" s="1"/>
  <c r="E9" i="72"/>
  <c r="G9" i="72" s="1"/>
  <c r="E25" i="72"/>
  <c r="G25" i="72" s="1"/>
  <c r="E41" i="72"/>
  <c r="G41" i="72" s="1"/>
  <c r="E57" i="72"/>
  <c r="G57" i="72" s="1"/>
  <c r="E73" i="72"/>
  <c r="G73" i="72" s="1"/>
  <c r="E89" i="72"/>
  <c r="G89" i="72" s="1"/>
  <c r="E105" i="72"/>
  <c r="G105" i="72" s="1"/>
  <c r="E121" i="72"/>
  <c r="G121" i="72" s="1"/>
  <c r="E137" i="72"/>
  <c r="G137" i="72" s="1"/>
  <c r="E153" i="72"/>
  <c r="G153" i="72" s="1"/>
  <c r="E169" i="72"/>
  <c r="G169" i="72" s="1"/>
  <c r="E185" i="72"/>
  <c r="G185" i="72" s="1"/>
  <c r="E201" i="72"/>
  <c r="G201" i="72" s="1"/>
  <c r="E217" i="72"/>
  <c r="G217" i="72" s="1"/>
  <c r="E233" i="72"/>
  <c r="G233" i="72" s="1"/>
  <c r="E249" i="72"/>
  <c r="G249" i="72" s="1"/>
  <c r="E265" i="72"/>
  <c r="G265" i="72" s="1"/>
  <c r="E281" i="72"/>
  <c r="G281" i="72" s="1"/>
  <c r="E297" i="72"/>
  <c r="G297" i="72" s="1"/>
  <c r="E313" i="72"/>
  <c r="G313" i="72" s="1"/>
  <c r="E329" i="72"/>
  <c r="G329" i="72" s="1"/>
  <c r="E345" i="72"/>
  <c r="G345" i="72" s="1"/>
  <c r="E361" i="72"/>
  <c r="G361" i="72" s="1"/>
  <c r="E377" i="72"/>
  <c r="G377" i="72" s="1"/>
  <c r="E393" i="72"/>
  <c r="G393" i="72" s="1"/>
  <c r="E409" i="72"/>
  <c r="G409" i="72" s="1"/>
  <c r="E425" i="72"/>
  <c r="G425" i="72" s="1"/>
  <c r="E441" i="72"/>
  <c r="G441" i="72" s="1"/>
  <c r="E457" i="72"/>
  <c r="G457" i="72" s="1"/>
  <c r="E10" i="72"/>
  <c r="G10" i="72" s="1"/>
  <c r="E26" i="72"/>
  <c r="G26" i="72" s="1"/>
  <c r="E42" i="72"/>
  <c r="G42" i="72" s="1"/>
  <c r="E58" i="72"/>
  <c r="G58" i="72" s="1"/>
  <c r="E74" i="72"/>
  <c r="G74" i="72" s="1"/>
  <c r="E90" i="72"/>
  <c r="G90" i="72" s="1"/>
  <c r="E106" i="72"/>
  <c r="G106" i="72" s="1"/>
  <c r="E122" i="72"/>
  <c r="G122" i="72" s="1"/>
  <c r="E138" i="72"/>
  <c r="G138" i="72" s="1"/>
  <c r="E154" i="72"/>
  <c r="G154" i="72" s="1"/>
  <c r="E170" i="72"/>
  <c r="G170" i="72" s="1"/>
  <c r="E186" i="72"/>
  <c r="G186" i="72" s="1"/>
  <c r="E202" i="72"/>
  <c r="G202" i="72" s="1"/>
  <c r="E218" i="72"/>
  <c r="G218" i="72" s="1"/>
  <c r="E234" i="72"/>
  <c r="G234" i="72" s="1"/>
  <c r="E250" i="72"/>
  <c r="G250" i="72" s="1"/>
  <c r="E266" i="72"/>
  <c r="G266" i="72" s="1"/>
  <c r="E282" i="72"/>
  <c r="G282" i="72" s="1"/>
  <c r="E298" i="72"/>
  <c r="G298" i="72" s="1"/>
  <c r="E314" i="72"/>
  <c r="G314" i="72" s="1"/>
  <c r="E330" i="72"/>
  <c r="G330" i="72" s="1"/>
  <c r="E346" i="72"/>
  <c r="G346" i="72" s="1"/>
  <c r="E362" i="72"/>
  <c r="G362" i="72" s="1"/>
  <c r="E378" i="72"/>
  <c r="G378" i="72" s="1"/>
  <c r="E394" i="72"/>
  <c r="G394" i="72" s="1"/>
  <c r="E410" i="72"/>
  <c r="G410" i="72" s="1"/>
  <c r="E426" i="72"/>
  <c r="G426" i="72" s="1"/>
  <c r="E442" i="72"/>
  <c r="G442" i="72" s="1"/>
  <c r="E458" i="72"/>
  <c r="G458" i="72" s="1"/>
  <c r="E474" i="72"/>
  <c r="G474" i="72" s="1"/>
  <c r="E490" i="72"/>
  <c r="G490" i="72" s="1"/>
  <c r="E506" i="72"/>
  <c r="G506" i="72" s="1"/>
  <c r="E522" i="72"/>
  <c r="G522" i="72" s="1"/>
  <c r="E538" i="72"/>
  <c r="G538" i="72" s="1"/>
  <c r="E554" i="72"/>
  <c r="G554" i="72" s="1"/>
  <c r="E570" i="72"/>
  <c r="G570" i="72" s="1"/>
  <c r="E586" i="72"/>
  <c r="G586" i="72" s="1"/>
  <c r="E602" i="72"/>
  <c r="G602" i="72" s="1"/>
  <c r="E618" i="72"/>
  <c r="G618" i="72" s="1"/>
  <c r="E634" i="72"/>
  <c r="G634" i="72" s="1"/>
  <c r="E650" i="72"/>
  <c r="G650" i="72" s="1"/>
  <c r="E666" i="72"/>
  <c r="G666" i="72" s="1"/>
  <c r="E682" i="72"/>
  <c r="G682" i="72" s="1"/>
  <c r="E698" i="72"/>
  <c r="G698" i="72" s="1"/>
  <c r="E714" i="72"/>
  <c r="G714" i="72" s="1"/>
  <c r="E11" i="72"/>
  <c r="G11" i="72" s="1"/>
  <c r="E27" i="72"/>
  <c r="G27" i="72" s="1"/>
  <c r="E43" i="72"/>
  <c r="G43" i="72" s="1"/>
  <c r="E59" i="72"/>
  <c r="G59" i="72" s="1"/>
  <c r="E75" i="72"/>
  <c r="G75" i="72" s="1"/>
  <c r="E91" i="72"/>
  <c r="G91" i="72" s="1"/>
  <c r="E107" i="72"/>
  <c r="G107" i="72" s="1"/>
  <c r="E123" i="72"/>
  <c r="G123" i="72" s="1"/>
  <c r="E139" i="72"/>
  <c r="G139" i="72" s="1"/>
  <c r="E155" i="72"/>
  <c r="G155" i="72" s="1"/>
  <c r="E171" i="72"/>
  <c r="G171" i="72" s="1"/>
  <c r="E187" i="72"/>
  <c r="G187" i="72" s="1"/>
  <c r="E203" i="72"/>
  <c r="G203" i="72" s="1"/>
  <c r="E219" i="72"/>
  <c r="G219" i="72" s="1"/>
  <c r="E235" i="72"/>
  <c r="G235" i="72" s="1"/>
  <c r="E251" i="72"/>
  <c r="G251" i="72" s="1"/>
  <c r="E267" i="72"/>
  <c r="G267" i="72" s="1"/>
  <c r="E283" i="72"/>
  <c r="G283" i="72" s="1"/>
  <c r="E299" i="72"/>
  <c r="G299" i="72" s="1"/>
  <c r="E315" i="72"/>
  <c r="G315" i="72" s="1"/>
  <c r="E331" i="72"/>
  <c r="G331" i="72" s="1"/>
  <c r="E347" i="72"/>
  <c r="G347" i="72" s="1"/>
  <c r="E363" i="72"/>
  <c r="G363" i="72" s="1"/>
  <c r="E379" i="72"/>
  <c r="G379" i="72" s="1"/>
  <c r="E395" i="72"/>
  <c r="G395" i="72" s="1"/>
  <c r="E411" i="72"/>
  <c r="G411" i="72" s="1"/>
  <c r="E427" i="72"/>
  <c r="G427" i="72" s="1"/>
  <c r="E443" i="72"/>
  <c r="G443" i="72" s="1"/>
  <c r="E459" i="72"/>
  <c r="G459" i="72" s="1"/>
  <c r="E475" i="72"/>
  <c r="G475" i="72" s="1"/>
  <c r="E491" i="72"/>
  <c r="G491" i="72" s="1"/>
  <c r="E507" i="72"/>
  <c r="G507" i="72" s="1"/>
  <c r="E523" i="72"/>
  <c r="G523" i="72" s="1"/>
  <c r="E539" i="72"/>
  <c r="G539" i="72" s="1"/>
  <c r="E555" i="72"/>
  <c r="G555" i="72" s="1"/>
  <c r="E571" i="72"/>
  <c r="G571" i="72" s="1"/>
  <c r="E587" i="72"/>
  <c r="G587" i="72" s="1"/>
  <c r="E12" i="72"/>
  <c r="G12" i="72" s="1"/>
  <c r="E28" i="72"/>
  <c r="G28" i="72" s="1"/>
  <c r="E44" i="72"/>
  <c r="G44" i="72" s="1"/>
  <c r="E60" i="72"/>
  <c r="G60" i="72" s="1"/>
  <c r="E76" i="72"/>
  <c r="G76" i="72" s="1"/>
  <c r="E92" i="72"/>
  <c r="G92" i="72" s="1"/>
  <c r="E108" i="72"/>
  <c r="G108" i="72" s="1"/>
  <c r="E124" i="72"/>
  <c r="G124" i="72" s="1"/>
  <c r="E140" i="72"/>
  <c r="G140" i="72" s="1"/>
  <c r="E156" i="72"/>
  <c r="G156" i="72" s="1"/>
  <c r="E172" i="72"/>
  <c r="G172" i="72" s="1"/>
  <c r="E188" i="72"/>
  <c r="G188" i="72" s="1"/>
  <c r="E204" i="72"/>
  <c r="G204" i="72" s="1"/>
  <c r="E220" i="72"/>
  <c r="G220" i="72" s="1"/>
  <c r="E236" i="72"/>
  <c r="G236" i="72" s="1"/>
  <c r="E252" i="72"/>
  <c r="G252" i="72" s="1"/>
  <c r="E268" i="72"/>
  <c r="G268" i="72" s="1"/>
  <c r="E284" i="72"/>
  <c r="G284" i="72" s="1"/>
  <c r="E300" i="72"/>
  <c r="G300" i="72" s="1"/>
  <c r="E316" i="72"/>
  <c r="G316" i="72" s="1"/>
  <c r="E332" i="72"/>
  <c r="G332" i="72" s="1"/>
  <c r="E348" i="72"/>
  <c r="G348" i="72" s="1"/>
  <c r="E364" i="72"/>
  <c r="G364" i="72" s="1"/>
  <c r="E380" i="72"/>
  <c r="G380" i="72" s="1"/>
  <c r="E396" i="72"/>
  <c r="G396" i="72" s="1"/>
  <c r="E412" i="72"/>
  <c r="G412" i="72" s="1"/>
  <c r="E428" i="72"/>
  <c r="G428" i="72" s="1"/>
  <c r="E444" i="72"/>
  <c r="G444" i="72" s="1"/>
  <c r="E460" i="72"/>
  <c r="G460" i="72" s="1"/>
  <c r="E476" i="72"/>
  <c r="G476" i="72" s="1"/>
  <c r="E13" i="72"/>
  <c r="G13" i="72" s="1"/>
  <c r="E29" i="72"/>
  <c r="G29" i="72" s="1"/>
  <c r="E45" i="72"/>
  <c r="G45" i="72" s="1"/>
  <c r="E61" i="72"/>
  <c r="G61" i="72" s="1"/>
  <c r="E77" i="72"/>
  <c r="G77" i="72" s="1"/>
  <c r="E93" i="72"/>
  <c r="G93" i="72" s="1"/>
  <c r="E109" i="72"/>
  <c r="G109" i="72" s="1"/>
  <c r="E125" i="72"/>
  <c r="G125" i="72" s="1"/>
  <c r="E141" i="72"/>
  <c r="G141" i="72" s="1"/>
  <c r="E157" i="72"/>
  <c r="G157" i="72" s="1"/>
  <c r="E173" i="72"/>
  <c r="G173" i="72" s="1"/>
  <c r="E189" i="72"/>
  <c r="G189" i="72" s="1"/>
  <c r="E205" i="72"/>
  <c r="G205" i="72" s="1"/>
  <c r="E221" i="72"/>
  <c r="G221" i="72" s="1"/>
  <c r="E237" i="72"/>
  <c r="G237" i="72" s="1"/>
  <c r="E253" i="72"/>
  <c r="G253" i="72" s="1"/>
  <c r="E269" i="72"/>
  <c r="G269" i="72" s="1"/>
  <c r="E285" i="72"/>
  <c r="G285" i="72" s="1"/>
  <c r="E301" i="72"/>
  <c r="G301" i="72" s="1"/>
  <c r="E317" i="72"/>
  <c r="G317" i="72" s="1"/>
  <c r="E333" i="72"/>
  <c r="G333" i="72" s="1"/>
  <c r="E349" i="72"/>
  <c r="G349" i="72" s="1"/>
  <c r="E365" i="72"/>
  <c r="G365" i="72" s="1"/>
  <c r="E381" i="72"/>
  <c r="G381" i="72" s="1"/>
  <c r="E397" i="72"/>
  <c r="G397" i="72" s="1"/>
  <c r="E413" i="72"/>
  <c r="G413" i="72" s="1"/>
  <c r="E429" i="72"/>
  <c r="G429" i="72" s="1"/>
  <c r="E445" i="72"/>
  <c r="G445" i="72" s="1"/>
  <c r="E461" i="72"/>
  <c r="G461" i="72" s="1"/>
  <c r="E477" i="72"/>
  <c r="G477" i="72" s="1"/>
  <c r="E493" i="72"/>
  <c r="G493" i="72" s="1"/>
  <c r="E509" i="72"/>
  <c r="G509" i="72" s="1"/>
  <c r="E525" i="72"/>
  <c r="G525" i="72" s="1"/>
  <c r="E541" i="72"/>
  <c r="G541" i="72" s="1"/>
  <c r="E557" i="72"/>
  <c r="G557" i="72" s="1"/>
  <c r="E573" i="72"/>
  <c r="G573" i="72" s="1"/>
  <c r="E589" i="72"/>
  <c r="G589" i="72" s="1"/>
  <c r="E605" i="72"/>
  <c r="G605" i="72" s="1"/>
  <c r="E621" i="72"/>
  <c r="G621" i="72" s="1"/>
  <c r="E14" i="72"/>
  <c r="G14" i="72" s="1"/>
  <c r="E30" i="72"/>
  <c r="G30" i="72" s="1"/>
  <c r="E46" i="72"/>
  <c r="G46" i="72" s="1"/>
  <c r="E62" i="72"/>
  <c r="G62" i="72" s="1"/>
  <c r="E78" i="72"/>
  <c r="G78" i="72" s="1"/>
  <c r="E94" i="72"/>
  <c r="G94" i="72" s="1"/>
  <c r="E110" i="72"/>
  <c r="G110" i="72" s="1"/>
  <c r="E126" i="72"/>
  <c r="G126" i="72" s="1"/>
  <c r="E142" i="72"/>
  <c r="G142" i="72" s="1"/>
  <c r="E158" i="72"/>
  <c r="G158" i="72" s="1"/>
  <c r="E174" i="72"/>
  <c r="G174" i="72" s="1"/>
  <c r="E190" i="72"/>
  <c r="G190" i="72" s="1"/>
  <c r="E206" i="72"/>
  <c r="G206" i="72" s="1"/>
  <c r="E222" i="72"/>
  <c r="G222" i="72" s="1"/>
  <c r="E238" i="72"/>
  <c r="G238" i="72" s="1"/>
  <c r="E254" i="72"/>
  <c r="G254" i="72" s="1"/>
  <c r="E270" i="72"/>
  <c r="G270" i="72" s="1"/>
  <c r="E286" i="72"/>
  <c r="G286" i="72" s="1"/>
  <c r="E302" i="72"/>
  <c r="G302" i="72" s="1"/>
  <c r="E318" i="72"/>
  <c r="G318" i="72" s="1"/>
  <c r="E334" i="72"/>
  <c r="G334" i="72" s="1"/>
  <c r="E350" i="72"/>
  <c r="G350" i="72" s="1"/>
  <c r="E366" i="72"/>
  <c r="G366" i="72" s="1"/>
  <c r="E382" i="72"/>
  <c r="G382" i="72" s="1"/>
  <c r="E398" i="72"/>
  <c r="G398" i="72" s="1"/>
  <c r="E414" i="72"/>
  <c r="G414" i="72" s="1"/>
  <c r="E430" i="72"/>
  <c r="G430" i="72" s="1"/>
  <c r="E446" i="72"/>
  <c r="G446" i="72" s="1"/>
  <c r="E462" i="72"/>
  <c r="G462" i="72" s="1"/>
  <c r="E478" i="72"/>
  <c r="G478" i="72" s="1"/>
  <c r="E494" i="72"/>
  <c r="G494" i="72" s="1"/>
  <c r="E510" i="72"/>
  <c r="G510" i="72" s="1"/>
  <c r="E526" i="72"/>
  <c r="G526" i="72" s="1"/>
  <c r="E542" i="72"/>
  <c r="G542" i="72" s="1"/>
  <c r="E558" i="72"/>
  <c r="G558" i="72" s="1"/>
  <c r="E574" i="72"/>
  <c r="G574" i="72" s="1"/>
  <c r="E590" i="72"/>
  <c r="G590" i="72" s="1"/>
  <c r="E606" i="72"/>
  <c r="G606" i="72" s="1"/>
  <c r="E622" i="72"/>
  <c r="G622" i="72" s="1"/>
  <c r="E893" i="72"/>
  <c r="G893" i="72" s="1"/>
  <c r="E877" i="72"/>
  <c r="G877" i="72" s="1"/>
  <c r="E861" i="72"/>
  <c r="G861" i="72" s="1"/>
  <c r="E845" i="72"/>
  <c r="G845" i="72" s="1"/>
  <c r="E829" i="72"/>
  <c r="G829" i="72" s="1"/>
  <c r="E813" i="72"/>
  <c r="G813" i="72" s="1"/>
  <c r="E797" i="72"/>
  <c r="G797" i="72" s="1"/>
  <c r="E781" i="72"/>
  <c r="G781" i="72" s="1"/>
  <c r="E765" i="72"/>
  <c r="G765" i="72" s="1"/>
  <c r="E749" i="72"/>
  <c r="G749" i="72" s="1"/>
  <c r="E733" i="72"/>
  <c r="G733" i="72" s="1"/>
  <c r="E717" i="72"/>
  <c r="G717" i="72" s="1"/>
  <c r="E700" i="72"/>
  <c r="G700" i="72" s="1"/>
  <c r="E677" i="72"/>
  <c r="G677" i="72" s="1"/>
  <c r="E653" i="72"/>
  <c r="G653" i="72" s="1"/>
  <c r="E623" i="72"/>
  <c r="G623" i="72" s="1"/>
  <c r="E585" i="72"/>
  <c r="G585" i="72" s="1"/>
  <c r="E543" i="72"/>
  <c r="G543" i="72" s="1"/>
  <c r="E501" i="72"/>
  <c r="G501" i="72" s="1"/>
  <c r="E440" i="72"/>
  <c r="G440" i="72" s="1"/>
  <c r="E319" i="72"/>
  <c r="G319" i="72" s="1"/>
  <c r="E127" i="72"/>
  <c r="G127" i="72" s="1"/>
  <c r="F778" i="72"/>
  <c r="F522" i="72"/>
  <c r="E308" i="72"/>
  <c r="G308" i="72" s="1"/>
  <c r="E111" i="72"/>
  <c r="G111" i="72" s="1"/>
  <c r="F762" i="72"/>
  <c r="F506" i="72"/>
  <c r="E907" i="72"/>
  <c r="G907" i="72" s="1"/>
  <c r="E891" i="72"/>
  <c r="G891" i="72" s="1"/>
  <c r="E875" i="72"/>
  <c r="G875" i="72" s="1"/>
  <c r="E859" i="72"/>
  <c r="G859" i="72" s="1"/>
  <c r="E843" i="72"/>
  <c r="G843" i="72" s="1"/>
  <c r="E827" i="72"/>
  <c r="G827" i="72" s="1"/>
  <c r="E811" i="72"/>
  <c r="G811" i="72" s="1"/>
  <c r="E795" i="72"/>
  <c r="G795" i="72" s="1"/>
  <c r="E779" i="72"/>
  <c r="G779" i="72" s="1"/>
  <c r="E763" i="72"/>
  <c r="G763" i="72" s="1"/>
  <c r="E747" i="72"/>
  <c r="G747" i="72" s="1"/>
  <c r="E731" i="72"/>
  <c r="G731" i="72" s="1"/>
  <c r="E715" i="72"/>
  <c r="G715" i="72" s="1"/>
  <c r="E697" i="72"/>
  <c r="G697" i="72" s="1"/>
  <c r="E672" i="72"/>
  <c r="G672" i="72" s="1"/>
  <c r="E651" i="72"/>
  <c r="G651" i="72" s="1"/>
  <c r="E619" i="72"/>
  <c r="G619" i="72" s="1"/>
  <c r="E581" i="72"/>
  <c r="G581" i="72" s="1"/>
  <c r="E537" i="72"/>
  <c r="G537" i="72" s="1"/>
  <c r="E495" i="72"/>
  <c r="G495" i="72" s="1"/>
  <c r="E431" i="72"/>
  <c r="G431" i="72" s="1"/>
  <c r="E303" i="72"/>
  <c r="G303" i="72" s="1"/>
  <c r="E95" i="72"/>
  <c r="G95" i="72" s="1"/>
  <c r="F746" i="72"/>
  <c r="F490" i="72"/>
  <c r="E906" i="72"/>
  <c r="G906" i="72" s="1"/>
  <c r="E890" i="72"/>
  <c r="G890" i="72" s="1"/>
  <c r="E874" i="72"/>
  <c r="G874" i="72" s="1"/>
  <c r="E858" i="72"/>
  <c r="G858" i="72" s="1"/>
  <c r="E842" i="72"/>
  <c r="G842" i="72" s="1"/>
  <c r="E826" i="72"/>
  <c r="G826" i="72" s="1"/>
  <c r="E810" i="72"/>
  <c r="G810" i="72" s="1"/>
  <c r="E794" i="72"/>
  <c r="G794" i="72" s="1"/>
  <c r="E778" i="72"/>
  <c r="G778" i="72" s="1"/>
  <c r="E762" i="72"/>
  <c r="G762" i="72" s="1"/>
  <c r="E746" i="72"/>
  <c r="G746" i="72" s="1"/>
  <c r="E730" i="72"/>
  <c r="G730" i="72" s="1"/>
  <c r="E713" i="72"/>
  <c r="G713" i="72" s="1"/>
  <c r="E696" i="72"/>
  <c r="G696" i="72" s="1"/>
  <c r="E671" i="72"/>
  <c r="G671" i="72" s="1"/>
  <c r="E649" i="72"/>
  <c r="G649" i="72" s="1"/>
  <c r="E617" i="72"/>
  <c r="G617" i="72" s="1"/>
  <c r="E580" i="72"/>
  <c r="G580" i="72" s="1"/>
  <c r="E536" i="72"/>
  <c r="G536" i="72" s="1"/>
  <c r="E492" i="72"/>
  <c r="G492" i="72" s="1"/>
  <c r="E420" i="72"/>
  <c r="G420" i="72" s="1"/>
  <c r="E292" i="72"/>
  <c r="G292" i="72" s="1"/>
  <c r="E79" i="72"/>
  <c r="G79" i="72" s="1"/>
  <c r="F730" i="72"/>
  <c r="F474" i="72"/>
  <c r="E905" i="72"/>
  <c r="G905" i="72" s="1"/>
  <c r="E889" i="72"/>
  <c r="G889" i="72" s="1"/>
  <c r="E873" i="72"/>
  <c r="G873" i="72" s="1"/>
  <c r="E857" i="72"/>
  <c r="G857" i="72" s="1"/>
  <c r="E841" i="72"/>
  <c r="G841" i="72" s="1"/>
  <c r="E825" i="72"/>
  <c r="G825" i="72" s="1"/>
  <c r="E809" i="72"/>
  <c r="G809" i="72" s="1"/>
  <c r="E793" i="72"/>
  <c r="G793" i="72" s="1"/>
  <c r="E777" i="72"/>
  <c r="G777" i="72" s="1"/>
  <c r="E761" i="72"/>
  <c r="G761" i="72" s="1"/>
  <c r="E745" i="72"/>
  <c r="G745" i="72" s="1"/>
  <c r="E729" i="72"/>
  <c r="G729" i="72" s="1"/>
  <c r="E712" i="72"/>
  <c r="G712" i="72" s="1"/>
  <c r="E695" i="72"/>
  <c r="G695" i="72" s="1"/>
  <c r="E670" i="72"/>
  <c r="G670" i="72" s="1"/>
  <c r="E648" i="72"/>
  <c r="G648" i="72" s="1"/>
  <c r="E616" i="72"/>
  <c r="G616" i="72" s="1"/>
  <c r="E575" i="72"/>
  <c r="G575" i="72" s="1"/>
  <c r="E533" i="72"/>
  <c r="G533" i="72" s="1"/>
  <c r="E489" i="72"/>
  <c r="G489" i="72" s="1"/>
  <c r="E415" i="72"/>
  <c r="G415" i="72" s="1"/>
  <c r="E287" i="72"/>
  <c r="G287" i="72" s="1"/>
  <c r="E63" i="72"/>
  <c r="G63" i="72" s="1"/>
  <c r="F714" i="72"/>
  <c r="F458" i="72"/>
  <c r="E904" i="72"/>
  <c r="G904" i="72" s="1"/>
  <c r="E888" i="72"/>
  <c r="G888" i="72" s="1"/>
  <c r="E872" i="72"/>
  <c r="G872" i="72" s="1"/>
  <c r="E856" i="72"/>
  <c r="G856" i="72" s="1"/>
  <c r="E840" i="72"/>
  <c r="G840" i="72" s="1"/>
  <c r="E824" i="72"/>
  <c r="G824" i="72" s="1"/>
  <c r="E808" i="72"/>
  <c r="G808" i="72" s="1"/>
  <c r="E792" i="72"/>
  <c r="G792" i="72" s="1"/>
  <c r="E776" i="72"/>
  <c r="G776" i="72" s="1"/>
  <c r="E760" i="72"/>
  <c r="G760" i="72" s="1"/>
  <c r="E744" i="72"/>
  <c r="G744" i="72" s="1"/>
  <c r="E728" i="72"/>
  <c r="G728" i="72" s="1"/>
  <c r="E711" i="72"/>
  <c r="G711" i="72" s="1"/>
  <c r="E693" i="72"/>
  <c r="G693" i="72" s="1"/>
  <c r="E669" i="72"/>
  <c r="G669" i="72" s="1"/>
  <c r="E645" i="72"/>
  <c r="G645" i="72" s="1"/>
  <c r="E613" i="72"/>
  <c r="G613" i="72" s="1"/>
  <c r="E572" i="72"/>
  <c r="G572" i="72" s="1"/>
  <c r="E532" i="72"/>
  <c r="G532" i="72" s="1"/>
  <c r="E488" i="72"/>
  <c r="G488" i="72" s="1"/>
  <c r="E404" i="72"/>
  <c r="G404" i="72" s="1"/>
  <c r="E276" i="72"/>
  <c r="G276" i="72" s="1"/>
  <c r="E47" i="72"/>
  <c r="G47" i="72" s="1"/>
  <c r="F698" i="72"/>
  <c r="F436" i="72"/>
  <c r="E887" i="72"/>
  <c r="G887" i="72" s="1"/>
  <c r="E871" i="72"/>
  <c r="G871" i="72" s="1"/>
  <c r="E855" i="72"/>
  <c r="G855" i="72" s="1"/>
  <c r="E839" i="72"/>
  <c r="G839" i="72" s="1"/>
  <c r="E823" i="72"/>
  <c r="G823" i="72" s="1"/>
  <c r="E807" i="72"/>
  <c r="G807" i="72" s="1"/>
  <c r="E791" i="72"/>
  <c r="G791" i="72" s="1"/>
  <c r="E775" i="72"/>
  <c r="G775" i="72" s="1"/>
  <c r="E759" i="72"/>
  <c r="G759" i="72" s="1"/>
  <c r="E743" i="72"/>
  <c r="G743" i="72" s="1"/>
  <c r="E727" i="72"/>
  <c r="G727" i="72" s="1"/>
  <c r="E710" i="72"/>
  <c r="G710" i="72" s="1"/>
  <c r="E692" i="72"/>
  <c r="G692" i="72" s="1"/>
  <c r="E668" i="72"/>
  <c r="G668" i="72" s="1"/>
  <c r="E644" i="72"/>
  <c r="G644" i="72" s="1"/>
  <c r="E612" i="72"/>
  <c r="G612" i="72" s="1"/>
  <c r="E569" i="72"/>
  <c r="G569" i="72" s="1"/>
  <c r="E527" i="72"/>
  <c r="G527" i="72" s="1"/>
  <c r="E485" i="72"/>
  <c r="G485" i="72" s="1"/>
  <c r="E399" i="72"/>
  <c r="G399" i="72" s="1"/>
  <c r="E271" i="72"/>
  <c r="G271" i="72" s="1"/>
  <c r="E31" i="72"/>
  <c r="G31" i="72" s="1"/>
  <c r="F682" i="72"/>
  <c r="F406" i="72"/>
  <c r="E903" i="72"/>
  <c r="G903" i="72" s="1"/>
  <c r="E902" i="72"/>
  <c r="G902" i="72" s="1"/>
  <c r="E886" i="72"/>
  <c r="G886" i="72" s="1"/>
  <c r="E870" i="72"/>
  <c r="G870" i="72" s="1"/>
  <c r="E854" i="72"/>
  <c r="G854" i="72" s="1"/>
  <c r="E838" i="72"/>
  <c r="G838" i="72" s="1"/>
  <c r="E822" i="72"/>
  <c r="G822" i="72" s="1"/>
  <c r="E806" i="72"/>
  <c r="G806" i="72" s="1"/>
  <c r="E790" i="72"/>
  <c r="G790" i="72" s="1"/>
  <c r="E774" i="72"/>
  <c r="G774" i="72" s="1"/>
  <c r="E758" i="72"/>
  <c r="G758" i="72" s="1"/>
  <c r="E742" i="72"/>
  <c r="G742" i="72" s="1"/>
  <c r="E726" i="72"/>
  <c r="G726" i="72" s="1"/>
  <c r="E709" i="72"/>
  <c r="G709" i="72" s="1"/>
  <c r="E688" i="72"/>
  <c r="G688" i="72" s="1"/>
  <c r="E667" i="72"/>
  <c r="G667" i="72" s="1"/>
  <c r="E639" i="72"/>
  <c r="G639" i="72" s="1"/>
  <c r="E607" i="72"/>
  <c r="G607" i="72" s="1"/>
  <c r="E568" i="72"/>
  <c r="G568" i="72" s="1"/>
  <c r="E524" i="72"/>
  <c r="G524" i="72" s="1"/>
  <c r="E484" i="72"/>
  <c r="G484" i="72" s="1"/>
  <c r="E388" i="72"/>
  <c r="G388" i="72" s="1"/>
  <c r="E260" i="72"/>
  <c r="G260" i="72" s="1"/>
  <c r="E15" i="72"/>
  <c r="G15" i="72" s="1"/>
  <c r="F666" i="72"/>
  <c r="F374" i="72"/>
  <c r="E901" i="72"/>
  <c r="G901" i="72" s="1"/>
  <c r="E885" i="72"/>
  <c r="G885" i="72" s="1"/>
  <c r="E869" i="72"/>
  <c r="G869" i="72" s="1"/>
  <c r="E853" i="72"/>
  <c r="G853" i="72" s="1"/>
  <c r="E837" i="72"/>
  <c r="G837" i="72" s="1"/>
  <c r="E821" i="72"/>
  <c r="G821" i="72" s="1"/>
  <c r="E805" i="72"/>
  <c r="G805" i="72" s="1"/>
  <c r="E789" i="72"/>
  <c r="G789" i="72" s="1"/>
  <c r="E773" i="72"/>
  <c r="G773" i="72" s="1"/>
  <c r="E757" i="72"/>
  <c r="G757" i="72" s="1"/>
  <c r="E741" i="72"/>
  <c r="G741" i="72" s="1"/>
  <c r="E725" i="72"/>
  <c r="G725" i="72" s="1"/>
  <c r="E708" i="72"/>
  <c r="G708" i="72" s="1"/>
  <c r="E687" i="72"/>
  <c r="G687" i="72" s="1"/>
  <c r="E665" i="72"/>
  <c r="G665" i="72" s="1"/>
  <c r="E638" i="72"/>
  <c r="G638" i="72" s="1"/>
  <c r="E604" i="72"/>
  <c r="G604" i="72" s="1"/>
  <c r="E565" i="72"/>
  <c r="G565" i="72" s="1"/>
  <c r="E521" i="72"/>
  <c r="G521" i="72" s="1"/>
  <c r="E479" i="72"/>
  <c r="G479" i="72" s="1"/>
  <c r="E383" i="72"/>
  <c r="G383" i="72" s="1"/>
  <c r="E255" i="72"/>
  <c r="G255" i="72" s="1"/>
  <c r="F906" i="72"/>
  <c r="F650" i="72"/>
  <c r="F342" i="72"/>
  <c r="E900" i="72"/>
  <c r="G900" i="72" s="1"/>
  <c r="E884" i="72"/>
  <c r="G884" i="72" s="1"/>
  <c r="E868" i="72"/>
  <c r="G868" i="72" s="1"/>
  <c r="E852" i="72"/>
  <c r="G852" i="72" s="1"/>
  <c r="E836" i="72"/>
  <c r="G836" i="72" s="1"/>
  <c r="E820" i="72"/>
  <c r="G820" i="72" s="1"/>
  <c r="E804" i="72"/>
  <c r="G804" i="72" s="1"/>
  <c r="E788" i="72"/>
  <c r="G788" i="72" s="1"/>
  <c r="E772" i="72"/>
  <c r="G772" i="72" s="1"/>
  <c r="E756" i="72"/>
  <c r="G756" i="72" s="1"/>
  <c r="E740" i="72"/>
  <c r="G740" i="72" s="1"/>
  <c r="E724" i="72"/>
  <c r="G724" i="72" s="1"/>
  <c r="E707" i="72"/>
  <c r="G707" i="72" s="1"/>
  <c r="E686" i="72"/>
  <c r="G686" i="72" s="1"/>
  <c r="E664" i="72"/>
  <c r="G664" i="72" s="1"/>
  <c r="E637" i="72"/>
  <c r="G637" i="72" s="1"/>
  <c r="E603" i="72"/>
  <c r="G603" i="72" s="1"/>
  <c r="E564" i="72"/>
  <c r="G564" i="72" s="1"/>
  <c r="E520" i="72"/>
  <c r="G520" i="72" s="1"/>
  <c r="E473" i="72"/>
  <c r="G473" i="72" s="1"/>
  <c r="E372" i="72"/>
  <c r="G372" i="72" s="1"/>
  <c r="E239" i="72"/>
  <c r="G239" i="72" s="1"/>
  <c r="F890" i="72"/>
  <c r="F634" i="72"/>
  <c r="F307" i="72"/>
  <c r="E899" i="72"/>
  <c r="G899" i="72" s="1"/>
  <c r="E883" i="72"/>
  <c r="G883" i="72" s="1"/>
  <c r="E867" i="72"/>
  <c r="G867" i="72" s="1"/>
  <c r="E851" i="72"/>
  <c r="G851" i="72" s="1"/>
  <c r="E835" i="72"/>
  <c r="G835" i="72" s="1"/>
  <c r="E819" i="72"/>
  <c r="G819" i="72" s="1"/>
  <c r="E803" i="72"/>
  <c r="G803" i="72" s="1"/>
  <c r="E787" i="72"/>
  <c r="G787" i="72" s="1"/>
  <c r="E771" i="72"/>
  <c r="G771" i="72" s="1"/>
  <c r="E755" i="72"/>
  <c r="G755" i="72" s="1"/>
  <c r="E739" i="72"/>
  <c r="G739" i="72" s="1"/>
  <c r="E723" i="72"/>
  <c r="G723" i="72" s="1"/>
  <c r="E706" i="72"/>
  <c r="G706" i="72" s="1"/>
  <c r="E685" i="72"/>
  <c r="G685" i="72" s="1"/>
  <c r="E663" i="72"/>
  <c r="G663" i="72" s="1"/>
  <c r="E636" i="72"/>
  <c r="G636" i="72" s="1"/>
  <c r="E601" i="72"/>
  <c r="G601" i="72" s="1"/>
  <c r="E559" i="72"/>
  <c r="G559" i="72" s="1"/>
  <c r="E517" i="72"/>
  <c r="G517" i="72" s="1"/>
  <c r="E472" i="72"/>
  <c r="G472" i="72" s="1"/>
  <c r="E367" i="72"/>
  <c r="G367" i="72" s="1"/>
  <c r="E223" i="72"/>
  <c r="G223" i="72" s="1"/>
  <c r="F874" i="72"/>
  <c r="F618" i="72"/>
  <c r="F260" i="72"/>
  <c r="E898" i="72"/>
  <c r="G898" i="72" s="1"/>
  <c r="E882" i="72"/>
  <c r="G882" i="72" s="1"/>
  <c r="E866" i="72"/>
  <c r="G866" i="72" s="1"/>
  <c r="E850" i="72"/>
  <c r="G850" i="72" s="1"/>
  <c r="E834" i="72"/>
  <c r="G834" i="72" s="1"/>
  <c r="E818" i="72"/>
  <c r="G818" i="72" s="1"/>
  <c r="E802" i="72"/>
  <c r="G802" i="72" s="1"/>
  <c r="E786" i="72"/>
  <c r="G786" i="72" s="1"/>
  <c r="E770" i="72"/>
  <c r="G770" i="72" s="1"/>
  <c r="E754" i="72"/>
  <c r="G754" i="72" s="1"/>
  <c r="E738" i="72"/>
  <c r="G738" i="72" s="1"/>
  <c r="E722" i="72"/>
  <c r="G722" i="72" s="1"/>
  <c r="E705" i="72"/>
  <c r="G705" i="72" s="1"/>
  <c r="E684" i="72"/>
  <c r="G684" i="72" s="1"/>
  <c r="E661" i="72"/>
  <c r="G661" i="72" s="1"/>
  <c r="E635" i="72"/>
  <c r="G635" i="72" s="1"/>
  <c r="E600" i="72"/>
  <c r="G600" i="72" s="1"/>
  <c r="E556" i="72"/>
  <c r="G556" i="72" s="1"/>
  <c r="E516" i="72"/>
  <c r="G516" i="72" s="1"/>
  <c r="E468" i="72"/>
  <c r="G468" i="72" s="1"/>
  <c r="E356" i="72"/>
  <c r="G356" i="72" s="1"/>
  <c r="E207" i="72"/>
  <c r="G207" i="72" s="1"/>
  <c r="F858" i="72"/>
  <c r="F602" i="72"/>
  <c r="F180" i="72"/>
  <c r="E897" i="72"/>
  <c r="G897" i="72" s="1"/>
  <c r="E881" i="72"/>
  <c r="G881" i="72" s="1"/>
  <c r="E865" i="72"/>
  <c r="G865" i="72" s="1"/>
  <c r="E849" i="72"/>
  <c r="G849" i="72" s="1"/>
  <c r="E833" i="72"/>
  <c r="G833" i="72" s="1"/>
  <c r="E817" i="72"/>
  <c r="G817" i="72" s="1"/>
  <c r="E801" i="72"/>
  <c r="G801" i="72" s="1"/>
  <c r="E785" i="72"/>
  <c r="G785" i="72" s="1"/>
  <c r="E769" i="72"/>
  <c r="G769" i="72" s="1"/>
  <c r="E753" i="72"/>
  <c r="G753" i="72" s="1"/>
  <c r="E737" i="72"/>
  <c r="G737" i="72" s="1"/>
  <c r="E721" i="72"/>
  <c r="G721" i="72" s="1"/>
  <c r="E704" i="72"/>
  <c r="G704" i="72" s="1"/>
  <c r="E683" i="72"/>
  <c r="G683" i="72" s="1"/>
  <c r="E660" i="72"/>
  <c r="G660" i="72" s="1"/>
  <c r="E633" i="72"/>
  <c r="G633" i="72" s="1"/>
  <c r="E597" i="72"/>
  <c r="G597" i="72" s="1"/>
  <c r="E553" i="72"/>
  <c r="G553" i="72" s="1"/>
  <c r="E511" i="72"/>
  <c r="G511" i="72" s="1"/>
  <c r="E463" i="72"/>
  <c r="G463" i="72" s="1"/>
  <c r="E351" i="72"/>
  <c r="G351" i="72" s="1"/>
  <c r="E191" i="72"/>
  <c r="G191" i="72" s="1"/>
  <c r="F842" i="72"/>
  <c r="F586" i="72"/>
  <c r="F70" i="72"/>
  <c r="E896" i="72"/>
  <c r="G896" i="72" s="1"/>
  <c r="E880" i="72"/>
  <c r="G880" i="72" s="1"/>
  <c r="E864" i="72"/>
  <c r="G864" i="72" s="1"/>
  <c r="E848" i="72"/>
  <c r="G848" i="72" s="1"/>
  <c r="E832" i="72"/>
  <c r="G832" i="72" s="1"/>
  <c r="E816" i="72"/>
  <c r="G816" i="72" s="1"/>
  <c r="E800" i="72"/>
  <c r="G800" i="72" s="1"/>
  <c r="E784" i="72"/>
  <c r="G784" i="72" s="1"/>
  <c r="E768" i="72"/>
  <c r="G768" i="72" s="1"/>
  <c r="E752" i="72"/>
  <c r="G752" i="72" s="1"/>
  <c r="E736" i="72"/>
  <c r="G736" i="72" s="1"/>
  <c r="E720" i="72"/>
  <c r="G720" i="72" s="1"/>
  <c r="E703" i="72"/>
  <c r="G703" i="72" s="1"/>
  <c r="E681" i="72"/>
  <c r="G681" i="72" s="1"/>
  <c r="E656" i="72"/>
  <c r="G656" i="72" s="1"/>
  <c r="E632" i="72"/>
  <c r="G632" i="72" s="1"/>
  <c r="E596" i="72"/>
  <c r="G596" i="72" s="1"/>
  <c r="E552" i="72"/>
  <c r="G552" i="72" s="1"/>
  <c r="E508" i="72"/>
  <c r="G508" i="72" s="1"/>
  <c r="E456" i="72"/>
  <c r="G456" i="72" s="1"/>
  <c r="E340" i="72"/>
  <c r="G340" i="72" s="1"/>
  <c r="E175" i="72"/>
  <c r="G175" i="72" s="1"/>
  <c r="F826" i="72"/>
  <c r="F570" i="72"/>
  <c r="E895" i="72"/>
  <c r="G895" i="72" s="1"/>
  <c r="E879" i="72"/>
  <c r="G879" i="72" s="1"/>
  <c r="E863" i="72"/>
  <c r="G863" i="72" s="1"/>
  <c r="E847" i="72"/>
  <c r="G847" i="72" s="1"/>
  <c r="E831" i="72"/>
  <c r="G831" i="72" s="1"/>
  <c r="E815" i="72"/>
  <c r="G815" i="72" s="1"/>
  <c r="E799" i="72"/>
  <c r="G799" i="72" s="1"/>
  <c r="E783" i="72"/>
  <c r="G783" i="72" s="1"/>
  <c r="E767" i="72"/>
  <c r="G767" i="72" s="1"/>
  <c r="E751" i="72"/>
  <c r="G751" i="72" s="1"/>
  <c r="E735" i="72"/>
  <c r="G735" i="72" s="1"/>
  <c r="E719" i="72"/>
  <c r="G719" i="72" s="1"/>
  <c r="E702" i="72"/>
  <c r="G702" i="72" s="1"/>
  <c r="E680" i="72"/>
  <c r="G680" i="72" s="1"/>
  <c r="E655" i="72"/>
  <c r="G655" i="72" s="1"/>
  <c r="E629" i="72"/>
  <c r="G629" i="72" s="1"/>
  <c r="E591" i="72"/>
  <c r="G591" i="72" s="1"/>
  <c r="E549" i="72"/>
  <c r="G549" i="72" s="1"/>
  <c r="E505" i="72"/>
  <c r="G505" i="72" s="1"/>
  <c r="E452" i="72"/>
  <c r="G452" i="72" s="1"/>
  <c r="E335" i="72"/>
  <c r="G335" i="72" s="1"/>
  <c r="E159" i="72"/>
  <c r="G159" i="72" s="1"/>
  <c r="F810" i="72"/>
  <c r="F554" i="72"/>
  <c r="F7" i="72"/>
  <c r="F23" i="72"/>
  <c r="F39" i="72"/>
  <c r="F55" i="72"/>
  <c r="F71" i="72"/>
  <c r="F87" i="72"/>
  <c r="F103" i="72"/>
  <c r="F119" i="72"/>
  <c r="F135" i="72"/>
  <c r="F151" i="72"/>
  <c r="F167" i="72"/>
  <c r="F183" i="72"/>
  <c r="F199" i="72"/>
  <c r="F215" i="72"/>
  <c r="F231" i="72"/>
  <c r="F247" i="72"/>
  <c r="F263" i="72"/>
  <c r="F279" i="72"/>
  <c r="F295" i="72"/>
  <c r="F311" i="72"/>
  <c r="F327" i="72"/>
  <c r="F343" i="72"/>
  <c r="F359" i="72"/>
  <c r="F375" i="72"/>
  <c r="F391" i="72"/>
  <c r="F407" i="72"/>
  <c r="F423" i="72"/>
  <c r="F439" i="72"/>
  <c r="F8" i="72"/>
  <c r="F24" i="72"/>
  <c r="F40" i="72"/>
  <c r="F56" i="72"/>
  <c r="F72" i="72"/>
  <c r="F88" i="72"/>
  <c r="F104" i="72"/>
  <c r="F120" i="72"/>
  <c r="F136" i="72"/>
  <c r="F152" i="72"/>
  <c r="F168" i="72"/>
  <c r="F184" i="72"/>
  <c r="F200" i="72"/>
  <c r="F216" i="72"/>
  <c r="F232" i="72"/>
  <c r="F248" i="72"/>
  <c r="F264" i="72"/>
  <c r="F280" i="72"/>
  <c r="F296" i="72"/>
  <c r="F312" i="72"/>
  <c r="F328" i="72"/>
  <c r="F344" i="72"/>
  <c r="F360" i="72"/>
  <c r="F376" i="72"/>
  <c r="F392" i="72"/>
  <c r="F408" i="72"/>
  <c r="F424" i="72"/>
  <c r="F440" i="72"/>
  <c r="F9" i="72"/>
  <c r="F25" i="72"/>
  <c r="F41" i="72"/>
  <c r="F57" i="72"/>
  <c r="F73" i="72"/>
  <c r="F89" i="72"/>
  <c r="F105" i="72"/>
  <c r="F121" i="72"/>
  <c r="F137" i="72"/>
  <c r="F153" i="72"/>
  <c r="F169" i="72"/>
  <c r="F185" i="72"/>
  <c r="F201" i="72"/>
  <c r="F217" i="72"/>
  <c r="F233" i="72"/>
  <c r="F249" i="72"/>
  <c r="F265" i="72"/>
  <c r="F281" i="72"/>
  <c r="F297" i="72"/>
  <c r="F313" i="72"/>
  <c r="F329" i="72"/>
  <c r="F345" i="72"/>
  <c r="F361" i="72"/>
  <c r="F377" i="72"/>
  <c r="F393" i="72"/>
  <c r="F409" i="72"/>
  <c r="F425" i="72"/>
  <c r="F441" i="72"/>
  <c r="F10" i="72"/>
  <c r="F26" i="72"/>
  <c r="F42" i="72"/>
  <c r="F58" i="72"/>
  <c r="F74" i="72"/>
  <c r="F90" i="72"/>
  <c r="F106" i="72"/>
  <c r="F122" i="72"/>
  <c r="F138" i="72"/>
  <c r="F154" i="72"/>
  <c r="F170" i="72"/>
  <c r="F186" i="72"/>
  <c r="F202" i="72"/>
  <c r="F218" i="72"/>
  <c r="F234" i="72"/>
  <c r="F250" i="72"/>
  <c r="F266" i="72"/>
  <c r="F282" i="72"/>
  <c r="F298" i="72"/>
  <c r="F314" i="72"/>
  <c r="F11" i="72"/>
  <c r="F27" i="72"/>
  <c r="F43" i="72"/>
  <c r="F59" i="72"/>
  <c r="F75" i="72"/>
  <c r="F91" i="72"/>
  <c r="F107" i="72"/>
  <c r="F123" i="72"/>
  <c r="F139" i="72"/>
  <c r="F155" i="72"/>
  <c r="F171" i="72"/>
  <c r="F187" i="72"/>
  <c r="F203" i="72"/>
  <c r="F219" i="72"/>
  <c r="F235" i="72"/>
  <c r="F251" i="72"/>
  <c r="F267" i="72"/>
  <c r="F283" i="72"/>
  <c r="F299" i="72"/>
  <c r="F315" i="72"/>
  <c r="F331" i="72"/>
  <c r="F347" i="72"/>
  <c r="F363" i="72"/>
  <c r="F379" i="72"/>
  <c r="F395" i="72"/>
  <c r="F411" i="72"/>
  <c r="F427" i="72"/>
  <c r="F443" i="72"/>
  <c r="F12" i="72"/>
  <c r="F28" i="72"/>
  <c r="F44" i="72"/>
  <c r="F60" i="72"/>
  <c r="F76" i="72"/>
  <c r="F92" i="72"/>
  <c r="F108" i="72"/>
  <c r="F124" i="72"/>
  <c r="F140" i="72"/>
  <c r="F156" i="72"/>
  <c r="F172" i="72"/>
  <c r="F188" i="72"/>
  <c r="F204" i="72"/>
  <c r="F220" i="72"/>
  <c r="F236" i="72"/>
  <c r="F252" i="72"/>
  <c r="F268" i="72"/>
  <c r="F13" i="72"/>
  <c r="F29" i="72"/>
  <c r="F45" i="72"/>
  <c r="F61" i="72"/>
  <c r="F77" i="72"/>
  <c r="F93" i="72"/>
  <c r="F109" i="72"/>
  <c r="F125" i="72"/>
  <c r="F141" i="72"/>
  <c r="F157" i="72"/>
  <c r="F173" i="72"/>
  <c r="F189" i="72"/>
  <c r="F205" i="72"/>
  <c r="F221" i="72"/>
  <c r="F237" i="72"/>
  <c r="F253" i="72"/>
  <c r="F269" i="72"/>
  <c r="F285" i="72"/>
  <c r="F301" i="72"/>
  <c r="F317" i="72"/>
  <c r="F333" i="72"/>
  <c r="F349" i="72"/>
  <c r="F365" i="72"/>
  <c r="F381" i="72"/>
  <c r="F397" i="72"/>
  <c r="F413" i="72"/>
  <c r="F429" i="72"/>
  <c r="F445" i="72"/>
  <c r="F14" i="72"/>
  <c r="F30" i="72"/>
  <c r="F46" i="72"/>
  <c r="F62" i="72"/>
  <c r="F78" i="72"/>
  <c r="F94" i="72"/>
  <c r="F110" i="72"/>
  <c r="F126" i="72"/>
  <c r="F142" i="72"/>
  <c r="F158" i="72"/>
  <c r="F174" i="72"/>
  <c r="F190" i="72"/>
  <c r="F206" i="72"/>
  <c r="F222" i="72"/>
  <c r="F238" i="72"/>
  <c r="F254" i="72"/>
  <c r="F270" i="72"/>
  <c r="F286" i="72"/>
  <c r="F302" i="72"/>
  <c r="F318" i="72"/>
  <c r="F334" i="72"/>
  <c r="F350" i="72"/>
  <c r="F366" i="72"/>
  <c r="F382" i="72"/>
  <c r="F398" i="72"/>
  <c r="F414" i="72"/>
  <c r="F430" i="72"/>
  <c r="F446" i="72"/>
  <c r="F15" i="72"/>
  <c r="F31" i="72"/>
  <c r="F47" i="72"/>
  <c r="F63" i="72"/>
  <c r="F79" i="72"/>
  <c r="F95" i="72"/>
  <c r="F111" i="72"/>
  <c r="F127" i="72"/>
  <c r="F143" i="72"/>
  <c r="F159" i="72"/>
  <c r="F175" i="72"/>
  <c r="F191" i="72"/>
  <c r="F207" i="72"/>
  <c r="F223" i="72"/>
  <c r="F239" i="72"/>
  <c r="F255" i="72"/>
  <c r="F16" i="72"/>
  <c r="F32" i="72"/>
  <c r="F48" i="72"/>
  <c r="F64" i="72"/>
  <c r="F80" i="72"/>
  <c r="F96" i="72"/>
  <c r="F112" i="72"/>
  <c r="F128" i="72"/>
  <c r="F144" i="72"/>
  <c r="F160" i="72"/>
  <c r="F176" i="72"/>
  <c r="F192" i="72"/>
  <c r="F208" i="72"/>
  <c r="F224" i="72"/>
  <c r="F240" i="72"/>
  <c r="F256" i="72"/>
  <c r="F272" i="72"/>
  <c r="F288" i="72"/>
  <c r="F304" i="72"/>
  <c r="F320" i="72"/>
  <c r="F336" i="72"/>
  <c r="F352" i="72"/>
  <c r="F368" i="72"/>
  <c r="F384" i="72"/>
  <c r="F400" i="72"/>
  <c r="F416" i="72"/>
  <c r="F17" i="72"/>
  <c r="F33" i="72"/>
  <c r="F49" i="72"/>
  <c r="F65" i="72"/>
  <c r="F81" i="72"/>
  <c r="F97" i="72"/>
  <c r="F113" i="72"/>
  <c r="F129" i="72"/>
  <c r="F145" i="72"/>
  <c r="F161" i="72"/>
  <c r="F177" i="72"/>
  <c r="F193" i="72"/>
  <c r="F209" i="72"/>
  <c r="F225" i="72"/>
  <c r="F241" i="72"/>
  <c r="F2" i="72"/>
  <c r="F18" i="72"/>
  <c r="F34" i="72"/>
  <c r="F50" i="72"/>
  <c r="F66" i="72"/>
  <c r="F82" i="72"/>
  <c r="F98" i="72"/>
  <c r="F114" i="72"/>
  <c r="F130" i="72"/>
  <c r="F146" i="72"/>
  <c r="F162" i="72"/>
  <c r="F178" i="72"/>
  <c r="F194" i="72"/>
  <c r="F210" i="72"/>
  <c r="F226" i="72"/>
  <c r="F242" i="72"/>
  <c r="F258" i="72"/>
  <c r="F274" i="72"/>
  <c r="F290" i="72"/>
  <c r="F306" i="72"/>
  <c r="F322" i="72"/>
  <c r="F3" i="72"/>
  <c r="F19" i="72"/>
  <c r="F35" i="72"/>
  <c r="F51" i="72"/>
  <c r="F67" i="72"/>
  <c r="F83" i="72"/>
  <c r="F99" i="72"/>
  <c r="F115" i="72"/>
  <c r="F131" i="72"/>
  <c r="F4" i="72"/>
  <c r="F20" i="72"/>
  <c r="F5" i="72"/>
  <c r="F21" i="72"/>
  <c r="F37" i="72"/>
  <c r="F53" i="72"/>
  <c r="F69" i="72"/>
  <c r="F85" i="72"/>
  <c r="F101" i="72"/>
  <c r="F117" i="72"/>
  <c r="F133" i="72"/>
  <c r="F149" i="72"/>
  <c r="F165" i="72"/>
  <c r="F181" i="72"/>
  <c r="F197" i="72"/>
  <c r="F213" i="72"/>
  <c r="F229" i="72"/>
  <c r="F245" i="72"/>
  <c r="F261" i="72"/>
  <c r="F277" i="72"/>
  <c r="F293" i="72"/>
  <c r="F309" i="72"/>
  <c r="F325" i="72"/>
  <c r="F341" i="72"/>
  <c r="F357" i="72"/>
  <c r="F373" i="72"/>
  <c r="F389" i="72"/>
  <c r="F405" i="72"/>
  <c r="F421" i="72"/>
  <c r="F84" i="72"/>
  <c r="F182" i="72"/>
  <c r="F262" i="72"/>
  <c r="F308" i="72"/>
  <c r="F346" i="72"/>
  <c r="F378" i="72"/>
  <c r="F410" i="72"/>
  <c r="F437" i="72"/>
  <c r="F459" i="72"/>
  <c r="F475" i="72"/>
  <c r="F491" i="72"/>
  <c r="F507" i="72"/>
  <c r="F523" i="72"/>
  <c r="F539" i="72"/>
  <c r="F555" i="72"/>
  <c r="F571" i="72"/>
  <c r="F587" i="72"/>
  <c r="F603" i="72"/>
  <c r="F619" i="72"/>
  <c r="F635" i="72"/>
  <c r="F651" i="72"/>
  <c r="F667" i="72"/>
  <c r="F683" i="72"/>
  <c r="F699" i="72"/>
  <c r="F715" i="72"/>
  <c r="F731" i="72"/>
  <c r="F747" i="72"/>
  <c r="F763" i="72"/>
  <c r="F779" i="72"/>
  <c r="F795" i="72"/>
  <c r="F811" i="72"/>
  <c r="F827" i="72"/>
  <c r="F843" i="72"/>
  <c r="F859" i="72"/>
  <c r="F875" i="72"/>
  <c r="F891" i="72"/>
  <c r="F907" i="72"/>
  <c r="F86" i="72"/>
  <c r="F195" i="72"/>
  <c r="F271" i="72"/>
  <c r="F310" i="72"/>
  <c r="F348" i="72"/>
  <c r="F380" i="72"/>
  <c r="F412" i="72"/>
  <c r="F438" i="72"/>
  <c r="F460" i="72"/>
  <c r="F476" i="72"/>
  <c r="F492" i="72"/>
  <c r="F508" i="72"/>
  <c r="F524" i="72"/>
  <c r="F540" i="72"/>
  <c r="F556" i="72"/>
  <c r="F572" i="72"/>
  <c r="F588" i="72"/>
  <c r="F604" i="72"/>
  <c r="F620" i="72"/>
  <c r="F636" i="72"/>
  <c r="F652" i="72"/>
  <c r="F668" i="72"/>
  <c r="F684" i="72"/>
  <c r="F700" i="72"/>
  <c r="F716" i="72"/>
  <c r="F732" i="72"/>
  <c r="F748" i="72"/>
  <c r="F764" i="72"/>
  <c r="F780" i="72"/>
  <c r="F796" i="72"/>
  <c r="F812" i="72"/>
  <c r="F828" i="72"/>
  <c r="F844" i="72"/>
  <c r="F860" i="72"/>
  <c r="F876" i="72"/>
  <c r="F892" i="72"/>
  <c r="F908" i="72"/>
  <c r="F100" i="72"/>
  <c r="F196" i="72"/>
  <c r="F273" i="72"/>
  <c r="F316" i="72"/>
  <c r="F351" i="72"/>
  <c r="F383" i="72"/>
  <c r="F415" i="72"/>
  <c r="F442" i="72"/>
  <c r="F461" i="72"/>
  <c r="F477" i="72"/>
  <c r="F493" i="72"/>
  <c r="F509" i="72"/>
  <c r="F525" i="72"/>
  <c r="F541" i="72"/>
  <c r="F557" i="72"/>
  <c r="F573" i="72"/>
  <c r="F589" i="72"/>
  <c r="F605" i="72"/>
  <c r="F621" i="72"/>
  <c r="F637" i="72"/>
  <c r="F653" i="72"/>
  <c r="F669" i="72"/>
  <c r="F685" i="72"/>
  <c r="F701" i="72"/>
  <c r="F717" i="72"/>
  <c r="F733" i="72"/>
  <c r="F749" i="72"/>
  <c r="F765" i="72"/>
  <c r="F781" i="72"/>
  <c r="F797" i="72"/>
  <c r="F813" i="72"/>
  <c r="F829" i="72"/>
  <c r="F845" i="72"/>
  <c r="F861" i="72"/>
  <c r="F877" i="72"/>
  <c r="F893" i="72"/>
  <c r="F102" i="72"/>
  <c r="F198" i="72"/>
  <c r="F275" i="72"/>
  <c r="F319" i="72"/>
  <c r="F353" i="72"/>
  <c r="F385" i="72"/>
  <c r="F417" i="72"/>
  <c r="F444" i="72"/>
  <c r="F462" i="72"/>
  <c r="F478" i="72"/>
  <c r="F494" i="72"/>
  <c r="F510" i="72"/>
  <c r="F526" i="72"/>
  <c r="F542" i="72"/>
  <c r="F558" i="72"/>
  <c r="F574" i="72"/>
  <c r="F590" i="72"/>
  <c r="F606" i="72"/>
  <c r="F622" i="72"/>
  <c r="F638" i="72"/>
  <c r="F654" i="72"/>
  <c r="F670" i="72"/>
  <c r="F686" i="72"/>
  <c r="F702" i="72"/>
  <c r="F718" i="72"/>
  <c r="F734" i="72"/>
  <c r="F750" i="72"/>
  <c r="F766" i="72"/>
  <c r="F782" i="72"/>
  <c r="F798" i="72"/>
  <c r="F814" i="72"/>
  <c r="F830" i="72"/>
  <c r="F846" i="72"/>
  <c r="F862" i="72"/>
  <c r="F878" i="72"/>
  <c r="F894" i="72"/>
  <c r="F116" i="72"/>
  <c r="F211" i="72"/>
  <c r="F276" i="72"/>
  <c r="F321" i="72"/>
  <c r="F354" i="72"/>
  <c r="F386" i="72"/>
  <c r="F418" i="72"/>
  <c r="F447" i="72"/>
  <c r="F463" i="72"/>
  <c r="F479" i="72"/>
  <c r="F495" i="72"/>
  <c r="F511" i="72"/>
  <c r="F527" i="72"/>
  <c r="F543" i="72"/>
  <c r="F559" i="72"/>
  <c r="F575" i="72"/>
  <c r="F591" i="72"/>
  <c r="F607" i="72"/>
  <c r="F623" i="72"/>
  <c r="F639" i="72"/>
  <c r="F655" i="72"/>
  <c r="F671" i="72"/>
  <c r="F687" i="72"/>
  <c r="F703" i="72"/>
  <c r="F719" i="72"/>
  <c r="F735" i="72"/>
  <c r="F751" i="72"/>
  <c r="F767" i="72"/>
  <c r="F783" i="72"/>
  <c r="F799" i="72"/>
  <c r="F815" i="72"/>
  <c r="F831" i="72"/>
  <c r="F847" i="72"/>
  <c r="F863" i="72"/>
  <c r="F879" i="72"/>
  <c r="F895" i="72"/>
  <c r="F118" i="72"/>
  <c r="F212" i="72"/>
  <c r="F278" i="72"/>
  <c r="F323" i="72"/>
  <c r="F355" i="72"/>
  <c r="F387" i="72"/>
  <c r="F419" i="72"/>
  <c r="F448" i="72"/>
  <c r="F464" i="72"/>
  <c r="F480" i="72"/>
  <c r="F496" i="72"/>
  <c r="F512" i="72"/>
  <c r="F528" i="72"/>
  <c r="F544" i="72"/>
  <c r="F560" i="72"/>
  <c r="F576" i="72"/>
  <c r="F592" i="72"/>
  <c r="F608" i="72"/>
  <c r="F624" i="72"/>
  <c r="F640" i="72"/>
  <c r="F656" i="72"/>
  <c r="F672" i="72"/>
  <c r="F688" i="72"/>
  <c r="F704" i="72"/>
  <c r="F720" i="72"/>
  <c r="F736" i="72"/>
  <c r="F752" i="72"/>
  <c r="F768" i="72"/>
  <c r="F784" i="72"/>
  <c r="F800" i="72"/>
  <c r="F816" i="72"/>
  <c r="F832" i="72"/>
  <c r="F848" i="72"/>
  <c r="F864" i="72"/>
  <c r="F880" i="72"/>
  <c r="F896" i="72"/>
  <c r="F132" i="72"/>
  <c r="F214" i="72"/>
  <c r="F284" i="72"/>
  <c r="F324" i="72"/>
  <c r="F356" i="72"/>
  <c r="F388" i="72"/>
  <c r="F420" i="72"/>
  <c r="F449" i="72"/>
  <c r="F465" i="72"/>
  <c r="F481" i="72"/>
  <c r="F497" i="72"/>
  <c r="F513" i="72"/>
  <c r="F529" i="72"/>
  <c r="F545" i="72"/>
  <c r="F561" i="72"/>
  <c r="F577" i="72"/>
  <c r="F593" i="72"/>
  <c r="F609" i="72"/>
  <c r="F625" i="72"/>
  <c r="F641" i="72"/>
  <c r="F657" i="72"/>
  <c r="F673" i="72"/>
  <c r="F689" i="72"/>
  <c r="F705" i="72"/>
  <c r="F721" i="72"/>
  <c r="F737" i="72"/>
  <c r="F753" i="72"/>
  <c r="F769" i="72"/>
  <c r="F785" i="72"/>
  <c r="F801" i="72"/>
  <c r="F817" i="72"/>
  <c r="F833" i="72"/>
  <c r="F849" i="72"/>
  <c r="F865" i="72"/>
  <c r="F881" i="72"/>
  <c r="F897" i="72"/>
  <c r="F134" i="72"/>
  <c r="F227" i="72"/>
  <c r="F287" i="72"/>
  <c r="F326" i="72"/>
  <c r="F358" i="72"/>
  <c r="F390" i="72"/>
  <c r="F422" i="72"/>
  <c r="F450" i="72"/>
  <c r="F466" i="72"/>
  <c r="F482" i="72"/>
  <c r="F498" i="72"/>
  <c r="F514" i="72"/>
  <c r="F530" i="72"/>
  <c r="F546" i="72"/>
  <c r="F562" i="72"/>
  <c r="F578" i="72"/>
  <c r="F594" i="72"/>
  <c r="F610" i="72"/>
  <c r="F626" i="72"/>
  <c r="F642" i="72"/>
  <c r="F658" i="72"/>
  <c r="F674" i="72"/>
  <c r="F690" i="72"/>
  <c r="F706" i="72"/>
  <c r="F722" i="72"/>
  <c r="F738" i="72"/>
  <c r="F754" i="72"/>
  <c r="F770" i="72"/>
  <c r="F786" i="72"/>
  <c r="F802" i="72"/>
  <c r="F818" i="72"/>
  <c r="F834" i="72"/>
  <c r="F850" i="72"/>
  <c r="F866" i="72"/>
  <c r="F882" i="72"/>
  <c r="F898" i="72"/>
  <c r="F6" i="72"/>
  <c r="F147" i="72"/>
  <c r="F228" i="72"/>
  <c r="F289" i="72"/>
  <c r="F330" i="72"/>
  <c r="F362" i="72"/>
  <c r="F394" i="72"/>
  <c r="F426" i="72"/>
  <c r="F451" i="72"/>
  <c r="F467" i="72"/>
  <c r="F483" i="72"/>
  <c r="F499" i="72"/>
  <c r="F515" i="72"/>
  <c r="F531" i="72"/>
  <c r="F547" i="72"/>
  <c r="F563" i="72"/>
  <c r="F579" i="72"/>
  <c r="F595" i="72"/>
  <c r="F611" i="72"/>
  <c r="F627" i="72"/>
  <c r="F643" i="72"/>
  <c r="F659" i="72"/>
  <c r="F675" i="72"/>
  <c r="F691" i="72"/>
  <c r="F707" i="72"/>
  <c r="F723" i="72"/>
  <c r="F739" i="72"/>
  <c r="F755" i="72"/>
  <c r="F771" i="72"/>
  <c r="F787" i="72"/>
  <c r="F803" i="72"/>
  <c r="F819" i="72"/>
  <c r="F835" i="72"/>
  <c r="F851" i="72"/>
  <c r="F867" i="72"/>
  <c r="F883" i="72"/>
  <c r="F899" i="72"/>
  <c r="F22" i="72"/>
  <c r="F148" i="72"/>
  <c r="F230" i="72"/>
  <c r="F291" i="72"/>
  <c r="F332" i="72"/>
  <c r="F364" i="72"/>
  <c r="F396" i="72"/>
  <c r="F428" i="72"/>
  <c r="F452" i="72"/>
  <c r="F468" i="72"/>
  <c r="F484" i="72"/>
  <c r="F500" i="72"/>
  <c r="F516" i="72"/>
  <c r="F532" i="72"/>
  <c r="F548" i="72"/>
  <c r="F564" i="72"/>
  <c r="F580" i="72"/>
  <c r="F596" i="72"/>
  <c r="F612" i="72"/>
  <c r="F628" i="72"/>
  <c r="F644" i="72"/>
  <c r="F660" i="72"/>
  <c r="F676" i="72"/>
  <c r="F692" i="72"/>
  <c r="F708" i="72"/>
  <c r="F724" i="72"/>
  <c r="F740" i="72"/>
  <c r="F756" i="72"/>
  <c r="F772" i="72"/>
  <c r="F788" i="72"/>
  <c r="F804" i="72"/>
  <c r="F820" i="72"/>
  <c r="F836" i="72"/>
  <c r="F852" i="72"/>
  <c r="F868" i="72"/>
  <c r="F884" i="72"/>
  <c r="F900" i="72"/>
  <c r="F36" i="72"/>
  <c r="F150" i="72"/>
  <c r="F243" i="72"/>
  <c r="F292" i="72"/>
  <c r="F335" i="72"/>
  <c r="F367" i="72"/>
  <c r="F399" i="72"/>
  <c r="F431" i="72"/>
  <c r="F453" i="72"/>
  <c r="F469" i="72"/>
  <c r="F485" i="72"/>
  <c r="F501" i="72"/>
  <c r="F517" i="72"/>
  <c r="F533" i="72"/>
  <c r="F549" i="72"/>
  <c r="F565" i="72"/>
  <c r="F581" i="72"/>
  <c r="F597" i="72"/>
  <c r="F613" i="72"/>
  <c r="F629" i="72"/>
  <c r="F645" i="72"/>
  <c r="F661" i="72"/>
  <c r="F677" i="72"/>
  <c r="F693" i="72"/>
  <c r="F709" i="72"/>
  <c r="F725" i="72"/>
  <c r="F741" i="72"/>
  <c r="F757" i="72"/>
  <c r="F773" i="72"/>
  <c r="F789" i="72"/>
  <c r="F805" i="72"/>
  <c r="F821" i="72"/>
  <c r="F837" i="72"/>
  <c r="F853" i="72"/>
  <c r="F869" i="72"/>
  <c r="F885" i="72"/>
  <c r="F901" i="72"/>
  <c r="F38" i="72"/>
  <c r="F163" i="72"/>
  <c r="F244" i="72"/>
  <c r="F294" i="72"/>
  <c r="F337" i="72"/>
  <c r="F369" i="72"/>
  <c r="F401" i="72"/>
  <c r="F432" i="72"/>
  <c r="F454" i="72"/>
  <c r="F470" i="72"/>
  <c r="F486" i="72"/>
  <c r="F502" i="72"/>
  <c r="F518" i="72"/>
  <c r="F534" i="72"/>
  <c r="F550" i="72"/>
  <c r="F566" i="72"/>
  <c r="F582" i="72"/>
  <c r="F598" i="72"/>
  <c r="F614" i="72"/>
  <c r="F630" i="72"/>
  <c r="F646" i="72"/>
  <c r="F662" i="72"/>
  <c r="F678" i="72"/>
  <c r="F694" i="72"/>
  <c r="F710" i="72"/>
  <c r="F726" i="72"/>
  <c r="F742" i="72"/>
  <c r="F758" i="72"/>
  <c r="F774" i="72"/>
  <c r="F790" i="72"/>
  <c r="F806" i="72"/>
  <c r="F822" i="72"/>
  <c r="F838" i="72"/>
  <c r="F854" i="72"/>
  <c r="F870" i="72"/>
  <c r="F886" i="72"/>
  <c r="F902" i="72"/>
  <c r="F52" i="72"/>
  <c r="F164" i="72"/>
  <c r="F246" i="72"/>
  <c r="F300" i="72"/>
  <c r="F338" i="72"/>
  <c r="F370" i="72"/>
  <c r="F402" i="72"/>
  <c r="F433" i="72"/>
  <c r="F455" i="72"/>
  <c r="F471" i="72"/>
  <c r="F487" i="72"/>
  <c r="F503" i="72"/>
  <c r="F519" i="72"/>
  <c r="F535" i="72"/>
  <c r="F551" i="72"/>
  <c r="F567" i="72"/>
  <c r="F583" i="72"/>
  <c r="F599" i="72"/>
  <c r="F615" i="72"/>
  <c r="F631" i="72"/>
  <c r="F647" i="72"/>
  <c r="F663" i="72"/>
  <c r="F679" i="72"/>
  <c r="F695" i="72"/>
  <c r="F711" i="72"/>
  <c r="F727" i="72"/>
  <c r="F743" i="72"/>
  <c r="F759" i="72"/>
  <c r="F775" i="72"/>
  <c r="F791" i="72"/>
  <c r="F807" i="72"/>
  <c r="F823" i="72"/>
  <c r="F839" i="72"/>
  <c r="F855" i="72"/>
  <c r="F871" i="72"/>
  <c r="F887" i="72"/>
  <c r="F903" i="72"/>
  <c r="F54" i="72"/>
  <c r="F166" i="72"/>
  <c r="F257" i="72"/>
  <c r="F303" i="72"/>
  <c r="F339" i="72"/>
  <c r="F371" i="72"/>
  <c r="F403" i="72"/>
  <c r="F434" i="72"/>
  <c r="F456" i="72"/>
  <c r="F472" i="72"/>
  <c r="F488" i="72"/>
  <c r="F504" i="72"/>
  <c r="F520" i="72"/>
  <c r="F536" i="72"/>
  <c r="F552" i="72"/>
  <c r="F568" i="72"/>
  <c r="F584" i="72"/>
  <c r="F600" i="72"/>
  <c r="F616" i="72"/>
  <c r="F632" i="72"/>
  <c r="F648" i="72"/>
  <c r="F664" i="72"/>
  <c r="F680" i="72"/>
  <c r="F696" i="72"/>
  <c r="F712" i="72"/>
  <c r="F728" i="72"/>
  <c r="F744" i="72"/>
  <c r="F760" i="72"/>
  <c r="F776" i="72"/>
  <c r="F792" i="72"/>
  <c r="F808" i="72"/>
  <c r="F824" i="72"/>
  <c r="F840" i="72"/>
  <c r="F856" i="72"/>
  <c r="F872" i="72"/>
  <c r="F888" i="72"/>
  <c r="F904" i="72"/>
  <c r="F68" i="72"/>
  <c r="F179" i="72"/>
  <c r="F259" i="72"/>
  <c r="F305" i="72"/>
  <c r="F340" i="72"/>
  <c r="F372" i="72"/>
  <c r="F404" i="72"/>
  <c r="F435" i="72"/>
  <c r="F457" i="72"/>
  <c r="F473" i="72"/>
  <c r="F489" i="72"/>
  <c r="F505" i="72"/>
  <c r="F521" i="72"/>
  <c r="F537" i="72"/>
  <c r="F553" i="72"/>
  <c r="F569" i="72"/>
  <c r="F585" i="72"/>
  <c r="F601" i="72"/>
  <c r="F617" i="72"/>
  <c r="F633" i="72"/>
  <c r="F649" i="72"/>
  <c r="F665" i="72"/>
  <c r="F681" i="72"/>
  <c r="F697" i="72"/>
  <c r="F713" i="72"/>
  <c r="F729" i="72"/>
  <c r="F745" i="72"/>
  <c r="F761" i="72"/>
  <c r="F777" i="72"/>
  <c r="F793" i="72"/>
  <c r="F809" i="72"/>
  <c r="F825" i="72"/>
  <c r="F841" i="72"/>
  <c r="F857" i="72"/>
  <c r="F873" i="72"/>
  <c r="F889" i="72"/>
  <c r="F905" i="72"/>
  <c r="E894" i="72"/>
  <c r="G894" i="72" s="1"/>
  <c r="E878" i="72"/>
  <c r="G878" i="72" s="1"/>
  <c r="E862" i="72"/>
  <c r="G862" i="72" s="1"/>
  <c r="E846" i="72"/>
  <c r="G846" i="72" s="1"/>
  <c r="E830" i="72"/>
  <c r="G830" i="72" s="1"/>
  <c r="E814" i="72"/>
  <c r="G814" i="72" s="1"/>
  <c r="E798" i="72"/>
  <c r="G798" i="72" s="1"/>
  <c r="E782" i="72"/>
  <c r="G782" i="72" s="1"/>
  <c r="E766" i="72"/>
  <c r="G766" i="72" s="1"/>
  <c r="E750" i="72"/>
  <c r="G750" i="72" s="1"/>
  <c r="E734" i="72"/>
  <c r="G734" i="72" s="1"/>
  <c r="E718" i="72"/>
  <c r="G718" i="72" s="1"/>
  <c r="E701" i="72"/>
  <c r="G701" i="72" s="1"/>
  <c r="E679" i="72"/>
  <c r="G679" i="72" s="1"/>
  <c r="E654" i="72"/>
  <c r="G654" i="72" s="1"/>
  <c r="E628" i="72"/>
  <c r="G628" i="72" s="1"/>
  <c r="E588" i="72"/>
  <c r="G588" i="72" s="1"/>
  <c r="E548" i="72"/>
  <c r="G548" i="72" s="1"/>
  <c r="E504" i="72"/>
  <c r="G504" i="72" s="1"/>
  <c r="E447" i="72"/>
  <c r="G447" i="72" s="1"/>
  <c r="E324" i="72"/>
  <c r="G324" i="72" s="1"/>
  <c r="E143" i="72"/>
  <c r="G143" i="72" s="1"/>
  <c r="F794" i="72"/>
  <c r="F538" i="72"/>
  <c r="K40" i="84" l="1"/>
  <c r="L38" i="84"/>
  <c r="L37" i="84"/>
  <c r="L39" i="84"/>
  <c r="L40" i="84"/>
  <c r="K38" i="84"/>
  <c r="K37" i="84"/>
  <c r="H30" i="84"/>
  <c r="H47" i="84" s="1"/>
  <c r="F32" i="84"/>
  <c r="F49" i="84" s="1"/>
  <c r="H8" i="84"/>
  <c r="AE11" i="80"/>
  <c r="AE8" i="80"/>
  <c r="AE9" i="80"/>
  <c r="AE10" i="80"/>
  <c r="G3" i="72"/>
  <c r="E32" i="84" s="1"/>
  <c r="E49" i="84" s="1"/>
  <c r="J2" i="71"/>
  <c r="J3" i="71"/>
  <c r="J4" i="71"/>
  <c r="J5" i="71"/>
  <c r="D30" i="84" l="1"/>
  <c r="D47" i="84" s="1"/>
  <c r="N47" i="84" s="1"/>
  <c r="H31" i="84"/>
  <c r="H48" i="84" s="1"/>
  <c r="E31" i="84"/>
  <c r="E48" i="84" s="1"/>
  <c r="H32" i="84"/>
  <c r="C29" i="84"/>
  <c r="C46" i="84" s="1"/>
  <c r="D29" i="84"/>
  <c r="D46" i="84" s="1"/>
  <c r="O37" i="84"/>
  <c r="F29" i="84"/>
  <c r="F46" i="84" s="1"/>
  <c r="G30" i="84"/>
  <c r="C30" i="84"/>
  <c r="C47" i="84" s="1"/>
  <c r="E30" i="84"/>
  <c r="E47" i="84" s="1"/>
  <c r="D31" i="84"/>
  <c r="C32" i="84"/>
  <c r="C49" i="84" s="1"/>
  <c r="F31" i="84"/>
  <c r="F48" i="84" s="1"/>
  <c r="G29" i="84"/>
  <c r="F30" i="84"/>
  <c r="F47" i="84" s="1"/>
  <c r="D32" i="84"/>
  <c r="D49" i="84" s="1"/>
  <c r="E29" i="84"/>
  <c r="G31" i="84"/>
  <c r="C31" i="84"/>
  <c r="C48" i="84" s="1"/>
  <c r="O38" i="84"/>
  <c r="N38" i="84"/>
  <c r="R38" i="84" a="1"/>
  <c r="R38" i="84" s="1"/>
  <c r="G32" i="84"/>
  <c r="O30" i="84"/>
  <c r="N30" i="84"/>
  <c r="H29" i="84"/>
  <c r="H46" i="84" s="1"/>
  <c r="J6" i="71"/>
  <c r="J7" i="71" s="1"/>
  <c r="G46" i="84" l="1"/>
  <c r="L29" i="84"/>
  <c r="K29" i="84"/>
  <c r="G47" i="84"/>
  <c r="L30" i="84"/>
  <c r="K30" i="84"/>
  <c r="G49" i="84"/>
  <c r="L32" i="84"/>
  <c r="K32" i="84"/>
  <c r="G48" i="84"/>
  <c r="L31" i="84"/>
  <c r="K31" i="84"/>
  <c r="Q30" i="84" a="1"/>
  <c r="Q30" i="84" s="1"/>
  <c r="R30" i="84" a="1"/>
  <c r="R30" i="84" s="1"/>
  <c r="R47" i="84" a="1"/>
  <c r="R47" i="84" s="1"/>
  <c r="O46" i="84"/>
  <c r="N46" i="84"/>
  <c r="E33" i="84"/>
  <c r="E46" i="84"/>
  <c r="O32" i="84"/>
  <c r="H49" i="84"/>
  <c r="O31" i="84"/>
  <c r="D48" i="84"/>
  <c r="O48" i="84" s="1"/>
  <c r="O47" i="84"/>
  <c r="R46" i="84" a="1"/>
  <c r="R46" i="84" s="1"/>
  <c r="Q46" i="84" a="1"/>
  <c r="Q46" i="84" s="1"/>
  <c r="F33" i="84"/>
  <c r="N37" i="84"/>
  <c r="N32" i="84"/>
  <c r="C33" i="84"/>
  <c r="D41" i="84"/>
  <c r="F41" i="84"/>
  <c r="O40" i="84"/>
  <c r="N40" i="84"/>
  <c r="G41" i="84"/>
  <c r="N39" i="84"/>
  <c r="O39" i="84"/>
  <c r="D33" i="84"/>
  <c r="R29" i="84" a="1"/>
  <c r="R29" i="84" s="1"/>
  <c r="Q29" i="84" a="1"/>
  <c r="Q29" i="84" s="1"/>
  <c r="G33" i="84"/>
  <c r="N31" i="84"/>
  <c r="R32" i="84" a="1"/>
  <c r="R32" i="84" s="1"/>
  <c r="Q32" i="84" a="1"/>
  <c r="Q32" i="84" s="1"/>
  <c r="H41" i="84"/>
  <c r="Q40" i="84" a="1"/>
  <c r="Q40" i="84" s="1"/>
  <c r="E41" i="84"/>
  <c r="Q31" i="84" a="1"/>
  <c r="Q31" i="84" s="1"/>
  <c r="R31" i="84" a="1"/>
  <c r="R31" i="84" s="1"/>
  <c r="Q39" i="84" a="1"/>
  <c r="Q39" i="84" s="1"/>
  <c r="R39" i="84" a="1"/>
  <c r="R39" i="84" s="1"/>
  <c r="N29" i="84"/>
  <c r="O29" i="84"/>
  <c r="H33" i="84"/>
  <c r="R40" i="84" a="1"/>
  <c r="R40" i="84" s="1"/>
  <c r="C41" i="84"/>
  <c r="Q38" i="84" a="1"/>
  <c r="Q38" i="84" s="1"/>
  <c r="L33" i="84" l="1"/>
  <c r="D50" i="84"/>
  <c r="H50" i="84"/>
  <c r="R49" i="84" a="1"/>
  <c r="R49" i="84" s="1"/>
  <c r="L48" i="84"/>
  <c r="K48" i="84"/>
  <c r="R48" i="84" a="1"/>
  <c r="R48" i="84" s="1"/>
  <c r="Q48" i="84" a="1"/>
  <c r="Q48" i="84" s="1"/>
  <c r="L49" i="84"/>
  <c r="K49" i="84"/>
  <c r="K41" i="84"/>
  <c r="L41" i="84"/>
  <c r="L47" i="84"/>
  <c r="K47" i="84"/>
  <c r="Q47" i="84" a="1"/>
  <c r="Q47" i="84" s="1"/>
  <c r="K33" i="84"/>
  <c r="L46" i="84"/>
  <c r="K46" i="84"/>
  <c r="N50" i="84"/>
  <c r="O50" i="84"/>
  <c r="N48" i="84"/>
  <c r="E50" i="84"/>
  <c r="F50" i="84"/>
  <c r="N49" i="84"/>
  <c r="O49" i="84"/>
  <c r="Q49" i="84" a="1"/>
  <c r="Q49" i="84" s="1"/>
  <c r="C50" i="84"/>
  <c r="R33" i="84" a="1"/>
  <c r="R33" i="84" s="1"/>
  <c r="G50" i="84"/>
  <c r="Q33" i="84"/>
  <c r="O33" i="84"/>
  <c r="N33" i="84"/>
  <c r="N41" i="84"/>
  <c r="O41" i="84"/>
  <c r="R41" i="84" a="1"/>
  <c r="R41" i="84" s="1"/>
  <c r="L50" i="84" l="1"/>
  <c r="K50" i="84"/>
  <c r="Q50" i="84"/>
  <c r="R50" i="84" a="1"/>
  <c r="R50" i="84" s="1"/>
  <c r="Q37" i="84" a="1"/>
  <c r="Q37" i="84" s="1"/>
  <c r="Q41" i="84" s="1"/>
  <c r="R37" i="84" a="1"/>
  <c r="R37" i="8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0538C4-C1BE-4988-817E-A114BCD33C90}" name="Query - Table5" description="Connection to the 'Table5' query in the workbook." type="100" refreshedVersion="7" minRefreshableVersion="5">
    <extLst>
      <ext xmlns:x15="http://schemas.microsoft.com/office/spreadsheetml/2010/11/main" uri="{DE250136-89BD-433C-8126-D09CA5730AF9}">
        <x15:connection id="7b4d054f-196f-40c4-8911-a551ba226616"/>
      </ext>
    </extLst>
  </connection>
  <connection id="2" xr16:uid="{0F51FCFE-0E17-4964-8434-7BB3E16FFA0A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<sst xmlns="http://schemas.openxmlformats.org/spreadsheetml/2006/main" count="4224" uniqueCount="960">
  <si>
    <t>CLID</t>
  </si>
  <si>
    <t>CL97995</t>
  </si>
  <si>
    <t>CL82440</t>
  </si>
  <si>
    <t>CL33189</t>
  </si>
  <si>
    <t>CL92654</t>
  </si>
  <si>
    <t>CL99496</t>
  </si>
  <si>
    <t>CL28683</t>
  </si>
  <si>
    <t>CL69323</t>
  </si>
  <si>
    <t>CL43946</t>
  </si>
  <si>
    <t>CL99768</t>
  </si>
  <si>
    <t>CL79103</t>
  </si>
  <si>
    <t>CL67438</t>
  </si>
  <si>
    <t>CL44634</t>
  </si>
  <si>
    <t>CL55399</t>
  </si>
  <si>
    <t>CL37879</t>
  </si>
  <si>
    <t>CL29380</t>
  </si>
  <si>
    <t>CL49900</t>
  </si>
  <si>
    <t>CL38496</t>
  </si>
  <si>
    <t>CL87149</t>
  </si>
  <si>
    <t>CL94846</t>
  </si>
  <si>
    <t>CL87299</t>
  </si>
  <si>
    <t>CL37714</t>
  </si>
  <si>
    <t>CL13257</t>
  </si>
  <si>
    <t>CL11420</t>
  </si>
  <si>
    <t>CL60563</t>
  </si>
  <si>
    <t>CL35993</t>
  </si>
  <si>
    <t>CL50297</t>
  </si>
  <si>
    <t>CL75562</t>
  </si>
  <si>
    <t>CL23634</t>
  </si>
  <si>
    <t>CL95487</t>
  </si>
  <si>
    <t>CL24510</t>
  </si>
  <si>
    <t>CL71409</t>
  </si>
  <si>
    <t>CL90358</t>
  </si>
  <si>
    <t>CL13213</t>
  </si>
  <si>
    <t>CL50651</t>
  </si>
  <si>
    <t>CL22140</t>
  </si>
  <si>
    <t>CL31601</t>
  </si>
  <si>
    <t>CL64939</t>
  </si>
  <si>
    <t>CL52426</t>
  </si>
  <si>
    <t>CL96487</t>
  </si>
  <si>
    <t>CL81431</t>
  </si>
  <si>
    <t>CL36191</t>
  </si>
  <si>
    <t>CL83083</t>
  </si>
  <si>
    <t>CL49960</t>
  </si>
  <si>
    <t>CL22675</t>
  </si>
  <si>
    <t>CL83029</t>
  </si>
  <si>
    <t>CL79204</t>
  </si>
  <si>
    <t>CL96680</t>
  </si>
  <si>
    <t>CL57593</t>
  </si>
  <si>
    <t>CL17270</t>
  </si>
  <si>
    <t>CL85641</t>
  </si>
  <si>
    <t>CL46663</t>
  </si>
  <si>
    <t>CL61534</t>
  </si>
  <si>
    <t>CL75274</t>
  </si>
  <si>
    <t>GEO1003</t>
  </si>
  <si>
    <t>GEO1004</t>
  </si>
  <si>
    <t>GEO1002</t>
  </si>
  <si>
    <t>GEO1001</t>
  </si>
  <si>
    <t>10/31/2020</t>
  </si>
  <si>
    <t>11/30/2020</t>
  </si>
  <si>
    <t>12/31/2020</t>
  </si>
  <si>
    <t>Date</t>
  </si>
  <si>
    <t>38</t>
  </si>
  <si>
    <t>58</t>
  </si>
  <si>
    <t>53</t>
  </si>
  <si>
    <t>43</t>
  </si>
  <si>
    <t>125</t>
  </si>
  <si>
    <t>105</t>
  </si>
  <si>
    <t>65</t>
  </si>
  <si>
    <t>140</t>
  </si>
  <si>
    <t>213</t>
  </si>
  <si>
    <t>188</t>
  </si>
  <si>
    <t>163</t>
  </si>
  <si>
    <t>331</t>
  </si>
  <si>
    <t>361</t>
  </si>
  <si>
    <t>404</t>
  </si>
  <si>
    <t>193</t>
  </si>
  <si>
    <t>482</t>
  </si>
  <si>
    <t>316</t>
  </si>
  <si>
    <t>406</t>
  </si>
  <si>
    <t>226</t>
  </si>
  <si>
    <t>652</t>
  </si>
  <si>
    <t>276</t>
  </si>
  <si>
    <t>722</t>
  </si>
  <si>
    <t>421</t>
  </si>
  <si>
    <t>489</t>
  </si>
  <si>
    <t>750</t>
  </si>
  <si>
    <t>815</t>
  </si>
  <si>
    <t>554</t>
  </si>
  <si>
    <t>294</t>
  </si>
  <si>
    <t>702</t>
  </si>
  <si>
    <t>725</t>
  </si>
  <si>
    <t>813</t>
  </si>
  <si>
    <t>828</t>
  </si>
  <si>
    <t>865</t>
  </si>
  <si>
    <t>1096</t>
  </si>
  <si>
    <t>635</t>
  </si>
  <si>
    <t>1204</t>
  </si>
  <si>
    <t>1325</t>
  </si>
  <si>
    <t>1192</t>
  </si>
  <si>
    <t>941</t>
  </si>
  <si>
    <t>1568</t>
  </si>
  <si>
    <t>564</t>
  </si>
  <si>
    <t>690</t>
  </si>
  <si>
    <t>913</t>
  </si>
  <si>
    <t>1219</t>
  </si>
  <si>
    <t>1124</t>
  </si>
  <si>
    <t>1528</t>
  </si>
  <si>
    <t>1091</t>
  </si>
  <si>
    <t>1656</t>
  </si>
  <si>
    <t>1633</t>
  </si>
  <si>
    <t>855</t>
  </si>
  <si>
    <t>1573</t>
  </si>
  <si>
    <t>1076</t>
  </si>
  <si>
    <t>1407</t>
  </si>
  <si>
    <t>1791</t>
  </si>
  <si>
    <t>878</t>
  </si>
  <si>
    <t>1557</t>
  </si>
  <si>
    <t>03/31/2020</t>
  </si>
  <si>
    <t>04/30/2020</t>
  </si>
  <si>
    <t>05/31/2020</t>
  </si>
  <si>
    <t>06/30/2020</t>
  </si>
  <si>
    <t>07/31/2020</t>
  </si>
  <si>
    <t>08/31/2020</t>
  </si>
  <si>
    <t>09/30/2020</t>
  </si>
  <si>
    <t>06/30/2021</t>
  </si>
  <si>
    <t>05/31/2021</t>
  </si>
  <si>
    <t>04/30/2021</t>
  </si>
  <si>
    <t>03/31/2021</t>
  </si>
  <si>
    <t>02/28/2021</t>
  </si>
  <si>
    <t>01/31/2021</t>
  </si>
  <si>
    <t>01/31/2020</t>
  </si>
  <si>
    <t>02/29/2020</t>
  </si>
  <si>
    <t>Vol</t>
  </si>
  <si>
    <t>GEOID</t>
  </si>
  <si>
    <t>C-CL69323</t>
  </si>
  <si>
    <t>C-CL97995</t>
  </si>
  <si>
    <t>C-CL87299</t>
  </si>
  <si>
    <t>C-CL38496</t>
  </si>
  <si>
    <t>C-CL75562</t>
  </si>
  <si>
    <t>C-CL31601</t>
  </si>
  <si>
    <t>C-CL33189</t>
  </si>
  <si>
    <t>C-CL22140</t>
  </si>
  <si>
    <t>C-CL49960</t>
  </si>
  <si>
    <t>C-CL43946</t>
  </si>
  <si>
    <t>C-CL37714</t>
  </si>
  <si>
    <t>C-CL75274</t>
  </si>
  <si>
    <t>C-CL61534</t>
  </si>
  <si>
    <t>C-CL85641</t>
  </si>
  <si>
    <t>C-CL46663</t>
  </si>
  <si>
    <t>C-CL17270</t>
  </si>
  <si>
    <t>C-CL57593</t>
  </si>
  <si>
    <t>C-CL96680</t>
  </si>
  <si>
    <t>C-CL79204</t>
  </si>
  <si>
    <t>C-CL83029</t>
  </si>
  <si>
    <t>C-CL22675</t>
  </si>
  <si>
    <t>C-CL83083</t>
  </si>
  <si>
    <t>C-CL36191</t>
  </si>
  <si>
    <t>C-CL81431</t>
  </si>
  <si>
    <t>C-CL96487</t>
  </si>
  <si>
    <t>C-CL52426</t>
  </si>
  <si>
    <t>C-CL64939</t>
  </si>
  <si>
    <t>C-CL50651</t>
  </si>
  <si>
    <t>C-CL13213</t>
  </si>
  <si>
    <t>C-CL90358</t>
  </si>
  <si>
    <t>C-CL71409</t>
  </si>
  <si>
    <t>C-CL24510</t>
  </si>
  <si>
    <t>C-CL95487</t>
  </si>
  <si>
    <t>C-CL23634</t>
  </si>
  <si>
    <t>C-CL50297</t>
  </si>
  <si>
    <t>C-CL35993</t>
  </si>
  <si>
    <t>C-CL60563</t>
  </si>
  <si>
    <t>C-CL11420</t>
  </si>
  <si>
    <t>C-CL13257</t>
  </si>
  <si>
    <t>C-CL94846</t>
  </si>
  <si>
    <t>C-CL87149</t>
  </si>
  <si>
    <t>C-CL49900</t>
  </si>
  <si>
    <t>C-CL29380</t>
  </si>
  <si>
    <t>C-CL37879</t>
  </si>
  <si>
    <t>C-CL55399</t>
  </si>
  <si>
    <t>C-CL44634</t>
  </si>
  <si>
    <t>C-CL67438</t>
  </si>
  <si>
    <t>C-CL79103</t>
  </si>
  <si>
    <t>C-CL99768</t>
  </si>
  <si>
    <t>C-CL28683</t>
  </si>
  <si>
    <t>C-CL99496</t>
  </si>
  <si>
    <t>C-CL92654</t>
  </si>
  <si>
    <t>C-CL82440</t>
  </si>
  <si>
    <t>884</t>
  </si>
  <si>
    <t>886</t>
  </si>
  <si>
    <t>968</t>
  </si>
  <si>
    <t>648</t>
  </si>
  <si>
    <t>569</t>
  </si>
  <si>
    <t>487</t>
  </si>
  <si>
    <t>729</t>
  </si>
  <si>
    <t>565</t>
  </si>
  <si>
    <t>561</t>
  </si>
  <si>
    <t>1014</t>
  </si>
  <si>
    <t>922</t>
  </si>
  <si>
    <t>668</t>
  </si>
  <si>
    <t>1194</t>
  </si>
  <si>
    <t>942</t>
  </si>
  <si>
    <t>1448</t>
  </si>
  <si>
    <t>1323</t>
  </si>
  <si>
    <t>820</t>
  </si>
  <si>
    <t>1069</t>
  </si>
  <si>
    <t>571</t>
  </si>
  <si>
    <t>947</t>
  </si>
  <si>
    <t>694</t>
  </si>
  <si>
    <t>1197</t>
  </si>
  <si>
    <t>822</t>
  </si>
  <si>
    <t>846</t>
  </si>
  <si>
    <t>1553</t>
  </si>
  <si>
    <t>1344</t>
  </si>
  <si>
    <t>1436</t>
  </si>
  <si>
    <t>970</t>
  </si>
  <si>
    <t>1207</t>
  </si>
  <si>
    <t>532</t>
  </si>
  <si>
    <t>760</t>
  </si>
  <si>
    <t>682</t>
  </si>
  <si>
    <t>984</t>
  </si>
  <si>
    <t>681</t>
  </si>
  <si>
    <t>457</t>
  </si>
  <si>
    <t>528</t>
  </si>
  <si>
    <t>377</t>
  </si>
  <si>
    <t>606</t>
  </si>
  <si>
    <t>534</t>
  </si>
  <si>
    <t>764</t>
  </si>
  <si>
    <t>973</t>
  </si>
  <si>
    <t>688</t>
  </si>
  <si>
    <t>1342</t>
  </si>
  <si>
    <t>1526</t>
  </si>
  <si>
    <t>958</t>
  </si>
  <si>
    <t>1340</t>
  </si>
  <si>
    <t>1150</t>
  </si>
  <si>
    <t>1721</t>
  </si>
  <si>
    <t>2403</t>
  </si>
  <si>
    <t>2089</t>
  </si>
  <si>
    <t>2185</t>
  </si>
  <si>
    <t>1542</t>
  </si>
  <si>
    <t>1804</t>
  </si>
  <si>
    <t>12887</t>
  </si>
  <si>
    <t>18411</t>
  </si>
  <si>
    <t>16571</t>
  </si>
  <si>
    <t>23929</t>
  </si>
  <si>
    <t>18409</t>
  </si>
  <si>
    <t>16572</t>
  </si>
  <si>
    <t>11044</t>
  </si>
  <si>
    <t>12885</t>
  </si>
  <si>
    <t>9208</t>
  </si>
  <si>
    <t>14725</t>
  </si>
  <si>
    <t>12888</t>
  </si>
  <si>
    <t>17235</t>
  </si>
  <si>
    <t>19146</t>
  </si>
  <si>
    <t>23690</t>
  </si>
  <si>
    <t>17229</t>
  </si>
  <si>
    <t>19330</t>
  </si>
  <si>
    <t>12826</t>
  </si>
  <si>
    <t>1249</t>
  </si>
  <si>
    <t>1574</t>
  </si>
  <si>
    <t>1082</t>
  </si>
  <si>
    <t>1945</t>
  </si>
  <si>
    <t>1296</t>
  </si>
  <si>
    <t>756</t>
  </si>
  <si>
    <t>954</t>
  </si>
  <si>
    <t>955</t>
  </si>
  <si>
    <t>1261</t>
  </si>
  <si>
    <t>1058</t>
  </si>
  <si>
    <t>654</t>
  </si>
  <si>
    <t>656</t>
  </si>
  <si>
    <t>759</t>
  </si>
  <si>
    <t>857</t>
  </si>
  <si>
    <t>1078</t>
  </si>
  <si>
    <t>1305</t>
  </si>
  <si>
    <t>950</t>
  </si>
  <si>
    <t>749</t>
  </si>
  <si>
    <t>945</t>
  </si>
  <si>
    <t>1164</t>
  </si>
  <si>
    <t>1276</t>
  </si>
  <si>
    <t>1275</t>
  </si>
  <si>
    <t>834</t>
  </si>
  <si>
    <t>833</t>
  </si>
  <si>
    <t>610</t>
  </si>
  <si>
    <t>939</t>
  </si>
  <si>
    <t>829</t>
  </si>
  <si>
    <t>848</t>
  </si>
  <si>
    <t>1326</t>
  </si>
  <si>
    <t>1309</t>
  </si>
  <si>
    <t>1173</t>
  </si>
  <si>
    <t>935</t>
  </si>
  <si>
    <t>168</t>
  </si>
  <si>
    <t>223</t>
  </si>
  <si>
    <t>247</t>
  </si>
  <si>
    <t>142</t>
  </si>
  <si>
    <t>101</t>
  </si>
  <si>
    <t>123</t>
  </si>
  <si>
    <t>183</t>
  </si>
  <si>
    <t>144</t>
  </si>
  <si>
    <t>145</t>
  </si>
  <si>
    <t>244</t>
  </si>
  <si>
    <t>227</t>
  </si>
  <si>
    <t>172</t>
  </si>
  <si>
    <t>190</t>
  </si>
  <si>
    <t>391</t>
  </si>
  <si>
    <t>553</t>
  </si>
  <si>
    <t>498</t>
  </si>
  <si>
    <t>719</t>
  </si>
  <si>
    <t>555</t>
  </si>
  <si>
    <t>499</t>
  </si>
  <si>
    <t>338</t>
  </si>
  <si>
    <t>279</t>
  </si>
  <si>
    <t>447</t>
  </si>
  <si>
    <t>390</t>
  </si>
  <si>
    <t>500</t>
  </si>
  <si>
    <t>505</t>
  </si>
  <si>
    <t>574</t>
  </si>
  <si>
    <t>747</t>
  </si>
  <si>
    <t>515</t>
  </si>
  <si>
    <t>16996</t>
  </si>
  <si>
    <t>19114</t>
  </si>
  <si>
    <t>21243</t>
  </si>
  <si>
    <t>25486</t>
  </si>
  <si>
    <t>23366</t>
  </si>
  <si>
    <t>16995</t>
  </si>
  <si>
    <t>14870</t>
  </si>
  <si>
    <t>12746</t>
  </si>
  <si>
    <t>12748</t>
  </si>
  <si>
    <t>14871</t>
  </si>
  <si>
    <t>16997</t>
  </si>
  <si>
    <t>17844</t>
  </si>
  <si>
    <t>23129</t>
  </si>
  <si>
    <t>26253</t>
  </si>
  <si>
    <t>21877</t>
  </si>
  <si>
    <t>19020</t>
  </si>
  <si>
    <t>17843</t>
  </si>
  <si>
    <t>13879</t>
  </si>
  <si>
    <t>19822</t>
  </si>
  <si>
    <t>17842</t>
  </si>
  <si>
    <t>25770</t>
  </si>
  <si>
    <t>19823</t>
  </si>
  <si>
    <t>17845</t>
  </si>
  <si>
    <t>11899</t>
  </si>
  <si>
    <t>9913</t>
  </si>
  <si>
    <t>15858</t>
  </si>
  <si>
    <t>13882</t>
  </si>
  <si>
    <t>17841</t>
  </si>
  <si>
    <t>18554</t>
  </si>
  <si>
    <t>20218</t>
  </si>
  <si>
    <t>27062</t>
  </si>
  <si>
    <t>18378</t>
  </si>
  <si>
    <t>19729</t>
  </si>
  <si>
    <t>14159</t>
  </si>
  <si>
    <t>910</t>
  </si>
  <si>
    <t>995</t>
  </si>
  <si>
    <t>727</t>
  </si>
  <si>
    <t>544</t>
  </si>
  <si>
    <t>545</t>
  </si>
  <si>
    <t>637</t>
  </si>
  <si>
    <t>723</t>
  </si>
  <si>
    <t>1039</t>
  </si>
  <si>
    <t>895</t>
  </si>
  <si>
    <t>851</t>
  </si>
  <si>
    <t>741</t>
  </si>
  <si>
    <t>1172</t>
  </si>
  <si>
    <t>1483</t>
  </si>
  <si>
    <t>1484</t>
  </si>
  <si>
    <t>1949</t>
  </si>
  <si>
    <t>1635</t>
  </si>
  <si>
    <t>1012</t>
  </si>
  <si>
    <t>1018</t>
  </si>
  <si>
    <t>861</t>
  </si>
  <si>
    <t>1169</t>
  </si>
  <si>
    <t>1318</t>
  </si>
  <si>
    <t>1987</t>
  </si>
  <si>
    <t>1183</t>
  </si>
  <si>
    <t>11332</t>
  </si>
  <si>
    <t>14162</t>
  </si>
  <si>
    <t>16992</t>
  </si>
  <si>
    <t>15578</t>
  </si>
  <si>
    <t>11330</t>
  </si>
  <si>
    <t>9912</t>
  </si>
  <si>
    <t>8496</t>
  </si>
  <si>
    <t>8502</t>
  </si>
  <si>
    <t>9917</t>
  </si>
  <si>
    <t>11328</t>
  </si>
  <si>
    <t>11781</t>
  </si>
  <si>
    <t>15424</t>
  </si>
  <si>
    <t>16906</t>
  </si>
  <si>
    <t>14020</t>
  </si>
  <si>
    <t>13386</t>
  </si>
  <si>
    <t>11896</t>
  </si>
  <si>
    <t>358</t>
  </si>
  <si>
    <t>508</t>
  </si>
  <si>
    <t>458</t>
  </si>
  <si>
    <t>655</t>
  </si>
  <si>
    <t>506</t>
  </si>
  <si>
    <t>308</t>
  </si>
  <si>
    <t>353</t>
  </si>
  <si>
    <t>252</t>
  </si>
  <si>
    <t>402</t>
  </si>
  <si>
    <t>352</t>
  </si>
  <si>
    <t>472</t>
  </si>
  <si>
    <t>665</t>
  </si>
  <si>
    <t>459</t>
  </si>
  <si>
    <t>519</t>
  </si>
  <si>
    <t>20394</t>
  </si>
  <si>
    <t>22941</t>
  </si>
  <si>
    <t>25487</t>
  </si>
  <si>
    <t>30586</t>
  </si>
  <si>
    <t>28040</t>
  </si>
  <si>
    <t>20393</t>
  </si>
  <si>
    <t>15298</t>
  </si>
  <si>
    <t>15295</t>
  </si>
  <si>
    <t>17846</t>
  </si>
  <si>
    <t>20388</t>
  </si>
  <si>
    <t>20391</t>
  </si>
  <si>
    <t>20289</t>
  </si>
  <si>
    <t>29437</t>
  </si>
  <si>
    <t>32113</t>
  </si>
  <si>
    <t>26762</t>
  </si>
  <si>
    <t>22713</t>
  </si>
  <si>
    <t>20286</t>
  </si>
  <si>
    <t>11682</t>
  </si>
  <si>
    <t>14802</t>
  </si>
  <si>
    <t>14798</t>
  </si>
  <si>
    <t>19470</t>
  </si>
  <si>
    <t>16356</t>
  </si>
  <si>
    <t>13245</t>
  </si>
  <si>
    <t>10130</t>
  </si>
  <si>
    <t>10124</t>
  </si>
  <si>
    <t>8573</t>
  </si>
  <si>
    <t>11686</t>
  </si>
  <si>
    <t>13239</t>
  </si>
  <si>
    <t>13905</t>
  </si>
  <si>
    <t>16273</t>
  </si>
  <si>
    <t>20251</t>
  </si>
  <si>
    <t>15092</t>
  </si>
  <si>
    <t>15094</t>
  </si>
  <si>
    <t>11799</t>
  </si>
  <si>
    <t>326</t>
  </si>
  <si>
    <t>202</t>
  </si>
  <si>
    <t>283</t>
  </si>
  <si>
    <t>243</t>
  </si>
  <si>
    <t>368</t>
  </si>
  <si>
    <t>285</t>
  </si>
  <si>
    <t>292</t>
  </si>
  <si>
    <t>495</t>
  </si>
  <si>
    <t>467</t>
  </si>
  <si>
    <t>451</t>
  </si>
  <si>
    <t>320</t>
  </si>
  <si>
    <t>2691</t>
  </si>
  <si>
    <t>2129</t>
  </si>
  <si>
    <t>3258</t>
  </si>
  <si>
    <t>2978</t>
  </si>
  <si>
    <t>3544</t>
  </si>
  <si>
    <t>1845</t>
  </si>
  <si>
    <t>2414</t>
  </si>
  <si>
    <t>1281</t>
  </si>
  <si>
    <t>2131</t>
  </si>
  <si>
    <t>1560</t>
  </si>
  <si>
    <t>1843</t>
  </si>
  <si>
    <t>1864</t>
  </si>
  <si>
    <t>3527</t>
  </si>
  <si>
    <t>3010</t>
  </si>
  <si>
    <t>3387</t>
  </si>
  <si>
    <t>2190</t>
  </si>
  <si>
    <t>2719</t>
  </si>
  <si>
    <t>484</t>
  </si>
  <si>
    <t>546</t>
  </si>
  <si>
    <t>609</t>
  </si>
  <si>
    <t>663</t>
  </si>
  <si>
    <t>422</t>
  </si>
  <si>
    <t>366</t>
  </si>
  <si>
    <t>365</t>
  </si>
  <si>
    <t>428</t>
  </si>
  <si>
    <t>486</t>
  </si>
  <si>
    <t>488</t>
  </si>
  <si>
    <t>483</t>
  </si>
  <si>
    <t>13597</t>
  </si>
  <si>
    <t>18695</t>
  </si>
  <si>
    <t>10197</t>
  </si>
  <si>
    <t>10196</t>
  </si>
  <si>
    <t>11895</t>
  </si>
  <si>
    <t>13596</t>
  </si>
  <si>
    <t>13595</t>
  </si>
  <si>
    <t>13732</t>
  </si>
  <si>
    <t>19253</t>
  </si>
  <si>
    <t>20185</t>
  </si>
  <si>
    <t>17502</t>
  </si>
  <si>
    <t>16057</t>
  </si>
  <si>
    <t>14276</t>
  </si>
  <si>
    <t>864</t>
  </si>
  <si>
    <t>765</t>
  </si>
  <si>
    <t>1051</t>
  </si>
  <si>
    <t>1053</t>
  </si>
  <si>
    <t>1146</t>
  </si>
  <si>
    <t>674</t>
  </si>
  <si>
    <t>673</t>
  </si>
  <si>
    <t>575</t>
  </si>
  <si>
    <t>1136</t>
  </si>
  <si>
    <t>1095</t>
  </si>
  <si>
    <t>1043</t>
  </si>
  <si>
    <t>797</t>
  </si>
  <si>
    <t>859</t>
  </si>
  <si>
    <t>916</t>
  </si>
  <si>
    <t>1176</t>
  </si>
  <si>
    <t>1193</t>
  </si>
  <si>
    <t>1360</t>
  </si>
  <si>
    <t>1768</t>
  </si>
  <si>
    <t>1332</t>
  </si>
  <si>
    <t>1131</t>
  </si>
  <si>
    <t>1268</t>
  </si>
  <si>
    <t>1410</t>
  </si>
  <si>
    <t>1688</t>
  </si>
  <si>
    <t>1548</t>
  </si>
  <si>
    <t>1127</t>
  </si>
  <si>
    <t>850</t>
  </si>
  <si>
    <t>986</t>
  </si>
  <si>
    <t>1129</t>
  </si>
  <si>
    <t>1119</t>
  </si>
  <si>
    <t>1598</t>
  </si>
  <si>
    <t>1707</t>
  </si>
  <si>
    <t>1404</t>
  </si>
  <si>
    <t>1252</t>
  </si>
  <si>
    <t>318</t>
  </si>
  <si>
    <t>453</t>
  </si>
  <si>
    <t>411</t>
  </si>
  <si>
    <t>588</t>
  </si>
  <si>
    <t>410</t>
  </si>
  <si>
    <t>273</t>
  </si>
  <si>
    <t>317</t>
  </si>
  <si>
    <t>233</t>
  </si>
  <si>
    <t>367</t>
  </si>
  <si>
    <t>322</t>
  </si>
  <si>
    <t>407</t>
  </si>
  <si>
    <t>409</t>
  </si>
  <si>
    <t>591</t>
  </si>
  <si>
    <t>456</t>
  </si>
  <si>
    <t>1488</t>
  </si>
  <si>
    <t>1674</t>
  </si>
  <si>
    <t>1862</t>
  </si>
  <si>
    <t>2231</t>
  </si>
  <si>
    <t>2049</t>
  </si>
  <si>
    <t>1489</t>
  </si>
  <si>
    <t>1301</t>
  </si>
  <si>
    <t>1118</t>
  </si>
  <si>
    <t>1117</t>
  </si>
  <si>
    <t>1551</t>
  </si>
  <si>
    <t>2067</t>
  </si>
  <si>
    <t>2277</t>
  </si>
  <si>
    <t>1854</t>
  </si>
  <si>
    <t>1665</t>
  </si>
  <si>
    <t>1516</t>
  </si>
  <si>
    <t>644</t>
  </si>
  <si>
    <t>814</t>
  </si>
  <si>
    <t>1068</t>
  </si>
  <si>
    <t>899</t>
  </si>
  <si>
    <t>732</t>
  </si>
  <si>
    <t>560</t>
  </si>
  <si>
    <t>557</t>
  </si>
  <si>
    <t>473</t>
  </si>
  <si>
    <t>645</t>
  </si>
  <si>
    <t>643</t>
  </si>
  <si>
    <t>726</t>
  </si>
  <si>
    <t>755</t>
  </si>
  <si>
    <t>892</t>
  </si>
  <si>
    <t>1125</t>
  </si>
  <si>
    <t>6731</t>
  </si>
  <si>
    <t>5312</t>
  </si>
  <si>
    <t>8146</t>
  </si>
  <si>
    <t>7438</t>
  </si>
  <si>
    <t>8850</t>
  </si>
  <si>
    <t>4608</t>
  </si>
  <si>
    <t>6024</t>
  </si>
  <si>
    <t>3188</t>
  </si>
  <si>
    <t>5313</t>
  </si>
  <si>
    <t>3897</t>
  </si>
  <si>
    <t>6730</t>
  </si>
  <si>
    <t>4607</t>
  </si>
  <si>
    <t>4556</t>
  </si>
  <si>
    <t>8806</t>
  </si>
  <si>
    <t>7735</t>
  </si>
  <si>
    <t>8064</t>
  </si>
  <si>
    <t>5257</t>
  </si>
  <si>
    <t>6996</t>
  </si>
  <si>
    <t>1087</t>
  </si>
  <si>
    <t>1224</t>
  </si>
  <si>
    <t>1362</t>
  </si>
  <si>
    <t>1492</t>
  </si>
  <si>
    <t>818</t>
  </si>
  <si>
    <t>1086</t>
  </si>
  <si>
    <t>1614</t>
  </si>
  <si>
    <t>1426</t>
  </si>
  <si>
    <t>1220</t>
  </si>
  <si>
    <t>1113</t>
  </si>
  <si>
    <t>303</t>
  </si>
  <si>
    <t>304</t>
  </si>
  <si>
    <t>375</t>
  </si>
  <si>
    <t>405</t>
  </si>
  <si>
    <t>267</t>
  </si>
  <si>
    <t>264</t>
  </si>
  <si>
    <t>195</t>
  </si>
  <si>
    <t>232</t>
  </si>
  <si>
    <t>306</t>
  </si>
  <si>
    <t>261</t>
  </si>
  <si>
    <t>302</t>
  </si>
  <si>
    <t>30584</t>
  </si>
  <si>
    <t>27186</t>
  </si>
  <si>
    <t>37383</t>
  </si>
  <si>
    <t>37379</t>
  </si>
  <si>
    <t>40779</t>
  </si>
  <si>
    <t>23788</t>
  </si>
  <si>
    <t>27188</t>
  </si>
  <si>
    <t>23792</t>
  </si>
  <si>
    <t>20390</t>
  </si>
  <si>
    <t>23787</t>
  </si>
  <si>
    <t>24737</t>
  </si>
  <si>
    <t>41598</t>
  </si>
  <si>
    <t>38878</t>
  </si>
  <si>
    <t>39253</t>
  </si>
  <si>
    <t>27048</t>
  </si>
  <si>
    <t>32111</t>
  </si>
  <si>
    <t>866</t>
  </si>
  <si>
    <t>1101</t>
  </si>
  <si>
    <t>1103</t>
  </si>
  <si>
    <t>1447</t>
  </si>
  <si>
    <t>1213</t>
  </si>
  <si>
    <t>988</t>
  </si>
  <si>
    <t>752</t>
  </si>
  <si>
    <t>641</t>
  </si>
  <si>
    <t>867</t>
  </si>
  <si>
    <t>997</t>
  </si>
  <si>
    <t>1206</t>
  </si>
  <si>
    <t>1519</t>
  </si>
  <si>
    <t>1110</t>
  </si>
  <si>
    <t>880</t>
  </si>
  <si>
    <t>9422</t>
  </si>
  <si>
    <t>11403</t>
  </si>
  <si>
    <t>10408</t>
  </si>
  <si>
    <t>12392</t>
  </si>
  <si>
    <t>6449</t>
  </si>
  <si>
    <t>8425</t>
  </si>
  <si>
    <t>4464</t>
  </si>
  <si>
    <t>7440</t>
  </si>
  <si>
    <t>5452</t>
  </si>
  <si>
    <t>6445</t>
  </si>
  <si>
    <t>6576</t>
  </si>
  <si>
    <t>13012</t>
  </si>
  <si>
    <t>10308</t>
  </si>
  <si>
    <t>11287</t>
  </si>
  <si>
    <t>7361</t>
  </si>
  <si>
    <t>9604</t>
  </si>
  <si>
    <t>19257</t>
  </si>
  <si>
    <t>19258</t>
  </si>
  <si>
    <t>26053</t>
  </si>
  <si>
    <t>26056</t>
  </si>
  <si>
    <t>16993</t>
  </si>
  <si>
    <t>16994</t>
  </si>
  <si>
    <t>12464</t>
  </si>
  <si>
    <t>14726</t>
  </si>
  <si>
    <t>17501</t>
  </si>
  <si>
    <t>26834</t>
  </si>
  <si>
    <t>26840</t>
  </si>
  <si>
    <t>23553</t>
  </si>
  <si>
    <t>19839</t>
  </si>
  <si>
    <t>20221</t>
  </si>
  <si>
    <t>277</t>
  </si>
  <si>
    <t>337</t>
  </si>
  <si>
    <t>332</t>
  </si>
  <si>
    <t>362</t>
  </si>
  <si>
    <t>248</t>
  </si>
  <si>
    <t>156</t>
  </si>
  <si>
    <t>218</t>
  </si>
  <si>
    <t>182</t>
  </si>
  <si>
    <t>220</t>
  </si>
  <si>
    <t>370</t>
  </si>
  <si>
    <t>250</t>
  </si>
  <si>
    <t>289</t>
  </si>
  <si>
    <t>1586</t>
  </si>
  <si>
    <t>1412</t>
  </si>
  <si>
    <t>1936</t>
  </si>
  <si>
    <t>1939</t>
  </si>
  <si>
    <t>2112</t>
  </si>
  <si>
    <t>1230</t>
  </si>
  <si>
    <t>1233</t>
  </si>
  <si>
    <t>1059</t>
  </si>
  <si>
    <t>1291</t>
  </si>
  <si>
    <t>2150</t>
  </si>
  <si>
    <t>1991</t>
  </si>
  <si>
    <t>2032</t>
  </si>
  <si>
    <t>1438</t>
  </si>
  <si>
    <t>1569</t>
  </si>
  <si>
    <t>1211</t>
  </si>
  <si>
    <t>1358</t>
  </si>
  <si>
    <t>1507</t>
  </si>
  <si>
    <t>1812</t>
  </si>
  <si>
    <t>1663</t>
  </si>
  <si>
    <t>1205</t>
  </si>
  <si>
    <t>1060</t>
  </si>
  <si>
    <t>1694</t>
  </si>
  <si>
    <t>1399</t>
  </si>
  <si>
    <t>1255</t>
  </si>
  <si>
    <t>40</t>
  </si>
  <si>
    <t>56</t>
  </si>
  <si>
    <t>34</t>
  </si>
  <si>
    <t>50</t>
  </si>
  <si>
    <t>26</t>
  </si>
  <si>
    <t>32</t>
  </si>
  <si>
    <t>54</t>
  </si>
  <si>
    <t>71</t>
  </si>
  <si>
    <t>60</t>
  </si>
  <si>
    <t>45</t>
  </si>
  <si>
    <t>1283</t>
  </si>
  <si>
    <t>1622</t>
  </si>
  <si>
    <t>1628</t>
  </si>
  <si>
    <t>2137</t>
  </si>
  <si>
    <t>1795</t>
  </si>
  <si>
    <t>1456</t>
  </si>
  <si>
    <t>1112</t>
  </si>
  <si>
    <t>1116</t>
  </si>
  <si>
    <t>1282</t>
  </si>
  <si>
    <t>1285</t>
  </si>
  <si>
    <t>1452</t>
  </si>
  <si>
    <t>1480</t>
  </si>
  <si>
    <t>1869</t>
  </si>
  <si>
    <t>2242</t>
  </si>
  <si>
    <t>1655</t>
  </si>
  <si>
    <t>1693</t>
  </si>
  <si>
    <t>1530</t>
  </si>
  <si>
    <t>1532</t>
  </si>
  <si>
    <t>2014</t>
  </si>
  <si>
    <t>1368</t>
  </si>
  <si>
    <t>1047</t>
  </si>
  <si>
    <t>1050</t>
  </si>
  <si>
    <t>890</t>
  </si>
  <si>
    <t>1208</t>
  </si>
  <si>
    <t>1366</t>
  </si>
  <si>
    <t>1397</t>
  </si>
  <si>
    <t>1757</t>
  </si>
  <si>
    <t>2092</t>
  </si>
  <si>
    <t>1544</t>
  </si>
  <si>
    <t>1547</t>
  </si>
  <si>
    <t>1265</t>
  </si>
  <si>
    <t>3405</t>
  </si>
  <si>
    <t>3827</t>
  </si>
  <si>
    <t>4248</t>
  </si>
  <si>
    <t>5101</t>
  </si>
  <si>
    <t>4675</t>
  </si>
  <si>
    <t>3400</t>
  </si>
  <si>
    <t>2976</t>
  </si>
  <si>
    <t>2552</t>
  </si>
  <si>
    <t>2550</t>
  </si>
  <si>
    <t>2975</t>
  </si>
  <si>
    <t>3399</t>
  </si>
  <si>
    <t>3404</t>
  </si>
  <si>
    <t>3501</t>
  </si>
  <si>
    <t>4768</t>
  </si>
  <si>
    <t>5254</t>
  </si>
  <si>
    <t>4212</t>
  </si>
  <si>
    <t>3808</t>
  </si>
  <si>
    <t>3575</t>
  </si>
  <si>
    <t>627</t>
  </si>
  <si>
    <t>689</t>
  </si>
  <si>
    <t>817</t>
  </si>
  <si>
    <t>426</t>
  </si>
  <si>
    <t>559</t>
  </si>
  <si>
    <t>300</t>
  </si>
  <si>
    <t>493</t>
  </si>
  <si>
    <t>364</t>
  </si>
  <si>
    <t>429</t>
  </si>
  <si>
    <t>441</t>
  </si>
  <si>
    <t>769</t>
  </si>
  <si>
    <t>504</t>
  </si>
  <si>
    <t>618</t>
  </si>
  <si>
    <t>19825</t>
  </si>
  <si>
    <t>28323</t>
  </si>
  <si>
    <t>25490</t>
  </si>
  <si>
    <t>36816</t>
  </si>
  <si>
    <t>28322</t>
  </si>
  <si>
    <t>19826</t>
  </si>
  <si>
    <t>14163</t>
  </si>
  <si>
    <t>22655</t>
  </si>
  <si>
    <t>25485</t>
  </si>
  <si>
    <t>26509</t>
  </si>
  <si>
    <t>28176</t>
  </si>
  <si>
    <t>37182</t>
  </si>
  <si>
    <t>25741</t>
  </si>
  <si>
    <t>28605</t>
  </si>
  <si>
    <t>967</t>
  </si>
  <si>
    <t>1088</t>
  </si>
  <si>
    <t>1209</t>
  </si>
  <si>
    <t>1449</t>
  </si>
  <si>
    <t>1327</t>
  </si>
  <si>
    <t>964</t>
  </si>
  <si>
    <t>844</t>
  </si>
  <si>
    <t>728</t>
  </si>
  <si>
    <t>849</t>
  </si>
  <si>
    <t>965</t>
  </si>
  <si>
    <t>985</t>
  </si>
  <si>
    <t>1435</t>
  </si>
  <si>
    <t>1221</t>
  </si>
  <si>
    <t>998</t>
  </si>
  <si>
    <t>82</t>
  </si>
  <si>
    <t>102</t>
  </si>
  <si>
    <t>126</t>
  </si>
  <si>
    <t>108</t>
  </si>
  <si>
    <t>88</t>
  </si>
  <si>
    <t>68</t>
  </si>
  <si>
    <t>70</t>
  </si>
  <si>
    <t>76</t>
  </si>
  <si>
    <t>81</t>
  </si>
  <si>
    <t>91</t>
  </si>
  <si>
    <t>109</t>
  </si>
  <si>
    <t>130</t>
  </si>
  <si>
    <t>98</t>
  </si>
  <si>
    <t>77</t>
  </si>
  <si>
    <t>568</t>
  </si>
  <si>
    <t>636</t>
  </si>
  <si>
    <t>707</t>
  </si>
  <si>
    <t>779</t>
  </si>
  <si>
    <t>566</t>
  </si>
  <si>
    <t>423</t>
  </si>
  <si>
    <t>567</t>
  </si>
  <si>
    <t>563</t>
  </si>
  <si>
    <t>789</t>
  </si>
  <si>
    <t>862</t>
  </si>
  <si>
    <t>902</t>
  </si>
  <si>
    <t>897</t>
  </si>
  <si>
    <t>1214</t>
  </si>
  <si>
    <t>795</t>
  </si>
  <si>
    <t>794</t>
  </si>
  <si>
    <t>581</t>
  </si>
  <si>
    <t>793</t>
  </si>
  <si>
    <t>1231</t>
  </si>
  <si>
    <t>1120</t>
  </si>
  <si>
    <t>936</t>
  </si>
  <si>
    <t>1244</t>
  </si>
  <si>
    <t>1240</t>
  </si>
  <si>
    <t>1534</t>
  </si>
  <si>
    <t>1675</t>
  </si>
  <si>
    <t>1680</t>
  </si>
  <si>
    <t>1094</t>
  </si>
  <si>
    <t>807</t>
  </si>
  <si>
    <t>1239</t>
  </si>
  <si>
    <t>1092</t>
  </si>
  <si>
    <t>1153</t>
  </si>
  <si>
    <t>1659</t>
  </si>
  <si>
    <t>1710</t>
  </si>
  <si>
    <t>1546</t>
  </si>
  <si>
    <t>1289</t>
  </si>
  <si>
    <t>1236</t>
  </si>
  <si>
    <t>1719</t>
  </si>
  <si>
    <t>1717</t>
  </si>
  <si>
    <t>2259</t>
  </si>
  <si>
    <t>1898</t>
  </si>
  <si>
    <t>1539</t>
  </si>
  <si>
    <t>1180</t>
  </si>
  <si>
    <t>1175</t>
  </si>
  <si>
    <t>999</t>
  </si>
  <si>
    <t>1361</t>
  </si>
  <si>
    <t>1998</t>
  </si>
  <si>
    <t>2309</t>
  </si>
  <si>
    <t>1701</t>
  </si>
  <si>
    <t>1790</t>
  </si>
  <si>
    <t>1353</t>
  </si>
  <si>
    <t>28034</t>
  </si>
  <si>
    <t>24922</t>
  </si>
  <si>
    <t>34268</t>
  </si>
  <si>
    <t>37380</t>
  </si>
  <si>
    <t>21809</t>
  </si>
  <si>
    <t>24920</t>
  </si>
  <si>
    <t>15576</t>
  </si>
  <si>
    <t>18694</t>
  </si>
  <si>
    <t>28037</t>
  </si>
  <si>
    <t>22463</t>
  </si>
  <si>
    <t>38501</t>
  </si>
  <si>
    <t>33923</t>
  </si>
  <si>
    <t>35291</t>
  </si>
  <si>
    <t>24798</t>
  </si>
  <si>
    <t>29157</t>
  </si>
  <si>
    <t>171</t>
  </si>
  <si>
    <t>80</t>
  </si>
  <si>
    <t>111</t>
  </si>
  <si>
    <t>96</t>
  </si>
  <si>
    <t>136</t>
  </si>
  <si>
    <t>107</t>
  </si>
  <si>
    <t>219</t>
  </si>
  <si>
    <t>266</t>
  </si>
  <si>
    <t>295</t>
  </si>
  <si>
    <t>143</t>
  </si>
  <si>
    <t>170</t>
  </si>
  <si>
    <t>214</t>
  </si>
  <si>
    <t>194</t>
  </si>
  <si>
    <t>290</t>
  </si>
  <si>
    <t>270</t>
  </si>
  <si>
    <t>224</t>
  </si>
  <si>
    <t>222</t>
  </si>
  <si>
    <t>NAM</t>
  </si>
  <si>
    <t>EMEA</t>
  </si>
  <si>
    <t>GEO Name</t>
  </si>
  <si>
    <t>LEN</t>
  </si>
  <si>
    <t>Right</t>
  </si>
  <si>
    <t>Mid</t>
  </si>
  <si>
    <t>Len</t>
  </si>
  <si>
    <t>Xlookup Region ID</t>
  </si>
  <si>
    <t>Index Region ID</t>
  </si>
  <si>
    <t>Volume</t>
  </si>
  <si>
    <t>APAC</t>
  </si>
  <si>
    <t>Region Name</t>
  </si>
  <si>
    <t>LATAM</t>
  </si>
  <si>
    <t>Quart</t>
  </si>
  <si>
    <t>Date Start</t>
  </si>
  <si>
    <t>Date End</t>
  </si>
  <si>
    <t>name</t>
  </si>
  <si>
    <t>Quarter by Vlookup</t>
  </si>
  <si>
    <t>Row Labels</t>
  </si>
  <si>
    <t>Grand Total</t>
  </si>
  <si>
    <t>Column Labels</t>
  </si>
  <si>
    <t>Sum of Vol</t>
  </si>
  <si>
    <t>Qtr1</t>
  </si>
  <si>
    <t>Qtr2</t>
  </si>
  <si>
    <t>Qtr3</t>
  </si>
  <si>
    <t>Qtr4</t>
  </si>
  <si>
    <t>Q1 YoY</t>
  </si>
  <si>
    <t>Q2 YoY</t>
  </si>
  <si>
    <t>#</t>
  </si>
  <si>
    <t>%</t>
  </si>
  <si>
    <t>Q2YoY</t>
  </si>
  <si>
    <t>Forcast Q2</t>
  </si>
  <si>
    <t>`</t>
  </si>
  <si>
    <t>Years (Date)</t>
  </si>
  <si>
    <t>Quarters (Date)</t>
  </si>
  <si>
    <t>Months (Date)</t>
  </si>
  <si>
    <t>Total</t>
  </si>
  <si>
    <t>All data as of 06/18/2026</t>
  </si>
  <si>
    <t>Customers</t>
  </si>
  <si>
    <t>Prior Year</t>
  </si>
  <si>
    <t>% Change</t>
  </si>
  <si>
    <t xml:space="preserve">Region </t>
  </si>
  <si>
    <t xml:space="preserve"> Total</t>
  </si>
  <si>
    <t>H1 YoY</t>
  </si>
  <si>
    <t>Average Volume / Customer</t>
  </si>
  <si>
    <t>Current Clients</t>
  </si>
  <si>
    <t>Q2 Current Volume</t>
  </si>
  <si>
    <t>Key Notes</t>
  </si>
  <si>
    <t xml:space="preserve">Q2 Year Over Year growth slowed from slowed from Q1 growth of 4% down to 2.7%. </t>
  </si>
  <si>
    <t>Q1YoY</t>
  </si>
  <si>
    <t>7k volume, or 55% of decline from loss of two customers in LATAM driving overall growth for region down from 9% in Q1 to flat in Q2 yoy</t>
  </si>
  <si>
    <t>Q1 2024</t>
  </si>
  <si>
    <t>Q2 2024</t>
  </si>
  <si>
    <t>Q3 2024</t>
  </si>
  <si>
    <t>Q4 2024</t>
  </si>
  <si>
    <t>Q1 2025</t>
  </si>
  <si>
    <t>Q2 2025</t>
  </si>
  <si>
    <t>2024</t>
  </si>
  <si>
    <t>2024 Total</t>
  </si>
  <si>
    <t>2025</t>
  </si>
  <si>
    <t>2025 Total</t>
  </si>
  <si>
    <t>Q2 2025 Widget Inc. Overview</t>
  </si>
  <si>
    <t>NAM client onboarding in Q2 2024 had his/her first anniversary in Q2 2025, slowing perceived growth.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</si>
</sst>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,&quot;k&quot;"/>
  </numFmts>
  <fonts count="13" x14ac:knownFonts="1">
    <font>
      <sz val="10"/>
      <name val="ARIAL"/>
      <charset val="1"/>
    </font>
    <font>
      <sz val="10"/>
      <name val="Arial"/>
      <family val="2"/>
    </font>
    <font>
      <sz val="11"/>
      <name val="Calibri"/>
      <family val="2"/>
    </font>
    <font>
      <sz val="10"/>
      <name val="ARIAL"/>
      <charset val="1"/>
    </font>
    <font>
      <sz val="8"/>
      <name val="ARIAL"/>
      <charset val="1"/>
    </font>
    <font>
      <sz val="10"/>
      <name val="ARIAL"/>
      <family val="2"/>
      <charset val="1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i/>
      <sz val="24"/>
      <name val="ARIAL"/>
      <family val="2"/>
    </font>
    <font>
      <b/>
      <sz val="12"/>
      <color theme="0"/>
      <name val="ARIAL"/>
      <family val="2"/>
    </font>
    <font>
      <b/>
      <sz val="22"/>
      <color theme="0"/>
      <name val="ARIAL"/>
      <family val="2"/>
    </font>
    <font>
      <b/>
      <sz val="10"/>
      <color theme="0" tint="-0.499984740745262"/>
      <name val="ARIAL"/>
      <family val="2"/>
    </font>
    <font>
      <b/>
      <sz val="14"/>
      <color theme="4" tint="-0.49998474074526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>
      <alignment wrapText="1"/>
    </xf>
    <xf numFmtId="49" fontId="1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54">
    <xf numFmtId="0" fontId="0" fillId="0" borderId="0" xfId="0">
      <alignment wrapText="1"/>
    </xf>
    <xf numFmtId="14" fontId="0" fillId="0" borderId="0" xfId="0" applyNumberFormat="1">
      <alignment wrapText="1"/>
    </xf>
    <xf numFmtId="0" fontId="0" fillId="0" borderId="0" xfId="0" applyAlignment="1"/>
    <xf numFmtId="14" fontId="0" fillId="0" borderId="0" xfId="0" applyNumberFormat="1" applyAlignment="1"/>
    <xf numFmtId="0" fontId="5" fillId="0" borderId="0" xfId="0" applyFont="1" applyAlignment="1"/>
    <xf numFmtId="14" fontId="5" fillId="0" borderId="0" xfId="0" applyNumberFormat="1" applyFont="1" applyAlignment="1"/>
    <xf numFmtId="164" fontId="0" fillId="0" borderId="0" xfId="2" applyNumberFormat="1" applyFont="1" applyAlignment="1"/>
    <xf numFmtId="0" fontId="1" fillId="0" borderId="0" xfId="0" applyFont="1" applyAlignment="1"/>
    <xf numFmtId="164" fontId="1" fillId="0" borderId="0" xfId="2" applyNumberFormat="1" applyFont="1" applyAlignment="1"/>
    <xf numFmtId="164" fontId="0" fillId="0" borderId="0" xfId="0" applyNumberFormat="1" applyAlignment="1"/>
    <xf numFmtId="0" fontId="0" fillId="0" borderId="0" xfId="0" pivotButton="1" applyAlignment="1"/>
    <xf numFmtId="0" fontId="0" fillId="0" borderId="0" xfId="0" applyAlignment="1">
      <alignment horizontal="left"/>
    </xf>
    <xf numFmtId="164" fontId="0" fillId="0" borderId="0" xfId="0" applyNumberFormat="1">
      <alignment wrapText="1"/>
    </xf>
    <xf numFmtId="0" fontId="0" fillId="0" borderId="0" xfId="0" applyAlignment="1">
      <alignment horizontal="left" indent="1"/>
    </xf>
    <xf numFmtId="9" fontId="0" fillId="0" borderId="0" xfId="3" applyFont="1" applyAlignment="1">
      <alignment wrapText="1"/>
    </xf>
    <xf numFmtId="165" fontId="0" fillId="0" borderId="0" xfId="3" applyNumberFormat="1" applyFont="1" applyAlignment="1">
      <alignment wrapText="1"/>
    </xf>
    <xf numFmtId="164" fontId="0" fillId="0" borderId="0" xfId="2" applyNumberFormat="1" applyFont="1" applyAlignment="1">
      <alignment wrapText="1"/>
    </xf>
    <xf numFmtId="0" fontId="7" fillId="0" borderId="0" xfId="0" applyFont="1">
      <alignment wrapText="1"/>
    </xf>
    <xf numFmtId="0" fontId="7" fillId="0" borderId="0" xfId="0" applyFont="1" applyAlignment="1">
      <alignment horizontal="left" wrapText="1" indent="1"/>
    </xf>
    <xf numFmtId="0" fontId="7" fillId="0" borderId="1" xfId="0" applyFont="1" applyBorder="1" applyAlignment="1">
      <alignment horizontal="left" wrapText="1" indent="1"/>
    </xf>
    <xf numFmtId="0" fontId="7" fillId="0" borderId="0" xfId="0" applyFont="1" applyAlignment="1"/>
    <xf numFmtId="0" fontId="8" fillId="0" borderId="0" xfId="0" applyFont="1" applyAlignment="1"/>
    <xf numFmtId="0" fontId="6" fillId="2" borderId="0" xfId="0" applyFont="1" applyFill="1" applyAlignment="1">
      <alignment horizontal="centerContinuous"/>
    </xf>
    <xf numFmtId="0" fontId="6" fillId="2" borderId="0" xfId="0" applyFont="1" applyFill="1" applyAlignment="1"/>
    <xf numFmtId="0" fontId="6" fillId="2" borderId="0" xfId="0" applyFont="1" applyFill="1" applyAlignment="1">
      <alignment vertical="center"/>
    </xf>
    <xf numFmtId="9" fontId="6" fillId="2" borderId="0" xfId="3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6" fontId="6" fillId="2" borderId="0" xfId="0" applyNumberFormat="1" applyFont="1" applyFill="1" applyAlignment="1">
      <alignment horizontal="center" vertical="center"/>
    </xf>
    <xf numFmtId="165" fontId="6" fillId="2" borderId="0" xfId="3" applyNumberFormat="1" applyFont="1" applyFill="1" applyAlignment="1">
      <alignment horizontal="right" vertical="center"/>
    </xf>
    <xf numFmtId="0" fontId="7" fillId="0" borderId="1" xfId="0" applyFont="1" applyBorder="1" applyAlignment="1"/>
    <xf numFmtId="164" fontId="7" fillId="0" borderId="1" xfId="0" applyNumberFormat="1" applyFont="1" applyBorder="1" applyAlignment="1"/>
    <xf numFmtId="0" fontId="9" fillId="2" borderId="0" xfId="0" applyFont="1" applyFill="1" applyAlignment="1"/>
    <xf numFmtId="0" fontId="7" fillId="3" borderId="0" xfId="0" applyFont="1" applyFill="1" applyAlignment="1"/>
    <xf numFmtId="0" fontId="0" fillId="3" borderId="0" xfId="0" applyFill="1" applyAlignment="1"/>
    <xf numFmtId="0" fontId="0" fillId="3" borderId="0" xfId="0" applyFill="1" applyAlignment="1">
      <alignment horizontal="centerContinuous"/>
    </xf>
    <xf numFmtId="165" fontId="1" fillId="0" borderId="0" xfId="3" applyNumberFormat="1" applyFont="1" applyFill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165" fontId="11" fillId="0" borderId="0" xfId="3" applyNumberFormat="1" applyFont="1" applyFill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1" fillId="0" borderId="0" xfId="0" quotePrefix="1" applyFont="1" applyAlignment="1"/>
    <xf numFmtId="165" fontId="7" fillId="0" borderId="1" xfId="3" applyNumberFormat="1" applyFont="1" applyFill="1" applyBorder="1" applyAlignment="1">
      <alignment horizontal="center" vertical="center"/>
    </xf>
    <xf numFmtId="10" fontId="1" fillId="0" borderId="0" xfId="3" applyNumberFormat="1" applyFont="1" applyFill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12" fillId="4" borderId="0" xfId="0" applyFont="1" applyFill="1" applyAlignment="1">
      <alignment horizontal="center"/>
    </xf>
    <xf numFmtId="0" fontId="0" fillId="4" borderId="0" xfId="0" applyFill="1" applyAlignment="1">
      <alignment horizontal="center" wrapText="1"/>
    </xf>
    <xf numFmtId="0" fontId="0" fillId="4" borderId="0" xfId="0" applyFill="1">
      <alignment wrapText="1"/>
    </xf>
    <xf numFmtId="0" fontId="0" fillId="4" borderId="0" xfId="0" applyFill="1" applyAlignment="1">
      <alignment horizontal="center"/>
    </xf>
    <xf numFmtId="0" fontId="2" fillId="4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166" fontId="10" fillId="2" borderId="0" xfId="0" applyNumberFormat="1" applyFont="1" applyFill="1" applyAlignment="1">
      <alignment horizontal="center" vertical="center"/>
    </xf>
  </cellXfs>
  <cellStyles count="4">
    <cellStyle name="Comma" xfId="2" builtinId="3"/>
    <cellStyle name="Normal" xfId="0" builtinId="0"/>
    <cellStyle name="Percent" xfId="3" builtinId="5"/>
    <cellStyle name="Text UPPER lower" xfId="1" xr:uid="{00000000-0005-0000-0000-000003000000}"/>
  </cellStyles>
  <dxfs count="69">
    <dxf>
      <numFmt numFmtId="0" formatCode="General"/>
      <alignment horizontal="general" vertical="bottom" textRotation="0" wrapText="0" indent="0" justifyLastLine="0" shrinkToFit="0" readingOrder="0"/>
    </dxf>
    <dxf>
      <numFmt numFmtId="164" formatCode="_(* #,##0_);_(* \(#,##0\);_(* &quot;-&quot;??_);_(@_)"/>
      <alignment horizontal="general" vertical="bottom" textRotation="0" wrapText="0" indent="0" justifyLastLine="0" shrinkToFit="0" readingOrder="0"/>
    </dxf>
    <dxf>
      <numFmt numFmtId="19" formatCode="m/d/yyyy"/>
      <alignment horizontal="general" vertical="bottom" textRotation="0" wrapText="0" indent="0" justifyLastLine="0" shrinkToFit="0" readingOrder="0"/>
    </dxf>
    <dxf>
      <numFmt numFmtId="19" formatCode="m/d/yyyy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9" formatCode="m/d/yyyy"/>
      <alignment horizontal="general" vertical="bottom" textRotation="0" wrapText="0" indent="0" justifyLastLine="0" shrinkToFit="0" readingOrder="0"/>
    </dxf>
    <dxf>
      <numFmt numFmtId="19" formatCode="m/d/yyyy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164" formatCode="_(* #,##0_);_(* \(#,##0\);_(* &quot;-&quot;??_);_(@_)"/>
      <alignment horizontal="general" vertical="bottom" textRotation="0" wrapText="0" indent="0" justifyLastLine="0" shrinkToFit="0" readingOrder="0"/>
    </dxf>
    <dxf>
      <numFmt numFmtId="19" formatCode="m/d/yyyy"/>
      <alignment horizontal="general" vertical="bottom" textRotation="0" wrapText="0" indent="0" justifyLastLine="0" shrinkToFit="0" readingOrder="0"/>
    </dxf>
    <dxf>
      <numFmt numFmtId="19" formatCode="m/d/yyyy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64" formatCode="_(* #,##0_);_(* \(#,##0\);_(* &quot;-&quot;??_);_(@_)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numFmt numFmtId="164" formatCode="_(* #,##0_);_(* \(#,##0\);_(* &quot;-&quot;??_);_(@_)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numFmt numFmtId="164" formatCode="_(* #,##0_);_(* \(#,##0\);_(* &quot;-&quot;??_);_(@_)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numFmt numFmtId="164" formatCode="_(* #,##0_);_(* \(#,##0\);_(* &quot;-&quot;??_);_(@_)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_);_(* \(#,##0\);_(* &quot;-&quot;??_);_(@_)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_);_(* \(#,##0\);_(* &quot;-&quot;??_);_(@_)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66"/>
      <rgbColor rgb="00DDDDDD"/>
      <rgbColor rgb="00FF0000"/>
      <rgbColor rgb="00CEDED1"/>
      <rgbColor rgb="000000FF"/>
      <rgbColor rgb="00FFFF00"/>
      <rgbColor rgb="00CEDED1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FF3300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66FF33"/>
      <rgbColor rgb="000000FF"/>
      <rgbColor rgb="0000CCFF"/>
      <rgbColor rgb="00CCFFFF"/>
      <rgbColor rgb="00CCFFCC"/>
      <rgbColor rgb="00FFFF99"/>
      <rgbColor rgb="0099CCFF"/>
      <rgbColor rgb="00FF99CC"/>
      <rgbColor rgb="009900FF"/>
      <rgbColor rgb="00FFCC99"/>
      <rgbColor rgb="003366FF"/>
      <rgbColor rgb="0033CCCC"/>
      <rgbColor rgb="0099CC00"/>
      <rgbColor rgb="00CCECFF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F1C9FF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2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4548639916004557E-3"/>
          <c:y val="0.3054986066690597"/>
          <c:w val="0.54872296404139931"/>
          <c:h val="0.75911439053170993"/>
        </c:manualLayout>
      </c:layout>
      <c:doughnutChart>
        <c:varyColors val="1"/>
        <c:ser>
          <c:idx val="5"/>
          <c:order val="5"/>
          <c:tx>
            <c:strRef>
              <c:f>Summary!$H$28</c:f>
              <c:strCache>
                <c:ptCount val="1"/>
                <c:pt idx="0">
                  <c:v>Q2 2025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E57B-4D59-8321-1C684D4E2C6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E11-45FF-987F-8EA64BF3736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E11-45FF-987F-8EA64BF3736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E11-45FF-987F-8EA64BF3736E}"/>
              </c:ext>
            </c:extLst>
          </c:dPt>
          <c:dLbls>
            <c:numFmt formatCode="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Summary!$B$29:$B$32</c:f>
              <c:strCache>
                <c:ptCount val="4"/>
                <c:pt idx="0">
                  <c:v>NAM</c:v>
                </c:pt>
                <c:pt idx="1">
                  <c:v>EMEA</c:v>
                </c:pt>
                <c:pt idx="2">
                  <c:v>APAC</c:v>
                </c:pt>
                <c:pt idx="3">
                  <c:v>LATAM</c:v>
                </c:pt>
              </c:strCache>
            </c:strRef>
          </c:cat>
          <c:val>
            <c:numRef>
              <c:f>Summary!$H$29:$H$32</c:f>
              <c:numCache>
                <c:formatCode>_(* #,##0_);_(* \(#,##0\);_(* "-"??_);_(@_)</c:formatCode>
                <c:ptCount val="4"/>
                <c:pt idx="0">
                  <c:v>596502</c:v>
                </c:pt>
                <c:pt idx="1">
                  <c:v>176338</c:v>
                </c:pt>
                <c:pt idx="2">
                  <c:v>109811</c:v>
                </c:pt>
                <c:pt idx="3">
                  <c:v>82631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57B-4D59-8321-1C684D4E2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Summary!$C$28</c15:sqref>
                        </c15:formulaRef>
                      </c:ext>
                    </c:extLst>
                    <c:strCache>
                      <c:ptCount val="1"/>
                      <c:pt idx="0">
                        <c:v>Q1 2024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9-2E11-45FF-987F-8EA64BF3736E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B-2E11-45FF-987F-8EA64BF3736E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D-2E11-45FF-987F-8EA64BF3736E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F-2E11-45FF-987F-8EA64BF3736E}"/>
                    </c:ext>
                  </c:extLst>
                </c:dPt>
                <c:cat>
                  <c:strRef>
                    <c:extLst>
                      <c:ext uri="{02D57815-91ED-43cb-92C2-25804820EDAC}">
                        <c15:formulaRef>
                          <c15:sqref>Summary!$B$29:$B$32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Summary!$C$29:$C$32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509419</c:v>
                      </c:pt>
                      <c:pt idx="1">
                        <c:v>147852</c:v>
                      </c:pt>
                      <c:pt idx="2">
                        <c:v>95736</c:v>
                      </c:pt>
                      <c:pt idx="3">
                        <c:v>69053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57B-4D59-8321-1C684D4E2C6E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Summary!$D$28</c15:sqref>
                        </c15:formulaRef>
                      </c:ext>
                    </c:extLst>
                    <c:strCache>
                      <c:ptCount val="1"/>
                      <c:pt idx="0">
                        <c:v>Q2 2024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2E11-45FF-987F-8EA64BF3736E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2E11-45FF-987F-8EA64BF3736E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2E11-45FF-987F-8EA64BF3736E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2E11-45FF-987F-8EA64BF3736E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Summary!$B$29:$B$32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Summary!$D$29:$D$32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576618</c:v>
                      </c:pt>
                      <c:pt idx="1">
                        <c:v>173566</c:v>
                      </c:pt>
                      <c:pt idx="2">
                        <c:v>107338</c:v>
                      </c:pt>
                      <c:pt idx="3">
                        <c:v>82618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57B-4D59-8321-1C684D4E2C6E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Summary!$E$28</c15:sqref>
                        </c15:formulaRef>
                      </c:ext>
                    </c:extLst>
                    <c:strCache>
                      <c:ptCount val="1"/>
                      <c:pt idx="0">
                        <c:v>Q3 2024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2E11-45FF-987F-8EA64BF3736E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B-2E11-45FF-987F-8EA64BF3736E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D-2E11-45FF-987F-8EA64BF3736E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F-2E11-45FF-987F-8EA64BF3736E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Summary!$B$29:$B$32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Summary!$E$29:$E$32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363694</c:v>
                      </c:pt>
                      <c:pt idx="1">
                        <c:v>103536</c:v>
                      </c:pt>
                      <c:pt idx="2">
                        <c:v>69198</c:v>
                      </c:pt>
                      <c:pt idx="3">
                        <c:v>50574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57B-4D59-8321-1C684D4E2C6E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Summary!$F$28</c15:sqref>
                        </c15:formulaRef>
                      </c:ext>
                    </c:extLst>
                    <c:strCache>
                      <c:ptCount val="1"/>
                      <c:pt idx="0">
                        <c:v>Q4 2024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1-2E11-45FF-987F-8EA64BF3736E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3-2E11-45FF-987F-8EA64BF3736E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5-2E11-45FF-987F-8EA64BF3736E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7-2E11-45FF-987F-8EA64BF3736E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Summary!$B$29:$B$32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Summary!$F$29:$F$32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432034</c:v>
                      </c:pt>
                      <c:pt idx="1">
                        <c:v>129264</c:v>
                      </c:pt>
                      <c:pt idx="2">
                        <c:v>80144</c:v>
                      </c:pt>
                      <c:pt idx="3">
                        <c:v>65121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57B-4D59-8321-1C684D4E2C6E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Summary!$G$28</c15:sqref>
                        </c15:formulaRef>
                      </c:ext>
                    </c:extLst>
                    <c:strCache>
                      <c:ptCount val="1"/>
                      <c:pt idx="0">
                        <c:v>Q1 2025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9-2E11-45FF-987F-8EA64BF3736E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B-2E11-45FF-987F-8EA64BF3736E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D-2E11-45FF-987F-8EA64BF3736E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F-2E11-45FF-987F-8EA64BF3736E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Summary!$B$29:$B$32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Summary!$G$29:$G$32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530019</c:v>
                      </c:pt>
                      <c:pt idx="1">
                        <c:v>150204</c:v>
                      </c:pt>
                      <c:pt idx="2">
                        <c:v>99778</c:v>
                      </c:pt>
                      <c:pt idx="3">
                        <c:v>75265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57B-4D59-8321-1C684D4E2C6E}"/>
                  </c:ext>
                </c:extLst>
              </c15:ser>
            </c15:filteredPieSeries>
          </c:ext>
        </c:extLst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890780738491929"/>
          <c:y val="0.36912996747345744"/>
          <c:w val="0.25788689395580688"/>
          <c:h val="0.455827606227502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541821910945675E-2"/>
          <c:y val="0.37436632576801432"/>
          <c:w val="0.60400692572978265"/>
          <c:h val="0.54173701165072363"/>
        </c:manualLayout>
      </c:layout>
      <c:doughnutChart>
        <c:varyColors val="1"/>
        <c:ser>
          <c:idx val="5"/>
          <c:order val="5"/>
          <c:tx>
            <c:strRef>
              <c:f>Summary!$H$36</c:f>
              <c:strCache>
                <c:ptCount val="1"/>
                <c:pt idx="0">
                  <c:v>Q2 2025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098-43E1-B3A4-5693B8867BC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098-43E1-B3A4-5693B8867BC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098-43E1-B3A4-5693B8867BC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098-43E1-B3A4-5693B8867BCC}"/>
              </c:ext>
            </c:extLst>
          </c:dPt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Summary!$B$37:$B$40</c:f>
              <c:strCache>
                <c:ptCount val="4"/>
                <c:pt idx="0">
                  <c:v>NAM</c:v>
                </c:pt>
                <c:pt idx="1">
                  <c:v>EMEA</c:v>
                </c:pt>
                <c:pt idx="2">
                  <c:v>APAC</c:v>
                </c:pt>
                <c:pt idx="3">
                  <c:v>LATAM</c:v>
                </c:pt>
              </c:strCache>
            </c:strRef>
          </c:cat>
          <c:val>
            <c:numRef>
              <c:f>Summary!$H$37:$H$40</c:f>
              <c:numCache>
                <c:formatCode>_(* #,##0_);_(* \(#,##0\);_(* "-"??_);_(@_)</c:formatCode>
                <c:ptCount val="4"/>
                <c:pt idx="0">
                  <c:v>20</c:v>
                </c:pt>
                <c:pt idx="1">
                  <c:v>8</c:v>
                </c:pt>
                <c:pt idx="2">
                  <c:v>13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098-43E1-B3A4-5693B8867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9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Summary!$C$36</c15:sqref>
                        </c15:formulaRef>
                      </c:ext>
                    </c:extLst>
                    <c:strCache>
                      <c:ptCount val="1"/>
                      <c:pt idx="0">
                        <c:v>Q1 2024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A-E098-43E1-B3A4-5693B8867BC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C-E098-43E1-B3A4-5693B8867BC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E-E098-43E1-B3A4-5693B8867BCC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0-E098-43E1-B3A4-5693B8867BCC}"/>
                    </c:ext>
                  </c:extLst>
                </c:dPt>
                <c:cat>
                  <c:strRef>
                    <c:extLst>
                      <c:ext uri="{02D57815-91ED-43cb-92C2-25804820EDAC}">
                        <c15:formulaRef>
                          <c15:sqref>Summary!$B$37:$B$40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Summary!$C$37:$C$40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18</c:v>
                      </c:pt>
                      <c:pt idx="1">
                        <c:v>8</c:v>
                      </c:pt>
                      <c:pt idx="2">
                        <c:v>13</c:v>
                      </c:pt>
                      <c:pt idx="3">
                        <c:v>10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1-E098-43E1-B3A4-5693B8867BCC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Summary!$D$36</c15:sqref>
                        </c15:formulaRef>
                      </c:ext>
                    </c:extLst>
                    <c:strCache>
                      <c:ptCount val="1"/>
                      <c:pt idx="0">
                        <c:v>Q2 2024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E098-43E1-B3A4-5693B8867BC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E098-43E1-B3A4-5693B8867BC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E098-43E1-B3A4-5693B8867BCC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E098-43E1-B3A4-5693B8867BCC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Summary!$B$37:$B$40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Summary!$D$37:$D$40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19</c:v>
                      </c:pt>
                      <c:pt idx="1">
                        <c:v>8</c:v>
                      </c:pt>
                      <c:pt idx="2">
                        <c:v>13</c:v>
                      </c:pt>
                      <c:pt idx="3">
                        <c:v>10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E098-43E1-B3A4-5693B8867BCC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Summary!$E$36</c15:sqref>
                        </c15:formulaRef>
                      </c:ext>
                    </c:extLst>
                    <c:strCache>
                      <c:ptCount val="1"/>
                      <c:pt idx="0">
                        <c:v>Q3 2024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C-E098-43E1-B3A4-5693B8867BC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E-E098-43E1-B3A4-5693B8867BC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0-E098-43E1-B3A4-5693B8867BCC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2-E098-43E1-B3A4-5693B8867BCC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Summary!$B$37:$B$40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Summary!$E$37:$E$40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19</c:v>
                      </c:pt>
                      <c:pt idx="1">
                        <c:v>8</c:v>
                      </c:pt>
                      <c:pt idx="2">
                        <c:v>14</c:v>
                      </c:pt>
                      <c:pt idx="3">
                        <c:v>11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3-E098-43E1-B3A4-5693B8867BCC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Summary!$F$36</c15:sqref>
                        </c15:formulaRef>
                      </c:ext>
                    </c:extLst>
                    <c:strCache>
                      <c:ptCount val="1"/>
                      <c:pt idx="0">
                        <c:v>Q4 2024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5-E098-43E1-B3A4-5693B8867BC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7-E098-43E1-B3A4-5693B8867BC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9-E098-43E1-B3A4-5693B8867BCC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B-E098-43E1-B3A4-5693B8867BCC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Summary!$B$37:$B$40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Summary!$F$37:$F$40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20</c:v>
                      </c:pt>
                      <c:pt idx="1">
                        <c:v>8</c:v>
                      </c:pt>
                      <c:pt idx="2">
                        <c:v>14</c:v>
                      </c:pt>
                      <c:pt idx="3">
                        <c:v>11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C-E098-43E1-B3A4-5693B8867BCC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Summary!$G$36</c15:sqref>
                        </c15:formulaRef>
                      </c:ext>
                    </c:extLst>
                    <c:strCache>
                      <c:ptCount val="1"/>
                      <c:pt idx="0">
                        <c:v>Q1 2025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E-E098-43E1-B3A4-5693B8867BC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0-E098-43E1-B3A4-5693B8867BC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2-E098-43E1-B3A4-5693B8867BCC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4-E098-43E1-B3A4-5693B8867BCC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Summary!$B$37:$B$40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Summary!$G$37:$G$40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20</c:v>
                      </c:pt>
                      <c:pt idx="1">
                        <c:v>8</c:v>
                      </c:pt>
                      <c:pt idx="2">
                        <c:v>14</c:v>
                      </c:pt>
                      <c:pt idx="3">
                        <c:v>11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5-E098-43E1-B3A4-5693B8867BCC}"/>
                  </c:ext>
                </c:extLst>
              </c15:ser>
            </c15:filteredPieSeries>
          </c:ext>
        </c:extLst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Summary!$D$28</c:f>
              <c:strCache>
                <c:ptCount val="1"/>
                <c:pt idx="0">
                  <c:v>Q2 2024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8FBF-4DBD-B004-7AE191C6662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8FBF-4DBD-B004-7AE191C6662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8FBF-4DBD-B004-7AE191C66626}"/>
              </c:ext>
            </c:extLst>
          </c:dPt>
          <c:dLbls>
            <c:numFmt formatCode="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Summary!$B$29:$B$32</c:f>
              <c:strCache>
                <c:ptCount val="4"/>
                <c:pt idx="0">
                  <c:v>NAM</c:v>
                </c:pt>
                <c:pt idx="1">
                  <c:v>EMEA</c:v>
                </c:pt>
                <c:pt idx="2">
                  <c:v>APAC</c:v>
                </c:pt>
                <c:pt idx="3">
                  <c:v>LATAM</c:v>
                </c:pt>
              </c:strCache>
            </c:strRef>
          </c:cat>
          <c:val>
            <c:numRef>
              <c:f>Summary!$D$29:$D$32</c:f>
              <c:numCache>
                <c:formatCode>_(* #,##0_);_(* \(#,##0\);_(* "-"??_);_(@_)</c:formatCode>
                <c:ptCount val="4"/>
                <c:pt idx="0">
                  <c:v>576618</c:v>
                </c:pt>
                <c:pt idx="1">
                  <c:v>173566</c:v>
                </c:pt>
                <c:pt idx="2">
                  <c:v>107338</c:v>
                </c:pt>
                <c:pt idx="3">
                  <c:v>82618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BF-4DBD-B004-7AE191C66626}"/>
            </c:ext>
          </c:extLst>
        </c:ser>
        <c:ser>
          <c:idx val="5"/>
          <c:order val="5"/>
          <c:tx>
            <c:strRef>
              <c:f>Summary!$H$28</c:f>
              <c:strCache>
                <c:ptCount val="1"/>
                <c:pt idx="0">
                  <c:v>Q2 2025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8FBF-4DBD-B004-7AE191C6662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8FBF-4DBD-B004-7AE191C6662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8FBF-4DBD-B004-7AE191C6662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8FBF-4DBD-B004-7AE191C66626}"/>
              </c:ext>
            </c:extLst>
          </c:dPt>
          <c:dLbls>
            <c:numFmt formatCode="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Summary!$B$29:$B$32</c:f>
              <c:strCache>
                <c:ptCount val="4"/>
                <c:pt idx="0">
                  <c:v>NAM</c:v>
                </c:pt>
                <c:pt idx="1">
                  <c:v>EMEA</c:v>
                </c:pt>
                <c:pt idx="2">
                  <c:v>APAC</c:v>
                </c:pt>
                <c:pt idx="3">
                  <c:v>LATAM</c:v>
                </c:pt>
              </c:strCache>
            </c:strRef>
          </c:cat>
          <c:val>
            <c:numRef>
              <c:f>Summary!$H$29:$H$32</c:f>
              <c:numCache>
                <c:formatCode>_(* #,##0_);_(* \(#,##0\);_(* "-"??_);_(@_)</c:formatCode>
                <c:ptCount val="4"/>
                <c:pt idx="0">
                  <c:v>596502</c:v>
                </c:pt>
                <c:pt idx="1">
                  <c:v>176338</c:v>
                </c:pt>
                <c:pt idx="2">
                  <c:v>109811</c:v>
                </c:pt>
                <c:pt idx="3">
                  <c:v>82631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FBF-4DBD-B004-7AE191C666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92"/>
        <c:axId val="326749152"/>
        <c:axId val="32674387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Summary!$C$28</c15:sqref>
                        </c15:formulaRef>
                      </c:ext>
                    </c:extLst>
                    <c:strCache>
                      <c:ptCount val="1"/>
                      <c:pt idx="0">
                        <c:v>Q1 2024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Summary!$B$29:$B$32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Summary!$C$29:$C$32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509419</c:v>
                      </c:pt>
                      <c:pt idx="1">
                        <c:v>147852</c:v>
                      </c:pt>
                      <c:pt idx="2">
                        <c:v>95736</c:v>
                      </c:pt>
                      <c:pt idx="3">
                        <c:v>69053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8FBF-4DBD-B004-7AE191C66626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Summary!$E$28</c15:sqref>
                        </c15:formulaRef>
                      </c:ext>
                    </c:extLst>
                    <c:strCache>
                      <c:ptCount val="1"/>
                      <c:pt idx="0">
                        <c:v>Q3 2024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Summary!$B$29:$B$32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Summary!$E$29:$E$32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363694</c:v>
                      </c:pt>
                      <c:pt idx="1">
                        <c:v>103536</c:v>
                      </c:pt>
                      <c:pt idx="2">
                        <c:v>69198</c:v>
                      </c:pt>
                      <c:pt idx="3">
                        <c:v>50574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FBF-4DBD-B004-7AE191C6662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Summary!$F$28</c15:sqref>
                        </c15:formulaRef>
                      </c:ext>
                    </c:extLst>
                    <c:strCache>
                      <c:ptCount val="1"/>
                      <c:pt idx="0">
                        <c:v>Q4 2024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Summary!$B$29:$B$32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Summary!$F$29:$F$32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432034</c:v>
                      </c:pt>
                      <c:pt idx="1">
                        <c:v>129264</c:v>
                      </c:pt>
                      <c:pt idx="2">
                        <c:v>80144</c:v>
                      </c:pt>
                      <c:pt idx="3">
                        <c:v>65121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FBF-4DBD-B004-7AE191C6662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Summary!$G$28</c15:sqref>
                        </c15:formulaRef>
                      </c:ext>
                    </c:extLst>
                    <c:strCache>
                      <c:ptCount val="1"/>
                      <c:pt idx="0">
                        <c:v>Q1 2025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Summary!$B$29:$B$32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Summary!$G$29:$G$32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530019</c:v>
                      </c:pt>
                      <c:pt idx="1">
                        <c:v>150204</c:v>
                      </c:pt>
                      <c:pt idx="2">
                        <c:v>99778</c:v>
                      </c:pt>
                      <c:pt idx="3">
                        <c:v>75265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FBF-4DBD-B004-7AE191C66626}"/>
                  </c:ext>
                </c:extLst>
              </c15:ser>
            </c15:filteredBarSeries>
          </c:ext>
        </c:extLst>
      </c:barChart>
      <c:catAx>
        <c:axId val="3267491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accent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743872"/>
        <c:crosses val="autoZero"/>
        <c:auto val="1"/>
        <c:lblAlgn val="ctr"/>
        <c:lblOffset val="100"/>
        <c:noMultiLvlLbl val="0"/>
      </c:catAx>
      <c:valAx>
        <c:axId val="326743872"/>
        <c:scaling>
          <c:orientation val="minMax"/>
        </c:scaling>
        <c:delete val="1"/>
        <c:axPos val="t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crossAx val="32674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6407786526684166"/>
          <c:y val="0.85705963837853605"/>
          <c:w val="0.28295516185476816"/>
          <c:h val="0.11516258384368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[YoYsalesFin.xlsx]Forecast!PivotTable4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Forecast!$B$5:$B$8</c:f>
              <c:strCache>
                <c:ptCount val="1"/>
                <c:pt idx="0">
                  <c:v>2024 - Qtr1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Forecast!$A$9:$A$13</c:f>
              <c:strCache>
                <c:ptCount val="4"/>
                <c:pt idx="0">
                  <c:v>NAM</c:v>
                </c:pt>
                <c:pt idx="1">
                  <c:v>EMEA</c:v>
                </c:pt>
                <c:pt idx="2">
                  <c:v>APAC</c:v>
                </c:pt>
                <c:pt idx="3">
                  <c:v>LATAM</c:v>
                </c:pt>
              </c:strCache>
            </c:strRef>
          </c:cat>
          <c:val>
            <c:numRef>
              <c:f>Forecast!$B$9:$B$13</c:f>
              <c:numCache>
                <c:formatCode>_(* #,##0_);_(* \(#,##0\);_(* "-"??_);_(@_)</c:formatCode>
                <c:ptCount val="4"/>
                <c:pt idx="0">
                  <c:v>509419</c:v>
                </c:pt>
                <c:pt idx="1">
                  <c:v>147852</c:v>
                </c:pt>
                <c:pt idx="2">
                  <c:v>95736</c:v>
                </c:pt>
                <c:pt idx="3">
                  <c:v>69053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32-4287-9A41-454AF65A070E}"/>
            </c:ext>
          </c:extLst>
        </c:ser>
        <c:ser>
          <c:idx val="1"/>
          <c:order val="1"/>
          <c:tx>
            <c:strRef>
              <c:f>Forecast!$C$5:$C$8</c:f>
              <c:strCache>
                <c:ptCount val="1"/>
                <c:pt idx="0">
                  <c:v>2024 - Qtr2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Forecast!$A$9:$A$13</c:f>
              <c:strCache>
                <c:ptCount val="4"/>
                <c:pt idx="0">
                  <c:v>NAM</c:v>
                </c:pt>
                <c:pt idx="1">
                  <c:v>EMEA</c:v>
                </c:pt>
                <c:pt idx="2">
                  <c:v>APAC</c:v>
                </c:pt>
                <c:pt idx="3">
                  <c:v>LATAM</c:v>
                </c:pt>
              </c:strCache>
            </c:strRef>
          </c:cat>
          <c:val>
            <c:numRef>
              <c:f>Forecast!$C$9:$C$13</c:f>
              <c:numCache>
                <c:formatCode>_(* #,##0_);_(* \(#,##0\);_(* "-"??_);_(@_)</c:formatCode>
                <c:ptCount val="4"/>
                <c:pt idx="0">
                  <c:v>576618</c:v>
                </c:pt>
                <c:pt idx="1">
                  <c:v>173566</c:v>
                </c:pt>
                <c:pt idx="2">
                  <c:v>107338</c:v>
                </c:pt>
                <c:pt idx="3">
                  <c:v>82618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32-4287-9A41-454AF65A070E}"/>
            </c:ext>
          </c:extLst>
        </c:ser>
        <c:ser>
          <c:idx val="2"/>
          <c:order val="2"/>
          <c:tx>
            <c:strRef>
              <c:f>Forecast!$D$5:$D$8</c:f>
              <c:strCache>
                <c:ptCount val="1"/>
                <c:pt idx="0">
                  <c:v>2024 - Qtr3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Forecast!$A$9:$A$13</c:f>
              <c:strCache>
                <c:ptCount val="4"/>
                <c:pt idx="0">
                  <c:v>NAM</c:v>
                </c:pt>
                <c:pt idx="1">
                  <c:v>EMEA</c:v>
                </c:pt>
                <c:pt idx="2">
                  <c:v>APAC</c:v>
                </c:pt>
                <c:pt idx="3">
                  <c:v>LATAM</c:v>
                </c:pt>
              </c:strCache>
            </c:strRef>
          </c:cat>
          <c:val>
            <c:numRef>
              <c:f>Forecast!$D$9:$D$13</c:f>
              <c:numCache>
                <c:formatCode>_(* #,##0_);_(* \(#,##0\);_(* "-"??_);_(@_)</c:formatCode>
                <c:ptCount val="4"/>
                <c:pt idx="0">
                  <c:v>363694</c:v>
                </c:pt>
                <c:pt idx="1">
                  <c:v>103536</c:v>
                </c:pt>
                <c:pt idx="2">
                  <c:v>69198</c:v>
                </c:pt>
                <c:pt idx="3">
                  <c:v>50574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32-4287-9A41-454AF65A070E}"/>
            </c:ext>
          </c:extLst>
        </c:ser>
        <c:ser>
          <c:idx val="3"/>
          <c:order val="3"/>
          <c:tx>
            <c:strRef>
              <c:f>Forecast!$E$5:$E$8</c:f>
              <c:strCache>
                <c:ptCount val="1"/>
                <c:pt idx="0">
                  <c:v>2024 - Qtr4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Forecast!$A$9:$A$13</c:f>
              <c:strCache>
                <c:ptCount val="4"/>
                <c:pt idx="0">
                  <c:v>NAM</c:v>
                </c:pt>
                <c:pt idx="1">
                  <c:v>EMEA</c:v>
                </c:pt>
                <c:pt idx="2">
                  <c:v>APAC</c:v>
                </c:pt>
                <c:pt idx="3">
                  <c:v>LATAM</c:v>
                </c:pt>
              </c:strCache>
            </c:strRef>
          </c:cat>
          <c:val>
            <c:numRef>
              <c:f>Forecast!$E$9:$E$13</c:f>
              <c:numCache>
                <c:formatCode>_(* #,##0_);_(* \(#,##0\);_(* "-"??_);_(@_)</c:formatCode>
                <c:ptCount val="4"/>
                <c:pt idx="0">
                  <c:v>432034</c:v>
                </c:pt>
                <c:pt idx="1">
                  <c:v>129264</c:v>
                </c:pt>
                <c:pt idx="2">
                  <c:v>80144</c:v>
                </c:pt>
                <c:pt idx="3">
                  <c:v>65121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32-4287-9A41-454AF65A070E}"/>
            </c:ext>
          </c:extLst>
        </c:ser>
        <c:ser>
          <c:idx val="4"/>
          <c:order val="4"/>
          <c:tx>
            <c:strRef>
              <c:f>Forecast!$G$5:$G$8</c:f>
              <c:strCache>
                <c:ptCount val="1"/>
                <c:pt idx="0">
                  <c:v>2025 - Qtr1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Forecast!$A$9:$A$13</c:f>
              <c:strCache>
                <c:ptCount val="4"/>
                <c:pt idx="0">
                  <c:v>NAM</c:v>
                </c:pt>
                <c:pt idx="1">
                  <c:v>EMEA</c:v>
                </c:pt>
                <c:pt idx="2">
                  <c:v>APAC</c:v>
                </c:pt>
                <c:pt idx="3">
                  <c:v>LATAM</c:v>
                </c:pt>
              </c:strCache>
            </c:strRef>
          </c:cat>
          <c:val>
            <c:numRef>
              <c:f>Forecast!$G$9:$G$13</c:f>
              <c:numCache>
                <c:formatCode>_(* #,##0_);_(* \(#,##0\);_(* "-"??_);_(@_)</c:formatCode>
                <c:ptCount val="4"/>
                <c:pt idx="0">
                  <c:v>530019</c:v>
                </c:pt>
                <c:pt idx="1">
                  <c:v>150204</c:v>
                </c:pt>
                <c:pt idx="2">
                  <c:v>99778</c:v>
                </c:pt>
                <c:pt idx="3">
                  <c:v>75265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32-4287-9A41-454AF65A070E}"/>
            </c:ext>
          </c:extLst>
        </c:ser>
        <c:ser>
          <c:idx val="5"/>
          <c:order val="5"/>
          <c:tx>
            <c:strRef>
              <c:f>Forecast!$H$5:$H$8</c:f>
              <c:strCache>
                <c:ptCount val="1"/>
                <c:pt idx="0">
                  <c:v>2025 - Qtr2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Forecast!$A$9:$A$13</c:f>
              <c:strCache>
                <c:ptCount val="4"/>
                <c:pt idx="0">
                  <c:v>NAM</c:v>
                </c:pt>
                <c:pt idx="1">
                  <c:v>EMEA</c:v>
                </c:pt>
                <c:pt idx="2">
                  <c:v>APAC</c:v>
                </c:pt>
                <c:pt idx="3">
                  <c:v>LATAM</c:v>
                </c:pt>
              </c:strCache>
            </c:strRef>
          </c:cat>
          <c:val>
            <c:numRef>
              <c:f>Forecast!$H$9:$H$13</c:f>
              <c:numCache>
                <c:formatCode>_(* #,##0_);_(* \(#,##0\);_(* "-"??_);_(@_)</c:formatCode>
                <c:ptCount val="4"/>
                <c:pt idx="0">
                  <c:v>596502</c:v>
                </c:pt>
                <c:pt idx="1">
                  <c:v>176338</c:v>
                </c:pt>
                <c:pt idx="2">
                  <c:v>109811</c:v>
                </c:pt>
                <c:pt idx="3">
                  <c:v>82631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A32-4287-9A41-454AF65A0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1377968"/>
        <c:axId val="1591380368"/>
      </c:barChart>
      <c:catAx>
        <c:axId val="159137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380368"/>
        <c:crosses val="autoZero"/>
        <c:auto val="1"/>
        <c:lblAlgn val="ctr"/>
        <c:lblOffset val="100"/>
        <c:noMultiLvlLbl val="0"/>
      </c:catAx>
      <c:valAx>
        <c:axId val="159138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377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[YoYsalesFin.xlsx]Pivot!PivotTable1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Pivot!$B$3:$B$4</c:f>
              <c:strCache>
                <c:ptCount val="1"/>
                <c:pt idx="0">
                  <c:v>NAM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Pivot!$A$5:$A$13</c:f>
              <c:multiLvlStrCache>
                <c:ptCount val="6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</c:lvl>
                <c:lvl>
                  <c:pt idx="0">
                    <c:v>2024</c:v>
                  </c:pt>
                  <c:pt idx="4">
                    <c:v>2025</c:v>
                  </c:pt>
                </c:lvl>
              </c:multiLvlStrCache>
            </c:multiLvlStrRef>
          </c:cat>
          <c:val>
            <c:numRef>
              <c:f>Pivot!$B$5:$B$13</c:f>
              <c:numCache>
                <c:formatCode>_(* #,##0_);_(* \(#,##0\);_(* "-"??_);_(@_)</c:formatCode>
                <c:ptCount val="6"/>
                <c:pt idx="0">
                  <c:v>509419</c:v>
                </c:pt>
                <c:pt idx="1">
                  <c:v>576618</c:v>
                </c:pt>
                <c:pt idx="2">
                  <c:v>363694</c:v>
                </c:pt>
                <c:pt idx="3">
                  <c:v>432034</c:v>
                </c:pt>
                <c:pt idx="4">
                  <c:v>530019</c:v>
                </c:pt>
                <c:pt idx="5">
                  <c:v>596502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D4-4544-A18B-9ED4C785ADBB}"/>
            </c:ext>
          </c:extLst>
        </c:ser>
        <c:ser>
          <c:idx val="1"/>
          <c:order val="1"/>
          <c:tx>
            <c:strRef>
              <c:f>Pivot!$C$3:$C$4</c:f>
              <c:strCache>
                <c:ptCount val="1"/>
                <c:pt idx="0">
                  <c:v>EMEA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Pivot!$A$5:$A$13</c:f>
              <c:multiLvlStrCache>
                <c:ptCount val="6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</c:lvl>
                <c:lvl>
                  <c:pt idx="0">
                    <c:v>2024</c:v>
                  </c:pt>
                  <c:pt idx="4">
                    <c:v>2025</c:v>
                  </c:pt>
                </c:lvl>
              </c:multiLvlStrCache>
            </c:multiLvlStrRef>
          </c:cat>
          <c:val>
            <c:numRef>
              <c:f>Pivot!$C$5:$C$13</c:f>
              <c:numCache>
                <c:formatCode>_(* #,##0_);_(* \(#,##0\);_(* "-"??_);_(@_)</c:formatCode>
                <c:ptCount val="6"/>
                <c:pt idx="0">
                  <c:v>147852</c:v>
                </c:pt>
                <c:pt idx="1">
                  <c:v>173566</c:v>
                </c:pt>
                <c:pt idx="2">
                  <c:v>103536</c:v>
                </c:pt>
                <c:pt idx="3">
                  <c:v>129264</c:v>
                </c:pt>
                <c:pt idx="4">
                  <c:v>150204</c:v>
                </c:pt>
                <c:pt idx="5">
                  <c:v>176338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D4-4544-A18B-9ED4C785ADBB}"/>
            </c:ext>
          </c:extLst>
        </c:ser>
        <c:ser>
          <c:idx val="2"/>
          <c:order val="2"/>
          <c:tx>
            <c:strRef>
              <c:f>Pivot!$D$3:$D$4</c:f>
              <c:strCache>
                <c:ptCount val="1"/>
                <c:pt idx="0">
                  <c:v>APAC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Pivot!$A$5:$A$13</c:f>
              <c:multiLvlStrCache>
                <c:ptCount val="6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</c:lvl>
                <c:lvl>
                  <c:pt idx="0">
                    <c:v>2024</c:v>
                  </c:pt>
                  <c:pt idx="4">
                    <c:v>2025</c:v>
                  </c:pt>
                </c:lvl>
              </c:multiLvlStrCache>
            </c:multiLvlStrRef>
          </c:cat>
          <c:val>
            <c:numRef>
              <c:f>Pivot!$D$5:$D$13</c:f>
              <c:numCache>
                <c:formatCode>_(* #,##0_);_(* \(#,##0\);_(* "-"??_);_(@_)</c:formatCode>
                <c:ptCount val="6"/>
                <c:pt idx="0">
                  <c:v>95736</c:v>
                </c:pt>
                <c:pt idx="1">
                  <c:v>107338</c:v>
                </c:pt>
                <c:pt idx="2">
                  <c:v>69198</c:v>
                </c:pt>
                <c:pt idx="3">
                  <c:v>80144</c:v>
                </c:pt>
                <c:pt idx="4">
                  <c:v>99778</c:v>
                </c:pt>
                <c:pt idx="5">
                  <c:v>109811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D4-4544-A18B-9ED4C785ADBB}"/>
            </c:ext>
          </c:extLst>
        </c:ser>
        <c:ser>
          <c:idx val="3"/>
          <c:order val="3"/>
          <c:tx>
            <c:strRef>
              <c:f>Pivot!$E$3:$E$4</c:f>
              <c:strCache>
                <c:ptCount val="1"/>
                <c:pt idx="0">
                  <c:v>LATAM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Pivot!$A$5:$A$13</c:f>
              <c:multiLvlStrCache>
                <c:ptCount val="6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</c:lvl>
                <c:lvl>
                  <c:pt idx="0">
                    <c:v>2024</c:v>
                  </c:pt>
                  <c:pt idx="4">
                    <c:v>2025</c:v>
                  </c:pt>
                </c:lvl>
              </c:multiLvlStrCache>
            </c:multiLvlStrRef>
          </c:cat>
          <c:val>
            <c:numRef>
              <c:f>Pivot!$E$5:$E$13</c:f>
              <c:numCache>
                <c:formatCode>_(* #,##0_);_(* \(#,##0\);_(* "-"??_);_(@_)</c:formatCode>
                <c:ptCount val="6"/>
                <c:pt idx="0">
                  <c:v>69053</c:v>
                </c:pt>
                <c:pt idx="1">
                  <c:v>82618</c:v>
                </c:pt>
                <c:pt idx="2">
                  <c:v>50574</c:v>
                </c:pt>
                <c:pt idx="3">
                  <c:v>65121</c:v>
                </c:pt>
                <c:pt idx="4">
                  <c:v>75265</c:v>
                </c:pt>
                <c:pt idx="5">
                  <c:v>82631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9D4-4544-A18B-9ED4C785A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9797280"/>
        <c:axId val="1259807840"/>
      </c:lineChart>
      <c:catAx>
        <c:axId val="125979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807840"/>
        <c:crosses val="autoZero"/>
        <c:auto val="1"/>
        <c:lblAlgn val="ctr"/>
        <c:lblOffset val="100"/>
        <c:noMultiLvlLbl val="0"/>
      </c:catAx>
      <c:valAx>
        <c:axId val="125980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797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33867</xdr:colOff>
      <xdr:row>0</xdr:row>
      <xdr:rowOff>59267</xdr:rowOff>
    </xdr:from>
    <xdr:to>
      <xdr:col>12</xdr:col>
      <xdr:colOff>59267</xdr:colOff>
      <xdr:row>32</xdr:row>
      <xdr:rowOff>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86109C5-53F0-1074-2487-72034A9C694D}"/>
            </a:ext>
          </a:extLst>
        </xdr:cNvPr>
        <xdr:cNvSpPr/>
      </xdr:nvSpPr>
      <xdr:spPr>
        <a:xfrm>
          <a:off x="33867" y="59267"/>
          <a:ext cx="11980333" cy="5359400"/>
        </a:xfrm>
        <a:prstGeom prst="roundRect">
          <a:avLst/>
        </a:prstGeom>
        <a:solidFill>
          <a:schemeClr val="bg1">
            <a:lumMod val="9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			</a:t>
          </a:r>
          <a:r>
            <a:rPr lang="en-US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GLOBAL VOLUME &amp; REGIONAL YoY PERFORMANCE ANALYSIS</a:t>
          </a:r>
        </a:p>
        <a:p>
          <a:pPr algn="l"/>
          <a:r>
            <a:rPr lang="en-US" sz="1500">
              <a:latin typeface="Times New Roman" panose="02020603050405020304" pitchFamily="18" charset="0"/>
              <a:cs typeface="Times New Roman" panose="02020603050405020304" pitchFamily="18" charset="0"/>
            </a:rPr>
            <a:t>Q2 2025 Executive Review</a:t>
          </a:r>
        </a:p>
        <a:p>
          <a:pPr algn="l"/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BUSINESS CONTEXT</a:t>
          </a:r>
        </a:p>
        <a:p>
          <a:pPr algn="l"/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The board requested an evaluation of Q2 2021 global sales volume across four regions to see if targets were met and what drove growth</a:t>
          </a:r>
        </a:p>
        <a:p>
          <a:pPr algn="l"/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 OBJECTIVES</a:t>
          </a:r>
        </a:p>
        <a:p>
          <a:pPr lvl="1" algn="l"/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• Analyze Ra</a:t>
          </a:r>
          <a:r>
            <a:rPr lang="en-US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w </a:t>
          </a:r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Identifiers. Cleaned up raw client IDs using text functions (MID, RIGHT, LEN) so the data could match our reference tables</a:t>
          </a:r>
        </a:p>
        <a:p>
          <a:pPr lvl="1" algn="l"/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• Matched transaction records to their regions using XLOOKUP and INDEX/MATCH, following the region code rules:</a:t>
          </a:r>
        </a:p>
        <a:p>
          <a:pPr lvl="1" algn="l"/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 Ending in 1: North America (NAM)</a:t>
          </a:r>
        </a:p>
        <a:p>
          <a:pPr lvl="1" algn="l"/>
          <a:r>
            <a:rPr lang="en-US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Ending in 3: Europe, Middle East &amp; Africa (EMEA) </a:t>
          </a:r>
        </a:p>
        <a:p>
          <a:pPr lvl="1" algn="l"/>
          <a:r>
            <a:rPr lang="en-US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Ending in 2 or 4: Asia-Pacific (APAC) and Latin America (LATAM) [assigned by volume rank] • Built Pivot Tables and summary formulas to track total volume, client counts, and average volume per customer across 2020 and 2021• Multi-Period Variance Modeling: Built a dynamic summary model tracking quarterly volume, active client counts, and average volume per customer across 2020–2021.</a:t>
          </a:r>
        </a:p>
        <a:p>
          <a:pPr algn="l"/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WORKBOOK NAVIGATION</a:t>
          </a:r>
        </a:p>
        <a:p>
          <a:pPr algn="l"/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• Summary: Executive reporting dashboard with YoY variance tables and core takeaways.</a:t>
          </a:r>
        </a:p>
        <a:p>
          <a:pPr algn="l"/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• Pivot: Multi-quarter volume matrix by region.</a:t>
          </a:r>
        </a:p>
        <a:p>
          <a:pPr algn="l"/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• Volume Data: Cleaned transactional dataset with calculated date dimensions.</a:t>
          </a:r>
        </a:p>
        <a:p>
          <a:pPr algn="l"/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• Geo Data: Master client-to-geography reference table.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42333</xdr:colOff>
      <xdr:row>0</xdr:row>
      <xdr:rowOff>0</xdr:rowOff>
    </xdr:from>
    <xdr:to>
      <xdr:col>3</xdr:col>
      <xdr:colOff>567267</xdr:colOff>
      <xdr:row>18</xdr:row>
      <xdr:rowOff>16933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27A92C2-C2EB-70A3-4B06-04565775B501}"/>
            </a:ext>
          </a:extLst>
        </xdr:cNvPr>
        <xdr:cNvSpPr txBox="1"/>
      </xdr:nvSpPr>
      <xdr:spPr>
        <a:xfrm>
          <a:off x="42333" y="0"/>
          <a:ext cx="6993467" cy="30649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"Hey,</a:t>
          </a:r>
        </a:p>
        <a:p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The board is asking to see how volume looked in Q2. I have some data (attached) and was hoping you could take a stab at it.</a:t>
          </a:r>
        </a:p>
        <a:p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I think they just want to see Q2 2025 volume by region and wanted to know if everything was looking good. I think this file has what you need. I don’t remember all the region codes – I know NAM ends in 1, EMEA ends in 3 and APAC and LATAM are 2 and 4, but I don’t remember which is which. I do know LATAM has the lowest volume so just go ahead and assign that to which ever comes out lowest.</a:t>
          </a:r>
        </a:p>
        <a:p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I appreciate your help!"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427790</xdr:colOff>
      <xdr:row>6</xdr:row>
      <xdr:rowOff>20290</xdr:rowOff>
    </xdr:from>
    <xdr:to>
      <xdr:col>5</xdr:col>
      <xdr:colOff>494630</xdr:colOff>
      <xdr:row>25</xdr:row>
      <xdr:rowOff>27451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D247FB-7387-67DD-7B8D-E9288276CD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332093</xdr:colOff>
      <xdr:row>5</xdr:row>
      <xdr:rowOff>318501</xdr:rowOff>
    </xdr:from>
    <xdr:to>
      <xdr:col>12</xdr:col>
      <xdr:colOff>39099</xdr:colOff>
      <xdr:row>24</xdr:row>
      <xdr:rowOff>125136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C999F3-807E-4EC6-818D-81D2CD866E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287865</xdr:colOff>
      <xdr:row>3</xdr:row>
      <xdr:rowOff>127000</xdr:rowOff>
    </xdr:from>
    <xdr:to>
      <xdr:col>18</xdr:col>
      <xdr:colOff>465665</xdr:colOff>
      <xdr:row>25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B67626-B273-7D1A-F996-6973282152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697631</xdr:colOff>
      <xdr:row>15</xdr:row>
      <xdr:rowOff>24530</xdr:rowOff>
    </xdr:from>
    <xdr:to>
      <xdr:col>20</xdr:col>
      <xdr:colOff>452329</xdr:colOff>
      <xdr:row>37</xdr:row>
      <xdr:rowOff>121780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4E2067-AA05-E9E0-6865-E2D622EEC2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101600</xdr:colOff>
      <xdr:row>3</xdr:row>
      <xdr:rowOff>38101</xdr:rowOff>
    </xdr:from>
    <xdr:to>
      <xdr:col>15</xdr:col>
      <xdr:colOff>425450</xdr:colOff>
      <xdr:row>23</xdr:row>
      <xdr:rowOff>127001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C469D2-2868-7416-71DE-E829E78D9D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el Essel" refreshedDate="46186.609956365741" createdVersion="8" refreshedVersion="8" minRefreshableVersion="3" recordCount="907" xr:uid="{8985EA42-0632-4285-84E4-255114C3D680}">
  <cacheSource type="worksheet">
    <worksheetSource name="Table2"/>
  </cacheSource>
  <cacheFields count="12">
    <cacheField name="CLID" numFmtId="14">
      <sharedItems count="53">
        <s v="CL11420"/>
        <s v="CL13213"/>
        <s v="CL13257"/>
        <s v="CL17270"/>
        <s v="CL22140"/>
        <s v="CL22675"/>
        <s v="CL23634"/>
        <s v="CL24510"/>
        <s v="CL28683"/>
        <s v="CL29380"/>
        <s v="CL31601"/>
        <s v="CL33189"/>
        <s v="CL35993"/>
        <s v="CL36191"/>
        <s v="CL37714"/>
        <s v="CL37879"/>
        <s v="CL38496"/>
        <s v="CL43946"/>
        <s v="CL44634"/>
        <s v="CL46663"/>
        <s v="CL49900"/>
        <s v="CL49960"/>
        <s v="CL50297"/>
        <s v="CL50651"/>
        <s v="CL52426"/>
        <s v="CL55399"/>
        <s v="CL57593"/>
        <s v="CL60563"/>
        <s v="CL61534"/>
        <s v="CL64939"/>
        <s v="CL67438"/>
        <s v="CL69323"/>
        <s v="CL71409"/>
        <s v="CL75274"/>
        <s v="CL75562"/>
        <s v="CL79103"/>
        <s v="CL79204"/>
        <s v="CL81431"/>
        <s v="CL82440"/>
        <s v="CL83029"/>
        <s v="CL83083"/>
        <s v="CL85641"/>
        <s v="CL87149"/>
        <s v="CL87299"/>
        <s v="CL90358"/>
        <s v="CL92654"/>
        <s v="CL94846"/>
        <s v="CL95487"/>
        <s v="CL96487"/>
        <s v="CL96680"/>
        <s v="CL97995"/>
        <s v="CL99496"/>
        <s v="CL99768"/>
      </sharedItems>
    </cacheField>
    <cacheField name="Date" numFmtId="14">
      <sharedItems containsSemiMixedTypes="0" containsNonDate="0" containsDate="1" containsString="0" minDate="2020-01-31T00:00:00" maxDate="2021-07-01T00:00:00" count="18">
        <d v="2020-03-31T00:00:00"/>
        <d v="2020-04-30T00:00:00"/>
        <d v="2020-05-31T00:00:00"/>
        <d v="2020-06-30T00:00:00"/>
        <d v="2020-07-31T00:00:00"/>
        <d v="2020-08-31T00:00:00"/>
        <d v="2020-09-30T00:00:00"/>
        <d v="2020-10-31T00:00:00"/>
        <d v="2020-11-30T00:00:00"/>
        <d v="2020-12-31T00:00:00"/>
        <d v="2021-06-30T00:00:00"/>
        <d v="2021-05-31T00:00:00"/>
        <d v="2021-04-30T00:00:00"/>
        <d v="2021-03-31T00:00:00"/>
        <d v="2021-02-28T00:00:00"/>
        <d v="2021-01-31T00:00:00"/>
        <d v="2020-01-31T00:00:00"/>
        <d v="2020-02-29T00:00:00"/>
      </sharedItems>
      <fieldGroup par="11"/>
    </cacheField>
    <cacheField name="Vol" numFmtId="164">
      <sharedItems containsSemiMixedTypes="0" containsString="0" containsNumber="1" containsInteger="1" minValue="26" maxValue="41598" count="765">
        <n v="884"/>
        <n v="886"/>
        <n v="968"/>
        <n v="564"/>
        <n v="648"/>
        <n v="406"/>
        <n v="569"/>
        <n v="487"/>
        <n v="729"/>
        <n v="565"/>
        <n v="561"/>
        <n v="1014"/>
        <n v="878"/>
        <n v="922"/>
        <n v="668"/>
        <n v="725"/>
        <n v="1194"/>
        <n v="942"/>
        <n v="1448"/>
        <n v="1323"/>
        <n v="1573"/>
        <n v="820"/>
        <n v="1069"/>
        <n v="571"/>
        <n v="947"/>
        <n v="694"/>
        <n v="1197"/>
        <n v="822"/>
        <n v="846"/>
        <n v="1553"/>
        <n v="1344"/>
        <n v="1436"/>
        <n v="970"/>
        <n v="1207"/>
        <n v="532"/>
        <n v="760"/>
        <n v="682"/>
        <n v="984"/>
        <n v="681"/>
        <n v="457"/>
        <n v="528"/>
        <n v="377"/>
        <n v="606"/>
        <n v="534"/>
        <n v="764"/>
        <n v="973"/>
        <n v="688"/>
        <n v="750"/>
        <n v="554"/>
        <n v="1342"/>
        <n v="1526"/>
        <n v="958"/>
        <n v="1340"/>
        <n v="1150"/>
        <n v="1721"/>
        <n v="1325"/>
        <n v="2403"/>
        <n v="2089"/>
        <n v="2185"/>
        <n v="1542"/>
        <n v="1804"/>
        <n v="12887"/>
        <n v="18411"/>
        <n v="16571"/>
        <n v="23929"/>
        <n v="18409"/>
        <n v="16572"/>
        <n v="11044"/>
        <n v="12885"/>
        <n v="9208"/>
        <n v="14725"/>
        <n v="12888"/>
        <n v="17235"/>
        <n v="19146"/>
        <n v="23690"/>
        <n v="17229"/>
        <n v="19330"/>
        <n v="12826"/>
        <n v="1249"/>
        <n v="913"/>
        <n v="1574"/>
        <n v="1082"/>
        <n v="1945"/>
        <n v="1296"/>
        <n v="1568"/>
        <n v="756"/>
        <n v="954"/>
        <n v="955"/>
        <n v="1261"/>
        <n v="1058"/>
        <n v="855"/>
        <n v="654"/>
        <n v="656"/>
        <n v="759"/>
        <n v="857"/>
        <n v="865"/>
        <n v="1078"/>
        <n v="1305"/>
        <n v="950"/>
        <n v="749"/>
        <n v="945"/>
        <n v="941"/>
        <n v="1164"/>
        <n v="1276"/>
        <n v="1275"/>
        <n v="834"/>
        <n v="833"/>
        <n v="610"/>
        <n v="722"/>
        <n v="939"/>
        <n v="829"/>
        <n v="848"/>
        <n v="1326"/>
        <n v="1309"/>
        <n v="1173"/>
        <n v="935"/>
        <n v="188"/>
        <n v="168"/>
        <n v="226"/>
        <n v="223"/>
        <n v="247"/>
        <n v="142"/>
        <n v="163"/>
        <n v="101"/>
        <n v="123"/>
        <n v="183"/>
        <n v="144"/>
        <n v="145"/>
        <n v="244"/>
        <n v="227"/>
        <n v="172"/>
        <n v="190"/>
        <n v="391"/>
        <n v="553"/>
        <n v="498"/>
        <n v="719"/>
        <n v="555"/>
        <n v="499"/>
        <n v="338"/>
        <n v="279"/>
        <n v="447"/>
        <n v="390"/>
        <n v="500"/>
        <n v="505"/>
        <n v="574"/>
        <n v="747"/>
        <n v="515"/>
        <n v="404"/>
        <n v="16996"/>
        <n v="19114"/>
        <n v="21243"/>
        <n v="25486"/>
        <n v="23366"/>
        <n v="16995"/>
        <n v="14870"/>
        <n v="12746"/>
        <n v="12748"/>
        <n v="14871"/>
        <n v="16997"/>
        <n v="17844"/>
        <n v="23129"/>
        <n v="26253"/>
        <n v="21877"/>
        <n v="19020"/>
        <n v="17843"/>
        <n v="13879"/>
        <n v="19822"/>
        <n v="17842"/>
        <n v="25770"/>
        <n v="19823"/>
        <n v="17845"/>
        <n v="11899"/>
        <n v="9913"/>
        <n v="15858"/>
        <n v="13882"/>
        <n v="17841"/>
        <n v="18554"/>
        <n v="20218"/>
        <n v="27062"/>
        <n v="18378"/>
        <n v="19729"/>
        <n v="14159"/>
        <n v="815"/>
        <n v="910"/>
        <n v="1091"/>
        <n v="995"/>
        <n v="727"/>
        <n v="635"/>
        <n v="544"/>
        <n v="545"/>
        <n v="637"/>
        <n v="723"/>
        <n v="1039"/>
        <n v="1124"/>
        <n v="895"/>
        <n v="851"/>
        <n v="741"/>
        <n v="1172"/>
        <n v="1483"/>
        <n v="1484"/>
        <n v="1949"/>
        <n v="1635"/>
        <n v="1012"/>
        <n v="1018"/>
        <n v="861"/>
        <n v="1169"/>
        <n v="1318"/>
        <n v="1656"/>
        <n v="1987"/>
        <n v="1528"/>
        <n v="1557"/>
        <n v="1183"/>
        <n v="11332"/>
        <n v="14162"/>
        <n v="16992"/>
        <n v="15578"/>
        <n v="11330"/>
        <n v="9912"/>
        <n v="8496"/>
        <n v="8502"/>
        <n v="9917"/>
        <n v="11328"/>
        <n v="11781"/>
        <n v="15424"/>
        <n v="16906"/>
        <n v="14020"/>
        <n v="13386"/>
        <n v="11896"/>
        <n v="358"/>
        <n v="508"/>
        <n v="458"/>
        <n v="655"/>
        <n v="506"/>
        <n v="308"/>
        <n v="353"/>
        <n v="252"/>
        <n v="402"/>
        <n v="352"/>
        <n v="472"/>
        <n v="665"/>
        <n v="459"/>
        <n v="519"/>
        <n v="20394"/>
        <n v="22941"/>
        <n v="25487"/>
        <n v="30586"/>
        <n v="28040"/>
        <n v="20393"/>
        <n v="15298"/>
        <n v="15295"/>
        <n v="17846"/>
        <n v="20388"/>
        <n v="20391"/>
        <n v="20289"/>
        <n v="29437"/>
        <n v="32113"/>
        <n v="26762"/>
        <n v="22713"/>
        <n v="20286"/>
        <n v="11682"/>
        <n v="14802"/>
        <n v="14798"/>
        <n v="19470"/>
        <n v="16356"/>
        <n v="13245"/>
        <n v="10130"/>
        <n v="10124"/>
        <n v="8573"/>
        <n v="11686"/>
        <n v="13239"/>
        <n v="13905"/>
        <n v="16273"/>
        <n v="20251"/>
        <n v="15092"/>
        <n v="15094"/>
        <n v="11799"/>
        <n v="326"/>
        <n v="202"/>
        <n v="283"/>
        <n v="243"/>
        <n v="368"/>
        <n v="285"/>
        <n v="292"/>
        <n v="495"/>
        <n v="467"/>
        <n v="451"/>
        <n v="320"/>
        <n v="361"/>
        <n v="2691"/>
        <n v="2129"/>
        <n v="3258"/>
        <n v="2978"/>
        <n v="3544"/>
        <n v="1845"/>
        <n v="2414"/>
        <n v="1281"/>
        <n v="2131"/>
        <n v="1560"/>
        <n v="1843"/>
        <n v="1864"/>
        <n v="3527"/>
        <n v="3010"/>
        <n v="3387"/>
        <n v="2190"/>
        <n v="2719"/>
        <n v="484"/>
        <n v="546"/>
        <n v="609"/>
        <n v="663"/>
        <n v="489"/>
        <n v="422"/>
        <n v="366"/>
        <n v="365"/>
        <n v="428"/>
        <n v="486"/>
        <n v="488"/>
        <n v="483"/>
        <n v="13597"/>
        <n v="18695"/>
        <n v="10197"/>
        <n v="10196"/>
        <n v="11895"/>
        <n v="13596"/>
        <n v="13595"/>
        <n v="13732"/>
        <n v="19253"/>
        <n v="20185"/>
        <n v="17502"/>
        <n v="16057"/>
        <n v="14276"/>
        <n v="864"/>
        <n v="765"/>
        <n v="1051"/>
        <n v="1053"/>
        <n v="1146"/>
        <n v="674"/>
        <n v="482"/>
        <n v="673"/>
        <n v="575"/>
        <n v="1136"/>
        <n v="1095"/>
        <n v="1043"/>
        <n v="797"/>
        <n v="859"/>
        <n v="916"/>
        <n v="1176"/>
        <n v="1193"/>
        <n v="1360"/>
        <n v="1768"/>
        <n v="1192"/>
        <n v="1332"/>
        <n v="1131"/>
        <n v="1268"/>
        <n v="1410"/>
        <n v="1688"/>
        <n v="1548"/>
        <n v="1127"/>
        <n v="850"/>
        <n v="986"/>
        <n v="1129"/>
        <n v="1119"/>
        <n v="1598"/>
        <n v="1707"/>
        <n v="1404"/>
        <n v="1252"/>
        <n v="318"/>
        <n v="453"/>
        <n v="411"/>
        <n v="588"/>
        <n v="410"/>
        <n v="273"/>
        <n v="317"/>
        <n v="233"/>
        <n v="367"/>
        <n v="322"/>
        <n v="407"/>
        <n v="409"/>
        <n v="591"/>
        <n v="421"/>
        <n v="456"/>
        <n v="316"/>
        <n v="1488"/>
        <n v="1674"/>
        <n v="1862"/>
        <n v="2231"/>
        <n v="2049"/>
        <n v="1489"/>
        <n v="1301"/>
        <n v="1118"/>
        <n v="1117"/>
        <n v="1551"/>
        <n v="2067"/>
        <n v="2277"/>
        <n v="1854"/>
        <n v="1665"/>
        <n v="1516"/>
        <n v="644"/>
        <n v="814"/>
        <n v="1068"/>
        <n v="899"/>
        <n v="732"/>
        <n v="560"/>
        <n v="557"/>
        <n v="473"/>
        <n v="645"/>
        <n v="643"/>
        <n v="726"/>
        <n v="755"/>
        <n v="892"/>
        <n v="1125"/>
        <n v="828"/>
        <n v="6731"/>
        <n v="5312"/>
        <n v="8146"/>
        <n v="7438"/>
        <n v="8850"/>
        <n v="4608"/>
        <n v="6024"/>
        <n v="3188"/>
        <n v="5313"/>
        <n v="3897"/>
        <n v="6730"/>
        <n v="4607"/>
        <n v="4556"/>
        <n v="8806"/>
        <n v="7735"/>
        <n v="8064"/>
        <n v="5257"/>
        <n v="6996"/>
        <n v="1087"/>
        <n v="1224"/>
        <n v="1362"/>
        <n v="1633"/>
        <n v="1492"/>
        <n v="818"/>
        <n v="1086"/>
        <n v="1614"/>
        <n v="1426"/>
        <n v="1220"/>
        <n v="1113"/>
        <n v="303"/>
        <n v="304"/>
        <n v="375"/>
        <n v="405"/>
        <n v="267"/>
        <n v="264"/>
        <n v="195"/>
        <n v="232"/>
        <n v="306"/>
        <n v="261"/>
        <n v="302"/>
        <n v="30584"/>
        <n v="27186"/>
        <n v="37383"/>
        <n v="37379"/>
        <n v="40779"/>
        <n v="23788"/>
        <n v="27188"/>
        <n v="23792"/>
        <n v="20390"/>
        <n v="23787"/>
        <n v="24737"/>
        <n v="41598"/>
        <n v="38878"/>
        <n v="39253"/>
        <n v="27048"/>
        <n v="32111"/>
        <n v="866"/>
        <n v="1101"/>
        <n v="1103"/>
        <n v="1447"/>
        <n v="1213"/>
        <n v="988"/>
        <n v="752"/>
        <n v="641"/>
        <n v="867"/>
        <n v="997"/>
        <n v="1206"/>
        <n v="1519"/>
        <n v="1096"/>
        <n v="1110"/>
        <n v="880"/>
        <n v="9422"/>
        <n v="11403"/>
        <n v="10408"/>
        <n v="12392"/>
        <n v="6449"/>
        <n v="8425"/>
        <n v="4464"/>
        <n v="7440"/>
        <n v="5452"/>
        <n v="6445"/>
        <n v="6576"/>
        <n v="13012"/>
        <n v="10308"/>
        <n v="11287"/>
        <n v="7361"/>
        <n v="9604"/>
        <n v="19257"/>
        <n v="19258"/>
        <n v="26053"/>
        <n v="26056"/>
        <n v="16993"/>
        <n v="16994"/>
        <n v="12464"/>
        <n v="14726"/>
        <n v="17501"/>
        <n v="26834"/>
        <n v="26840"/>
        <n v="23553"/>
        <n v="19839"/>
        <n v="20221"/>
        <n v="277"/>
        <n v="337"/>
        <n v="332"/>
        <n v="362"/>
        <n v="213"/>
        <n v="248"/>
        <n v="156"/>
        <n v="218"/>
        <n v="182"/>
        <n v="276"/>
        <n v="220"/>
        <n v="370"/>
        <n v="331"/>
        <n v="250"/>
        <n v="289"/>
        <n v="1586"/>
        <n v="1412"/>
        <n v="1936"/>
        <n v="1939"/>
        <n v="2112"/>
        <n v="1230"/>
        <n v="1407"/>
        <n v="1233"/>
        <n v="1059"/>
        <n v="1291"/>
        <n v="2150"/>
        <n v="1991"/>
        <n v="2032"/>
        <n v="1438"/>
        <n v="1569"/>
        <n v="1211"/>
        <n v="1358"/>
        <n v="1507"/>
        <n v="1812"/>
        <n v="1663"/>
        <n v="1205"/>
        <n v="1060"/>
        <n v="1694"/>
        <n v="1791"/>
        <n v="1399"/>
        <n v="1255"/>
        <n v="53"/>
        <n v="40"/>
        <n v="65"/>
        <n v="56"/>
        <n v="34"/>
        <n v="50"/>
        <n v="26"/>
        <n v="43"/>
        <n v="32"/>
        <n v="54"/>
        <n v="38"/>
        <n v="71"/>
        <n v="60"/>
        <n v="45"/>
        <n v="1283"/>
        <n v="1622"/>
        <n v="1628"/>
        <n v="2137"/>
        <n v="1795"/>
        <n v="1456"/>
        <n v="1112"/>
        <n v="1116"/>
        <n v="1282"/>
        <n v="1285"/>
        <n v="1452"/>
        <n v="1480"/>
        <n v="1869"/>
        <n v="2242"/>
        <n v="1655"/>
        <n v="1693"/>
        <n v="1530"/>
        <n v="1532"/>
        <n v="2014"/>
        <n v="1368"/>
        <n v="1047"/>
        <n v="1050"/>
        <n v="890"/>
        <n v="1208"/>
        <n v="1366"/>
        <n v="1397"/>
        <n v="1757"/>
        <n v="2092"/>
        <n v="1544"/>
        <n v="1547"/>
        <n v="1265"/>
        <n v="3405"/>
        <n v="3827"/>
        <n v="4248"/>
        <n v="5101"/>
        <n v="4675"/>
        <n v="3400"/>
        <n v="2976"/>
        <n v="2552"/>
        <n v="2550"/>
        <n v="2975"/>
        <n v="3399"/>
        <n v="3404"/>
        <n v="3501"/>
        <n v="4768"/>
        <n v="5254"/>
        <n v="4212"/>
        <n v="3808"/>
        <n v="3575"/>
        <n v="627"/>
        <n v="689"/>
        <n v="817"/>
        <n v="426"/>
        <n v="559"/>
        <n v="300"/>
        <n v="493"/>
        <n v="364"/>
        <n v="429"/>
        <n v="441"/>
        <n v="813"/>
        <n v="769"/>
        <n v="504"/>
        <n v="618"/>
        <n v="19825"/>
        <n v="28323"/>
        <n v="25490"/>
        <n v="36816"/>
        <n v="28322"/>
        <n v="19826"/>
        <n v="14163"/>
        <n v="22655"/>
        <n v="25485"/>
        <n v="26509"/>
        <n v="28176"/>
        <n v="37182"/>
        <n v="25741"/>
        <n v="28605"/>
        <n v="967"/>
        <n v="1088"/>
        <n v="1209"/>
        <n v="1449"/>
        <n v="1327"/>
        <n v="964"/>
        <n v="844"/>
        <n v="728"/>
        <n v="849"/>
        <n v="965"/>
        <n v="985"/>
        <n v="1435"/>
        <n v="1221"/>
        <n v="1076"/>
        <n v="998"/>
        <n v="82"/>
        <n v="102"/>
        <n v="126"/>
        <n v="108"/>
        <n v="88"/>
        <n v="68"/>
        <n v="70"/>
        <n v="58"/>
        <n v="76"/>
        <n v="81"/>
        <n v="91"/>
        <n v="109"/>
        <n v="130"/>
        <n v="105"/>
        <n v="98"/>
        <n v="77"/>
        <n v="568"/>
        <n v="636"/>
        <n v="707"/>
        <n v="779"/>
        <n v="566"/>
        <n v="423"/>
        <n v="567"/>
        <n v="563"/>
        <n v="789"/>
        <n v="862"/>
        <n v="702"/>
        <n v="652"/>
        <n v="902"/>
        <n v="897"/>
        <n v="1214"/>
        <n v="1219"/>
        <n v="795"/>
        <n v="794"/>
        <n v="581"/>
        <n v="690"/>
        <n v="793"/>
        <n v="1231"/>
        <n v="1204"/>
        <n v="1120"/>
        <n v="936"/>
        <n v="1244"/>
        <n v="1240"/>
        <n v="1534"/>
        <n v="1675"/>
        <n v="1680"/>
        <n v="1094"/>
        <n v="807"/>
        <n v="1239"/>
        <n v="1092"/>
        <n v="1153"/>
        <n v="1659"/>
        <n v="1710"/>
        <n v="1546"/>
        <n v="1289"/>
        <n v="1236"/>
        <n v="1719"/>
        <n v="1717"/>
        <n v="2259"/>
        <n v="1898"/>
        <n v="1539"/>
        <n v="1180"/>
        <n v="1175"/>
        <n v="999"/>
        <n v="1361"/>
        <n v="1998"/>
        <n v="2309"/>
        <n v="1701"/>
        <n v="1790"/>
        <n v="1353"/>
        <n v="28034"/>
        <n v="24922"/>
        <n v="34268"/>
        <n v="37380"/>
        <n v="21809"/>
        <n v="24920"/>
        <n v="15576"/>
        <n v="18694"/>
        <n v="28037"/>
        <n v="22463"/>
        <n v="38501"/>
        <n v="33923"/>
        <n v="35291"/>
        <n v="24798"/>
        <n v="29157"/>
        <n v="125"/>
        <n v="171"/>
        <n v="80"/>
        <n v="111"/>
        <n v="96"/>
        <n v="136"/>
        <n v="107"/>
        <n v="140"/>
        <n v="219"/>
        <n v="266"/>
        <n v="294"/>
        <n v="295"/>
        <n v="193"/>
        <n v="143"/>
        <n v="170"/>
        <n v="214"/>
        <n v="194"/>
        <n v="290"/>
        <n v="270"/>
        <n v="224"/>
        <n v="222"/>
      </sharedItems>
    </cacheField>
    <cacheField name="LEN" numFmtId="0">
      <sharedItems containsSemiMixedTypes="0" containsString="0" containsNumber="1" containsInteger="1" minValue="7" maxValue="7"/>
    </cacheField>
    <cacheField name="Xlookup Region ID" numFmtId="0">
      <sharedItems/>
    </cacheField>
    <cacheField name="Index Region ID" numFmtId="0">
      <sharedItems/>
    </cacheField>
    <cacheField name="Region Name" numFmtId="0">
      <sharedItems count="4">
        <s v="LATAM"/>
        <s v="NAM"/>
        <s v="EMEA"/>
        <s v="APAC"/>
      </sharedItems>
    </cacheField>
    <cacheField name="Quart" numFmtId="0">
      <sharedItems count="6">
        <s v="Q1 2020"/>
        <s v="Q2 2020"/>
        <s v="Q3 2020"/>
        <s v="Q4 2020"/>
        <s v="Q2 2021"/>
        <s v="Q1 2021"/>
      </sharedItems>
    </cacheField>
    <cacheField name="Quarter by Vlookup" numFmtId="0">
      <sharedItems/>
    </cacheField>
    <cacheField name="Months (Date)" numFmtId="0" databaseField="0">
      <fieldGroup base="1">
        <rangePr groupBy="months" startDate="2020-01-31T00:00:00" endDate="2021-07-01T00:00:00"/>
        <groupItems count="14">
          <s v="&lt;1/31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1"/>
        </groupItems>
      </fieldGroup>
    </cacheField>
    <cacheField name="Quarters (Date)" numFmtId="0" databaseField="0">
      <fieldGroup base="1">
        <rangePr groupBy="quarters" startDate="2020-01-31T00:00:00" endDate="2021-07-01T00:00:00"/>
        <groupItems count="6">
          <s v="&lt;1/31/2020"/>
          <s v="Qtr1"/>
          <s v="Qtr2"/>
          <s v="Qtr3"/>
          <s v="Qtr4"/>
          <s v="&gt;7/1/2021"/>
        </groupItems>
      </fieldGroup>
    </cacheField>
    <cacheField name="Years (Date)" numFmtId="0" databaseField="0">
      <fieldGroup base="1">
        <rangePr groupBy="years" startDate="2020-01-31T00:00:00" endDate="2021-07-01T00:00:00"/>
        <groupItems count="4">
          <s v="&lt;1/31/2020"/>
          <s v="2020"/>
          <s v="2021"/>
          <s v="&gt;7/1/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7">
  <r>
    <x v="0"/>
    <x v="0"/>
    <x v="0"/>
    <n v="7"/>
    <s v="GEO1004"/>
    <s v="GEO1004"/>
    <x v="0"/>
    <x v="0"/>
    <s v="Q1 2020"/>
  </r>
  <r>
    <x v="0"/>
    <x v="1"/>
    <x v="1"/>
    <n v="7"/>
    <s v="GEO1004"/>
    <s v="GEO1004"/>
    <x v="0"/>
    <x v="1"/>
    <s v="Q2 2020"/>
  </r>
  <r>
    <x v="0"/>
    <x v="2"/>
    <x v="2"/>
    <n v="7"/>
    <s v="GEO1004"/>
    <s v="GEO1004"/>
    <x v="0"/>
    <x v="1"/>
    <s v="Q2 2020"/>
  </r>
  <r>
    <x v="0"/>
    <x v="3"/>
    <x v="3"/>
    <n v="7"/>
    <s v="GEO1004"/>
    <s v="GEO1004"/>
    <x v="0"/>
    <x v="1"/>
    <s v="Q2 2020"/>
  </r>
  <r>
    <x v="0"/>
    <x v="4"/>
    <x v="4"/>
    <n v="7"/>
    <s v="GEO1004"/>
    <s v="GEO1004"/>
    <x v="0"/>
    <x v="2"/>
    <s v="Q3 2020"/>
  </r>
  <r>
    <x v="0"/>
    <x v="5"/>
    <x v="5"/>
    <n v="7"/>
    <s v="GEO1004"/>
    <s v="GEO1004"/>
    <x v="0"/>
    <x v="2"/>
    <s v="Q3 2020"/>
  </r>
  <r>
    <x v="0"/>
    <x v="6"/>
    <x v="6"/>
    <n v="7"/>
    <s v="GEO1004"/>
    <s v="GEO1004"/>
    <x v="0"/>
    <x v="2"/>
    <s v="Q3 2020"/>
  </r>
  <r>
    <x v="0"/>
    <x v="7"/>
    <x v="7"/>
    <n v="7"/>
    <s v="GEO1004"/>
    <s v="GEO1004"/>
    <x v="0"/>
    <x v="3"/>
    <s v="Q4 2020"/>
  </r>
  <r>
    <x v="0"/>
    <x v="8"/>
    <x v="8"/>
    <n v="7"/>
    <s v="GEO1004"/>
    <s v="GEO1004"/>
    <x v="0"/>
    <x v="3"/>
    <s v="Q4 2020"/>
  </r>
  <r>
    <x v="0"/>
    <x v="9"/>
    <x v="9"/>
    <n v="7"/>
    <s v="GEO1004"/>
    <s v="GEO1004"/>
    <x v="0"/>
    <x v="3"/>
    <s v="Q4 2020"/>
  </r>
  <r>
    <x v="0"/>
    <x v="10"/>
    <x v="10"/>
    <n v="7"/>
    <s v="GEO1004"/>
    <s v="GEO1004"/>
    <x v="0"/>
    <x v="4"/>
    <s v="Q2 2021"/>
  </r>
  <r>
    <x v="0"/>
    <x v="11"/>
    <x v="11"/>
    <n v="7"/>
    <s v="GEO1004"/>
    <s v="GEO1004"/>
    <x v="0"/>
    <x v="4"/>
    <s v="Q2 2021"/>
  </r>
  <r>
    <x v="0"/>
    <x v="12"/>
    <x v="12"/>
    <n v="7"/>
    <s v="GEO1004"/>
    <s v="GEO1004"/>
    <x v="0"/>
    <x v="4"/>
    <s v="Q2 2021"/>
  </r>
  <r>
    <x v="0"/>
    <x v="13"/>
    <x v="13"/>
    <n v="7"/>
    <s v="GEO1004"/>
    <s v="GEO1004"/>
    <x v="0"/>
    <x v="5"/>
    <s v="Q4 2020"/>
  </r>
  <r>
    <x v="0"/>
    <x v="14"/>
    <x v="14"/>
    <n v="7"/>
    <s v="GEO1004"/>
    <s v="GEO1004"/>
    <x v="0"/>
    <x v="5"/>
    <s v="Q4 2020"/>
  </r>
  <r>
    <x v="0"/>
    <x v="15"/>
    <x v="15"/>
    <n v="7"/>
    <s v="GEO1004"/>
    <s v="GEO1004"/>
    <x v="0"/>
    <x v="5"/>
    <s v="Q4 2020"/>
  </r>
  <r>
    <x v="1"/>
    <x v="16"/>
    <x v="16"/>
    <n v="7"/>
    <s v="GEO1001"/>
    <s v="GEO1001"/>
    <x v="1"/>
    <x v="0"/>
    <s v="Q1 2020"/>
  </r>
  <r>
    <x v="1"/>
    <x v="17"/>
    <x v="17"/>
    <n v="7"/>
    <s v="GEO1001"/>
    <s v="GEO1001"/>
    <x v="1"/>
    <x v="0"/>
    <s v="Q1 2020"/>
  </r>
  <r>
    <x v="1"/>
    <x v="0"/>
    <x v="18"/>
    <n v="7"/>
    <s v="GEO1001"/>
    <s v="GEO1001"/>
    <x v="1"/>
    <x v="0"/>
    <s v="Q1 2020"/>
  </r>
  <r>
    <x v="1"/>
    <x v="1"/>
    <x v="19"/>
    <n v="7"/>
    <s v="GEO1001"/>
    <s v="GEO1001"/>
    <x v="1"/>
    <x v="1"/>
    <s v="Q2 2020"/>
  </r>
  <r>
    <x v="1"/>
    <x v="2"/>
    <x v="20"/>
    <n v="7"/>
    <s v="GEO1001"/>
    <s v="GEO1001"/>
    <x v="1"/>
    <x v="1"/>
    <s v="Q2 2020"/>
  </r>
  <r>
    <x v="1"/>
    <x v="3"/>
    <x v="21"/>
    <n v="7"/>
    <s v="GEO1001"/>
    <s v="GEO1001"/>
    <x v="1"/>
    <x v="1"/>
    <s v="Q2 2020"/>
  </r>
  <r>
    <x v="1"/>
    <x v="4"/>
    <x v="22"/>
    <n v="7"/>
    <s v="GEO1001"/>
    <s v="GEO1001"/>
    <x v="1"/>
    <x v="2"/>
    <s v="Q3 2020"/>
  </r>
  <r>
    <x v="1"/>
    <x v="5"/>
    <x v="23"/>
    <n v="7"/>
    <s v="GEO1001"/>
    <s v="GEO1001"/>
    <x v="1"/>
    <x v="2"/>
    <s v="Q3 2020"/>
  </r>
  <r>
    <x v="1"/>
    <x v="6"/>
    <x v="24"/>
    <n v="7"/>
    <s v="GEO1001"/>
    <s v="GEO1001"/>
    <x v="1"/>
    <x v="2"/>
    <s v="Q3 2020"/>
  </r>
  <r>
    <x v="1"/>
    <x v="7"/>
    <x v="25"/>
    <n v="7"/>
    <s v="GEO1001"/>
    <s v="GEO1001"/>
    <x v="1"/>
    <x v="3"/>
    <s v="Q4 2020"/>
  </r>
  <r>
    <x v="1"/>
    <x v="8"/>
    <x v="26"/>
    <n v="7"/>
    <s v="GEO1001"/>
    <s v="GEO1001"/>
    <x v="1"/>
    <x v="3"/>
    <s v="Q4 2020"/>
  </r>
  <r>
    <x v="1"/>
    <x v="9"/>
    <x v="27"/>
    <n v="7"/>
    <s v="GEO1001"/>
    <s v="GEO1001"/>
    <x v="1"/>
    <x v="3"/>
    <s v="Q4 2020"/>
  </r>
  <r>
    <x v="1"/>
    <x v="10"/>
    <x v="28"/>
    <n v="7"/>
    <s v="GEO1001"/>
    <s v="GEO1001"/>
    <x v="1"/>
    <x v="4"/>
    <s v="Q2 2021"/>
  </r>
  <r>
    <x v="1"/>
    <x v="11"/>
    <x v="29"/>
    <n v="7"/>
    <s v="GEO1001"/>
    <s v="GEO1001"/>
    <x v="1"/>
    <x v="4"/>
    <s v="Q2 2021"/>
  </r>
  <r>
    <x v="1"/>
    <x v="12"/>
    <x v="30"/>
    <n v="7"/>
    <s v="GEO1001"/>
    <s v="GEO1001"/>
    <x v="1"/>
    <x v="4"/>
    <s v="Q2 2021"/>
  </r>
  <r>
    <x v="1"/>
    <x v="13"/>
    <x v="31"/>
    <n v="7"/>
    <s v="GEO1001"/>
    <s v="GEO1001"/>
    <x v="1"/>
    <x v="5"/>
    <s v="Q4 2020"/>
  </r>
  <r>
    <x v="1"/>
    <x v="14"/>
    <x v="32"/>
    <n v="7"/>
    <s v="GEO1001"/>
    <s v="GEO1001"/>
    <x v="1"/>
    <x v="5"/>
    <s v="Q4 2020"/>
  </r>
  <r>
    <x v="1"/>
    <x v="15"/>
    <x v="33"/>
    <n v="7"/>
    <s v="GEO1001"/>
    <s v="GEO1001"/>
    <x v="1"/>
    <x v="5"/>
    <s v="Q4 2020"/>
  </r>
  <r>
    <x v="2"/>
    <x v="16"/>
    <x v="34"/>
    <n v="7"/>
    <s v="GEO1003"/>
    <s v="GEO1003"/>
    <x v="2"/>
    <x v="0"/>
    <s v="Q1 2020"/>
  </r>
  <r>
    <x v="2"/>
    <x v="17"/>
    <x v="35"/>
    <n v="7"/>
    <s v="GEO1003"/>
    <s v="GEO1003"/>
    <x v="2"/>
    <x v="0"/>
    <s v="Q1 2020"/>
  </r>
  <r>
    <x v="2"/>
    <x v="0"/>
    <x v="36"/>
    <n v="7"/>
    <s v="GEO1003"/>
    <s v="GEO1003"/>
    <x v="2"/>
    <x v="0"/>
    <s v="Q1 2020"/>
  </r>
  <r>
    <x v="2"/>
    <x v="1"/>
    <x v="37"/>
    <n v="7"/>
    <s v="GEO1003"/>
    <s v="GEO1003"/>
    <x v="2"/>
    <x v="1"/>
    <s v="Q2 2020"/>
  </r>
  <r>
    <x v="2"/>
    <x v="2"/>
    <x v="35"/>
    <n v="7"/>
    <s v="GEO1003"/>
    <s v="GEO1003"/>
    <x v="2"/>
    <x v="1"/>
    <s v="Q2 2020"/>
  </r>
  <r>
    <x v="2"/>
    <x v="3"/>
    <x v="38"/>
    <n v="7"/>
    <s v="GEO1003"/>
    <s v="GEO1003"/>
    <x v="2"/>
    <x v="1"/>
    <s v="Q2 2020"/>
  </r>
  <r>
    <x v="2"/>
    <x v="4"/>
    <x v="39"/>
    <n v="7"/>
    <s v="GEO1003"/>
    <s v="GEO1003"/>
    <x v="2"/>
    <x v="2"/>
    <s v="Q3 2020"/>
  </r>
  <r>
    <x v="2"/>
    <x v="5"/>
    <x v="40"/>
    <n v="7"/>
    <s v="GEO1003"/>
    <s v="GEO1003"/>
    <x v="2"/>
    <x v="2"/>
    <s v="Q3 2020"/>
  </r>
  <r>
    <x v="2"/>
    <x v="6"/>
    <x v="41"/>
    <n v="7"/>
    <s v="GEO1003"/>
    <s v="GEO1003"/>
    <x v="2"/>
    <x v="2"/>
    <s v="Q3 2020"/>
  </r>
  <r>
    <x v="2"/>
    <x v="7"/>
    <x v="42"/>
    <n v="7"/>
    <s v="GEO1003"/>
    <s v="GEO1003"/>
    <x v="2"/>
    <x v="3"/>
    <s v="Q4 2020"/>
  </r>
  <r>
    <x v="2"/>
    <x v="8"/>
    <x v="43"/>
    <n v="7"/>
    <s v="GEO1003"/>
    <s v="GEO1003"/>
    <x v="2"/>
    <x v="3"/>
    <s v="Q4 2020"/>
  </r>
  <r>
    <x v="2"/>
    <x v="9"/>
    <x v="38"/>
    <n v="7"/>
    <s v="GEO1003"/>
    <s v="GEO1003"/>
    <x v="2"/>
    <x v="3"/>
    <s v="Q4 2020"/>
  </r>
  <r>
    <x v="2"/>
    <x v="11"/>
    <x v="44"/>
    <n v="7"/>
    <s v="GEO1003"/>
    <s v="GEO1003"/>
    <x v="2"/>
    <x v="4"/>
    <s v="Q2 2021"/>
  </r>
  <r>
    <x v="2"/>
    <x v="12"/>
    <x v="45"/>
    <n v="7"/>
    <s v="GEO1003"/>
    <s v="GEO1003"/>
    <x v="2"/>
    <x v="4"/>
    <s v="Q2 2021"/>
  </r>
  <r>
    <x v="2"/>
    <x v="13"/>
    <x v="46"/>
    <n v="7"/>
    <s v="GEO1003"/>
    <s v="GEO1003"/>
    <x v="2"/>
    <x v="5"/>
    <s v="Q4 2020"/>
  </r>
  <r>
    <x v="2"/>
    <x v="14"/>
    <x v="47"/>
    <n v="7"/>
    <s v="GEO1003"/>
    <s v="GEO1003"/>
    <x v="2"/>
    <x v="5"/>
    <s v="Q4 2020"/>
  </r>
  <r>
    <x v="2"/>
    <x v="15"/>
    <x v="48"/>
    <n v="7"/>
    <s v="GEO1003"/>
    <s v="GEO1003"/>
    <x v="2"/>
    <x v="5"/>
    <s v="Q4 2020"/>
  </r>
  <r>
    <x v="3"/>
    <x v="3"/>
    <x v="49"/>
    <n v="7"/>
    <s v="GEO1001"/>
    <s v="GEO1001"/>
    <x v="1"/>
    <x v="1"/>
    <s v="Q2 2020"/>
  </r>
  <r>
    <x v="3"/>
    <x v="4"/>
    <x v="50"/>
    <n v="7"/>
    <s v="GEO1001"/>
    <s v="GEO1001"/>
    <x v="1"/>
    <x v="2"/>
    <s v="Q3 2020"/>
  </r>
  <r>
    <x v="3"/>
    <x v="5"/>
    <x v="51"/>
    <n v="7"/>
    <s v="GEO1001"/>
    <s v="GEO1001"/>
    <x v="1"/>
    <x v="2"/>
    <s v="Q3 2020"/>
  </r>
  <r>
    <x v="3"/>
    <x v="6"/>
    <x v="52"/>
    <n v="7"/>
    <s v="GEO1001"/>
    <s v="GEO1001"/>
    <x v="1"/>
    <x v="2"/>
    <s v="Q3 2020"/>
  </r>
  <r>
    <x v="3"/>
    <x v="7"/>
    <x v="53"/>
    <n v="7"/>
    <s v="GEO1001"/>
    <s v="GEO1001"/>
    <x v="1"/>
    <x v="3"/>
    <s v="Q4 2020"/>
  </r>
  <r>
    <x v="3"/>
    <x v="8"/>
    <x v="54"/>
    <n v="7"/>
    <s v="GEO1001"/>
    <s v="GEO1001"/>
    <x v="1"/>
    <x v="3"/>
    <s v="Q4 2020"/>
  </r>
  <r>
    <x v="3"/>
    <x v="9"/>
    <x v="49"/>
    <n v="7"/>
    <s v="GEO1001"/>
    <s v="GEO1001"/>
    <x v="1"/>
    <x v="3"/>
    <s v="Q4 2020"/>
  </r>
  <r>
    <x v="3"/>
    <x v="10"/>
    <x v="55"/>
    <n v="7"/>
    <s v="GEO1001"/>
    <s v="GEO1001"/>
    <x v="1"/>
    <x v="4"/>
    <s v="Q2 2021"/>
  </r>
  <r>
    <x v="3"/>
    <x v="11"/>
    <x v="56"/>
    <n v="7"/>
    <s v="GEO1001"/>
    <s v="GEO1001"/>
    <x v="1"/>
    <x v="4"/>
    <s v="Q2 2021"/>
  </r>
  <r>
    <x v="3"/>
    <x v="12"/>
    <x v="57"/>
    <n v="7"/>
    <s v="GEO1001"/>
    <s v="GEO1001"/>
    <x v="1"/>
    <x v="4"/>
    <s v="Q2 2021"/>
  </r>
  <r>
    <x v="3"/>
    <x v="13"/>
    <x v="58"/>
    <n v="7"/>
    <s v="GEO1001"/>
    <s v="GEO1001"/>
    <x v="1"/>
    <x v="5"/>
    <s v="Q4 2020"/>
  </r>
  <r>
    <x v="3"/>
    <x v="14"/>
    <x v="59"/>
    <n v="7"/>
    <s v="GEO1001"/>
    <s v="GEO1001"/>
    <x v="1"/>
    <x v="5"/>
    <s v="Q4 2020"/>
  </r>
  <r>
    <x v="3"/>
    <x v="15"/>
    <x v="60"/>
    <n v="7"/>
    <s v="GEO1001"/>
    <s v="GEO1001"/>
    <x v="1"/>
    <x v="5"/>
    <s v="Q4 2020"/>
  </r>
  <r>
    <x v="4"/>
    <x v="16"/>
    <x v="61"/>
    <n v="7"/>
    <s v="GEO1001"/>
    <s v="GEO1001"/>
    <x v="1"/>
    <x v="0"/>
    <s v="Q1 2020"/>
  </r>
  <r>
    <x v="4"/>
    <x v="17"/>
    <x v="62"/>
    <n v="7"/>
    <s v="GEO1001"/>
    <s v="GEO1001"/>
    <x v="1"/>
    <x v="0"/>
    <s v="Q1 2020"/>
  </r>
  <r>
    <x v="4"/>
    <x v="0"/>
    <x v="63"/>
    <n v="7"/>
    <s v="GEO1001"/>
    <s v="GEO1001"/>
    <x v="1"/>
    <x v="0"/>
    <s v="Q1 2020"/>
  </r>
  <r>
    <x v="4"/>
    <x v="1"/>
    <x v="64"/>
    <n v="7"/>
    <s v="GEO1001"/>
    <s v="GEO1001"/>
    <x v="1"/>
    <x v="1"/>
    <s v="Q2 2020"/>
  </r>
  <r>
    <x v="4"/>
    <x v="2"/>
    <x v="65"/>
    <n v="7"/>
    <s v="GEO1001"/>
    <s v="GEO1001"/>
    <x v="1"/>
    <x v="1"/>
    <s v="Q2 2020"/>
  </r>
  <r>
    <x v="4"/>
    <x v="3"/>
    <x v="66"/>
    <n v="7"/>
    <s v="GEO1001"/>
    <s v="GEO1001"/>
    <x v="1"/>
    <x v="1"/>
    <s v="Q2 2020"/>
  </r>
  <r>
    <x v="4"/>
    <x v="4"/>
    <x v="67"/>
    <n v="7"/>
    <s v="GEO1001"/>
    <s v="GEO1001"/>
    <x v="1"/>
    <x v="2"/>
    <s v="Q3 2020"/>
  </r>
  <r>
    <x v="4"/>
    <x v="5"/>
    <x v="68"/>
    <n v="7"/>
    <s v="GEO1001"/>
    <s v="GEO1001"/>
    <x v="1"/>
    <x v="2"/>
    <s v="Q3 2020"/>
  </r>
  <r>
    <x v="4"/>
    <x v="6"/>
    <x v="69"/>
    <n v="7"/>
    <s v="GEO1001"/>
    <s v="GEO1001"/>
    <x v="1"/>
    <x v="2"/>
    <s v="Q3 2020"/>
  </r>
  <r>
    <x v="4"/>
    <x v="7"/>
    <x v="70"/>
    <n v="7"/>
    <s v="GEO1001"/>
    <s v="GEO1001"/>
    <x v="1"/>
    <x v="3"/>
    <s v="Q4 2020"/>
  </r>
  <r>
    <x v="4"/>
    <x v="8"/>
    <x v="71"/>
    <n v="7"/>
    <s v="GEO1001"/>
    <s v="GEO1001"/>
    <x v="1"/>
    <x v="3"/>
    <s v="Q4 2020"/>
  </r>
  <r>
    <x v="4"/>
    <x v="9"/>
    <x v="63"/>
    <n v="7"/>
    <s v="GEO1001"/>
    <s v="GEO1001"/>
    <x v="1"/>
    <x v="3"/>
    <s v="Q4 2020"/>
  </r>
  <r>
    <x v="4"/>
    <x v="10"/>
    <x v="72"/>
    <n v="7"/>
    <s v="GEO1001"/>
    <s v="GEO1001"/>
    <x v="1"/>
    <x v="4"/>
    <s v="Q2 2021"/>
  </r>
  <r>
    <x v="4"/>
    <x v="11"/>
    <x v="73"/>
    <n v="7"/>
    <s v="GEO1001"/>
    <s v="GEO1001"/>
    <x v="1"/>
    <x v="4"/>
    <s v="Q2 2021"/>
  </r>
  <r>
    <x v="4"/>
    <x v="12"/>
    <x v="74"/>
    <n v="7"/>
    <s v="GEO1001"/>
    <s v="GEO1001"/>
    <x v="1"/>
    <x v="4"/>
    <s v="Q2 2021"/>
  </r>
  <r>
    <x v="4"/>
    <x v="13"/>
    <x v="75"/>
    <n v="7"/>
    <s v="GEO1001"/>
    <s v="GEO1001"/>
    <x v="1"/>
    <x v="5"/>
    <s v="Q4 2020"/>
  </r>
  <r>
    <x v="4"/>
    <x v="14"/>
    <x v="76"/>
    <n v="7"/>
    <s v="GEO1001"/>
    <s v="GEO1001"/>
    <x v="1"/>
    <x v="5"/>
    <s v="Q4 2020"/>
  </r>
  <r>
    <x v="4"/>
    <x v="15"/>
    <x v="77"/>
    <n v="7"/>
    <s v="GEO1001"/>
    <s v="GEO1001"/>
    <x v="1"/>
    <x v="5"/>
    <s v="Q4 2020"/>
  </r>
  <r>
    <x v="5"/>
    <x v="6"/>
    <x v="78"/>
    <n v="7"/>
    <s v="GEO1004"/>
    <s v="GEO1004"/>
    <x v="0"/>
    <x v="2"/>
    <s v="Q3 2020"/>
  </r>
  <r>
    <x v="5"/>
    <x v="7"/>
    <x v="79"/>
    <n v="7"/>
    <s v="GEO1004"/>
    <s v="GEO1004"/>
    <x v="0"/>
    <x v="3"/>
    <s v="Q4 2020"/>
  </r>
  <r>
    <x v="5"/>
    <x v="8"/>
    <x v="80"/>
    <n v="7"/>
    <s v="GEO1004"/>
    <s v="GEO1004"/>
    <x v="0"/>
    <x v="3"/>
    <s v="Q4 2020"/>
  </r>
  <r>
    <x v="5"/>
    <x v="9"/>
    <x v="81"/>
    <n v="7"/>
    <s v="GEO1004"/>
    <s v="GEO1004"/>
    <x v="0"/>
    <x v="3"/>
    <s v="Q4 2020"/>
  </r>
  <r>
    <x v="5"/>
    <x v="13"/>
    <x v="82"/>
    <n v="7"/>
    <s v="GEO1004"/>
    <s v="GEO1004"/>
    <x v="0"/>
    <x v="5"/>
    <s v="Q4 2020"/>
  </r>
  <r>
    <x v="5"/>
    <x v="14"/>
    <x v="83"/>
    <n v="7"/>
    <s v="GEO1004"/>
    <s v="GEO1004"/>
    <x v="0"/>
    <x v="5"/>
    <s v="Q4 2020"/>
  </r>
  <r>
    <x v="5"/>
    <x v="15"/>
    <x v="84"/>
    <n v="7"/>
    <s v="GEO1004"/>
    <s v="GEO1004"/>
    <x v="0"/>
    <x v="5"/>
    <s v="Q4 2020"/>
  </r>
  <r>
    <x v="6"/>
    <x v="16"/>
    <x v="85"/>
    <n v="7"/>
    <s v="GEO1004"/>
    <s v="GEO1004"/>
    <x v="0"/>
    <x v="0"/>
    <s v="Q1 2020"/>
  </r>
  <r>
    <x v="6"/>
    <x v="17"/>
    <x v="86"/>
    <n v="7"/>
    <s v="GEO1004"/>
    <s v="GEO1004"/>
    <x v="0"/>
    <x v="0"/>
    <s v="Q1 2020"/>
  </r>
  <r>
    <x v="6"/>
    <x v="0"/>
    <x v="87"/>
    <n v="7"/>
    <s v="GEO1004"/>
    <s v="GEO1004"/>
    <x v="0"/>
    <x v="0"/>
    <s v="Q1 2020"/>
  </r>
  <r>
    <x v="6"/>
    <x v="1"/>
    <x v="88"/>
    <n v="7"/>
    <s v="GEO1004"/>
    <s v="GEO1004"/>
    <x v="0"/>
    <x v="1"/>
    <s v="Q2 2020"/>
  </r>
  <r>
    <x v="6"/>
    <x v="2"/>
    <x v="89"/>
    <n v="7"/>
    <s v="GEO1004"/>
    <s v="GEO1004"/>
    <x v="0"/>
    <x v="1"/>
    <s v="Q2 2020"/>
  </r>
  <r>
    <x v="6"/>
    <x v="3"/>
    <x v="90"/>
    <n v="7"/>
    <s v="GEO1004"/>
    <s v="GEO1004"/>
    <x v="0"/>
    <x v="1"/>
    <s v="Q2 2020"/>
  </r>
  <r>
    <x v="6"/>
    <x v="4"/>
    <x v="91"/>
    <n v="7"/>
    <s v="GEO1004"/>
    <s v="GEO1004"/>
    <x v="0"/>
    <x v="2"/>
    <s v="Q3 2020"/>
  </r>
  <r>
    <x v="6"/>
    <x v="5"/>
    <x v="92"/>
    <n v="7"/>
    <s v="GEO1004"/>
    <s v="GEO1004"/>
    <x v="0"/>
    <x v="2"/>
    <s v="Q3 2020"/>
  </r>
  <r>
    <x v="6"/>
    <x v="6"/>
    <x v="48"/>
    <n v="7"/>
    <s v="GEO1004"/>
    <s v="GEO1004"/>
    <x v="0"/>
    <x v="2"/>
    <s v="Q3 2020"/>
  </r>
  <r>
    <x v="6"/>
    <x v="7"/>
    <x v="35"/>
    <n v="7"/>
    <s v="GEO1004"/>
    <s v="GEO1004"/>
    <x v="0"/>
    <x v="3"/>
    <s v="Q4 2020"/>
  </r>
  <r>
    <x v="6"/>
    <x v="8"/>
    <x v="93"/>
    <n v="7"/>
    <s v="GEO1004"/>
    <s v="GEO1004"/>
    <x v="0"/>
    <x v="3"/>
    <s v="Q4 2020"/>
  </r>
  <r>
    <x v="6"/>
    <x v="9"/>
    <x v="94"/>
    <n v="7"/>
    <s v="GEO1004"/>
    <s v="GEO1004"/>
    <x v="0"/>
    <x v="3"/>
    <s v="Q4 2020"/>
  </r>
  <r>
    <x v="6"/>
    <x v="10"/>
    <x v="95"/>
    <n v="7"/>
    <s v="GEO1004"/>
    <s v="GEO1004"/>
    <x v="0"/>
    <x v="4"/>
    <s v="Q2 2021"/>
  </r>
  <r>
    <x v="6"/>
    <x v="11"/>
    <x v="96"/>
    <n v="7"/>
    <s v="GEO1004"/>
    <s v="GEO1004"/>
    <x v="0"/>
    <x v="4"/>
    <s v="Q2 2021"/>
  </r>
  <r>
    <x v="6"/>
    <x v="12"/>
    <x v="97"/>
    <n v="7"/>
    <s v="GEO1004"/>
    <s v="GEO1004"/>
    <x v="0"/>
    <x v="4"/>
    <s v="Q2 2021"/>
  </r>
  <r>
    <x v="6"/>
    <x v="13"/>
    <x v="98"/>
    <n v="7"/>
    <s v="GEO1004"/>
    <s v="GEO1004"/>
    <x v="0"/>
    <x v="5"/>
    <s v="Q4 2020"/>
  </r>
  <r>
    <x v="6"/>
    <x v="14"/>
    <x v="2"/>
    <n v="7"/>
    <s v="GEO1004"/>
    <s v="GEO1004"/>
    <x v="0"/>
    <x v="5"/>
    <s v="Q4 2020"/>
  </r>
  <r>
    <x v="6"/>
    <x v="15"/>
    <x v="99"/>
    <n v="7"/>
    <s v="GEO1004"/>
    <s v="GEO1004"/>
    <x v="0"/>
    <x v="5"/>
    <s v="Q4 2020"/>
  </r>
  <r>
    <x v="7"/>
    <x v="16"/>
    <x v="100"/>
    <n v="7"/>
    <s v="GEO1002"/>
    <s v="GEO1002"/>
    <x v="3"/>
    <x v="0"/>
    <s v="Q1 2020"/>
  </r>
  <r>
    <x v="7"/>
    <x v="17"/>
    <x v="101"/>
    <n v="7"/>
    <s v="GEO1002"/>
    <s v="GEO1002"/>
    <x v="3"/>
    <x v="0"/>
    <s v="Q1 2020"/>
  </r>
  <r>
    <x v="7"/>
    <x v="0"/>
    <x v="102"/>
    <n v="7"/>
    <s v="GEO1002"/>
    <s v="GEO1002"/>
    <x v="3"/>
    <x v="0"/>
    <s v="Q1 2020"/>
  </r>
  <r>
    <x v="7"/>
    <x v="1"/>
    <x v="103"/>
    <n v="7"/>
    <s v="GEO1002"/>
    <s v="GEO1002"/>
    <x v="3"/>
    <x v="1"/>
    <s v="Q2 2020"/>
  </r>
  <r>
    <x v="7"/>
    <x v="2"/>
    <x v="104"/>
    <n v="7"/>
    <s v="GEO1002"/>
    <s v="GEO1002"/>
    <x v="3"/>
    <x v="1"/>
    <s v="Q2 2020"/>
  </r>
  <r>
    <x v="7"/>
    <x v="3"/>
    <x v="105"/>
    <n v="7"/>
    <s v="GEO1002"/>
    <s v="GEO1002"/>
    <x v="3"/>
    <x v="1"/>
    <s v="Q2 2020"/>
  </r>
  <r>
    <x v="7"/>
    <x v="4"/>
    <x v="106"/>
    <n v="7"/>
    <s v="GEO1002"/>
    <s v="GEO1002"/>
    <x v="3"/>
    <x v="2"/>
    <s v="Q3 2020"/>
  </r>
  <r>
    <x v="7"/>
    <x v="5"/>
    <x v="107"/>
    <n v="7"/>
    <s v="GEO1002"/>
    <s v="GEO1002"/>
    <x v="3"/>
    <x v="2"/>
    <s v="Q3 2020"/>
  </r>
  <r>
    <x v="7"/>
    <x v="6"/>
    <x v="108"/>
    <n v="7"/>
    <s v="GEO1002"/>
    <s v="GEO1002"/>
    <x v="3"/>
    <x v="2"/>
    <s v="Q3 2020"/>
  </r>
  <r>
    <x v="7"/>
    <x v="7"/>
    <x v="108"/>
    <n v="7"/>
    <s v="GEO1002"/>
    <s v="GEO1002"/>
    <x v="3"/>
    <x v="3"/>
    <s v="Q4 2020"/>
  </r>
  <r>
    <x v="7"/>
    <x v="8"/>
    <x v="109"/>
    <n v="7"/>
    <s v="GEO1002"/>
    <s v="GEO1002"/>
    <x v="3"/>
    <x v="3"/>
    <s v="Q4 2020"/>
  </r>
  <r>
    <x v="7"/>
    <x v="9"/>
    <x v="110"/>
    <n v="7"/>
    <s v="GEO1002"/>
    <s v="GEO1002"/>
    <x v="3"/>
    <x v="3"/>
    <s v="Q4 2020"/>
  </r>
  <r>
    <x v="7"/>
    <x v="10"/>
    <x v="111"/>
    <n v="7"/>
    <s v="GEO1002"/>
    <s v="GEO1002"/>
    <x v="3"/>
    <x v="4"/>
    <s v="Q2 2021"/>
  </r>
  <r>
    <x v="7"/>
    <x v="11"/>
    <x v="112"/>
    <n v="7"/>
    <s v="GEO1002"/>
    <s v="GEO1002"/>
    <x v="3"/>
    <x v="4"/>
    <s v="Q2 2021"/>
  </r>
  <r>
    <x v="7"/>
    <x v="12"/>
    <x v="113"/>
    <n v="7"/>
    <s v="GEO1002"/>
    <s v="GEO1002"/>
    <x v="3"/>
    <x v="4"/>
    <s v="Q2 2021"/>
  </r>
  <r>
    <x v="7"/>
    <x v="13"/>
    <x v="114"/>
    <n v="7"/>
    <s v="GEO1002"/>
    <s v="GEO1002"/>
    <x v="3"/>
    <x v="5"/>
    <s v="Q4 2020"/>
  </r>
  <r>
    <x v="7"/>
    <x v="14"/>
    <x v="115"/>
    <n v="7"/>
    <s v="GEO1002"/>
    <s v="GEO1002"/>
    <x v="3"/>
    <x v="5"/>
    <s v="Q4 2020"/>
  </r>
  <r>
    <x v="7"/>
    <x v="15"/>
    <x v="45"/>
    <n v="7"/>
    <s v="GEO1002"/>
    <s v="GEO1002"/>
    <x v="3"/>
    <x v="5"/>
    <s v="Q4 2020"/>
  </r>
  <r>
    <x v="8"/>
    <x v="16"/>
    <x v="116"/>
    <n v="7"/>
    <s v="GEO1004"/>
    <s v="GEO1004"/>
    <x v="0"/>
    <x v="0"/>
    <s v="Q1 2020"/>
  </r>
  <r>
    <x v="8"/>
    <x v="17"/>
    <x v="117"/>
    <n v="7"/>
    <s v="GEO1004"/>
    <s v="GEO1004"/>
    <x v="0"/>
    <x v="0"/>
    <s v="Q1 2020"/>
  </r>
  <r>
    <x v="8"/>
    <x v="0"/>
    <x v="118"/>
    <n v="7"/>
    <s v="GEO1004"/>
    <s v="GEO1004"/>
    <x v="0"/>
    <x v="0"/>
    <s v="Q1 2020"/>
  </r>
  <r>
    <x v="8"/>
    <x v="1"/>
    <x v="119"/>
    <n v="7"/>
    <s v="GEO1004"/>
    <s v="GEO1004"/>
    <x v="0"/>
    <x v="1"/>
    <s v="Q2 2020"/>
  </r>
  <r>
    <x v="8"/>
    <x v="2"/>
    <x v="120"/>
    <n v="7"/>
    <s v="GEO1004"/>
    <s v="GEO1004"/>
    <x v="0"/>
    <x v="1"/>
    <s v="Q2 2020"/>
  </r>
  <r>
    <x v="8"/>
    <x v="3"/>
    <x v="121"/>
    <n v="7"/>
    <s v="GEO1004"/>
    <s v="GEO1004"/>
    <x v="0"/>
    <x v="1"/>
    <s v="Q2 2020"/>
  </r>
  <r>
    <x v="8"/>
    <x v="4"/>
    <x v="122"/>
    <n v="7"/>
    <s v="GEO1004"/>
    <s v="GEO1004"/>
    <x v="0"/>
    <x v="2"/>
    <s v="Q3 2020"/>
  </r>
  <r>
    <x v="8"/>
    <x v="5"/>
    <x v="123"/>
    <n v="7"/>
    <s v="GEO1004"/>
    <s v="GEO1004"/>
    <x v="0"/>
    <x v="2"/>
    <s v="Q3 2020"/>
  </r>
  <r>
    <x v="8"/>
    <x v="6"/>
    <x v="121"/>
    <n v="7"/>
    <s v="GEO1004"/>
    <s v="GEO1004"/>
    <x v="0"/>
    <x v="2"/>
    <s v="Q3 2020"/>
  </r>
  <r>
    <x v="8"/>
    <x v="7"/>
    <x v="124"/>
    <n v="7"/>
    <s v="GEO1004"/>
    <s v="GEO1004"/>
    <x v="0"/>
    <x v="3"/>
    <s v="Q4 2020"/>
  </r>
  <r>
    <x v="8"/>
    <x v="8"/>
    <x v="125"/>
    <n v="7"/>
    <s v="GEO1004"/>
    <s v="GEO1004"/>
    <x v="0"/>
    <x v="3"/>
    <s v="Q4 2020"/>
  </r>
  <r>
    <x v="8"/>
    <x v="9"/>
    <x v="126"/>
    <n v="7"/>
    <s v="GEO1004"/>
    <s v="GEO1004"/>
    <x v="0"/>
    <x v="3"/>
    <s v="Q4 2020"/>
  </r>
  <r>
    <x v="8"/>
    <x v="10"/>
    <x v="127"/>
    <n v="7"/>
    <s v="GEO1004"/>
    <s v="GEO1004"/>
    <x v="0"/>
    <x v="4"/>
    <s v="Q2 2021"/>
  </r>
  <r>
    <x v="8"/>
    <x v="11"/>
    <x v="128"/>
    <n v="7"/>
    <s v="GEO1004"/>
    <s v="GEO1004"/>
    <x v="0"/>
    <x v="4"/>
    <s v="Q2 2021"/>
  </r>
  <r>
    <x v="8"/>
    <x v="12"/>
    <x v="118"/>
    <n v="7"/>
    <s v="GEO1004"/>
    <s v="GEO1004"/>
    <x v="0"/>
    <x v="4"/>
    <s v="Q2 2021"/>
  </r>
  <r>
    <x v="8"/>
    <x v="13"/>
    <x v="129"/>
    <n v="7"/>
    <s v="GEO1004"/>
    <s v="GEO1004"/>
    <x v="0"/>
    <x v="5"/>
    <s v="Q4 2020"/>
  </r>
  <r>
    <x v="8"/>
    <x v="14"/>
    <x v="130"/>
    <n v="7"/>
    <s v="GEO1004"/>
    <s v="GEO1004"/>
    <x v="0"/>
    <x v="5"/>
    <s v="Q4 2020"/>
  </r>
  <r>
    <x v="8"/>
    <x v="15"/>
    <x v="131"/>
    <n v="7"/>
    <s v="GEO1004"/>
    <s v="GEO1004"/>
    <x v="0"/>
    <x v="5"/>
    <s v="Q4 2020"/>
  </r>
  <r>
    <x v="9"/>
    <x v="16"/>
    <x v="132"/>
    <n v="7"/>
    <s v="GEO1003"/>
    <s v="GEO1003"/>
    <x v="2"/>
    <x v="0"/>
    <s v="Q1 2020"/>
  </r>
  <r>
    <x v="9"/>
    <x v="17"/>
    <x v="133"/>
    <n v="7"/>
    <s v="GEO1003"/>
    <s v="GEO1003"/>
    <x v="2"/>
    <x v="0"/>
    <s v="Q1 2020"/>
  </r>
  <r>
    <x v="9"/>
    <x v="0"/>
    <x v="134"/>
    <n v="7"/>
    <s v="GEO1003"/>
    <s v="GEO1003"/>
    <x v="2"/>
    <x v="0"/>
    <s v="Q1 2020"/>
  </r>
  <r>
    <x v="9"/>
    <x v="1"/>
    <x v="135"/>
    <n v="7"/>
    <s v="GEO1003"/>
    <s v="GEO1003"/>
    <x v="2"/>
    <x v="1"/>
    <s v="Q2 2020"/>
  </r>
  <r>
    <x v="9"/>
    <x v="2"/>
    <x v="136"/>
    <n v="7"/>
    <s v="GEO1003"/>
    <s v="GEO1003"/>
    <x v="2"/>
    <x v="1"/>
    <s v="Q2 2020"/>
  </r>
  <r>
    <x v="9"/>
    <x v="3"/>
    <x v="137"/>
    <n v="7"/>
    <s v="GEO1003"/>
    <s v="GEO1003"/>
    <x v="2"/>
    <x v="1"/>
    <s v="Q2 2020"/>
  </r>
  <r>
    <x v="9"/>
    <x v="4"/>
    <x v="138"/>
    <n v="7"/>
    <s v="GEO1003"/>
    <s v="GEO1003"/>
    <x v="2"/>
    <x v="2"/>
    <s v="Q3 2020"/>
  </r>
  <r>
    <x v="9"/>
    <x v="5"/>
    <x v="132"/>
    <n v="7"/>
    <s v="GEO1003"/>
    <s v="GEO1003"/>
    <x v="2"/>
    <x v="2"/>
    <s v="Q3 2020"/>
  </r>
  <r>
    <x v="9"/>
    <x v="6"/>
    <x v="139"/>
    <n v="7"/>
    <s v="GEO1003"/>
    <s v="GEO1003"/>
    <x v="2"/>
    <x v="2"/>
    <s v="Q3 2020"/>
  </r>
  <r>
    <x v="9"/>
    <x v="7"/>
    <x v="140"/>
    <n v="7"/>
    <s v="GEO1003"/>
    <s v="GEO1003"/>
    <x v="2"/>
    <x v="3"/>
    <s v="Q4 2020"/>
  </r>
  <r>
    <x v="9"/>
    <x v="8"/>
    <x v="141"/>
    <n v="7"/>
    <s v="GEO1003"/>
    <s v="GEO1003"/>
    <x v="2"/>
    <x v="3"/>
    <s v="Q4 2020"/>
  </r>
  <r>
    <x v="9"/>
    <x v="9"/>
    <x v="142"/>
    <n v="7"/>
    <s v="GEO1003"/>
    <s v="GEO1003"/>
    <x v="2"/>
    <x v="3"/>
    <s v="Q4 2020"/>
  </r>
  <r>
    <x v="9"/>
    <x v="10"/>
    <x v="143"/>
    <n v="7"/>
    <s v="GEO1003"/>
    <s v="GEO1003"/>
    <x v="2"/>
    <x v="4"/>
    <s v="Q2 2021"/>
  </r>
  <r>
    <x v="9"/>
    <x v="11"/>
    <x v="144"/>
    <n v="7"/>
    <s v="GEO1003"/>
    <s v="GEO1003"/>
    <x v="2"/>
    <x v="4"/>
    <s v="Q2 2021"/>
  </r>
  <r>
    <x v="9"/>
    <x v="12"/>
    <x v="145"/>
    <n v="7"/>
    <s v="GEO1003"/>
    <s v="GEO1003"/>
    <x v="2"/>
    <x v="4"/>
    <s v="Q2 2021"/>
  </r>
  <r>
    <x v="9"/>
    <x v="13"/>
    <x v="146"/>
    <n v="7"/>
    <s v="GEO1003"/>
    <s v="GEO1003"/>
    <x v="2"/>
    <x v="5"/>
    <s v="Q4 2020"/>
  </r>
  <r>
    <x v="9"/>
    <x v="14"/>
    <x v="3"/>
    <n v="7"/>
    <s v="GEO1003"/>
    <s v="GEO1003"/>
    <x v="2"/>
    <x v="5"/>
    <s v="Q4 2020"/>
  </r>
  <r>
    <x v="9"/>
    <x v="15"/>
    <x v="147"/>
    <n v="7"/>
    <s v="GEO1003"/>
    <s v="GEO1003"/>
    <x v="2"/>
    <x v="5"/>
    <s v="Q4 2020"/>
  </r>
  <r>
    <x v="10"/>
    <x v="16"/>
    <x v="148"/>
    <n v="7"/>
    <s v="GEO1001"/>
    <s v="GEO1001"/>
    <x v="1"/>
    <x v="0"/>
    <s v="Q1 2020"/>
  </r>
  <r>
    <x v="10"/>
    <x v="17"/>
    <x v="149"/>
    <n v="7"/>
    <s v="GEO1001"/>
    <s v="GEO1001"/>
    <x v="1"/>
    <x v="0"/>
    <s v="Q1 2020"/>
  </r>
  <r>
    <x v="10"/>
    <x v="0"/>
    <x v="150"/>
    <n v="7"/>
    <s v="GEO1001"/>
    <s v="GEO1001"/>
    <x v="1"/>
    <x v="0"/>
    <s v="Q1 2020"/>
  </r>
  <r>
    <x v="10"/>
    <x v="1"/>
    <x v="151"/>
    <n v="7"/>
    <s v="GEO1001"/>
    <s v="GEO1001"/>
    <x v="1"/>
    <x v="1"/>
    <s v="Q2 2020"/>
  </r>
  <r>
    <x v="10"/>
    <x v="2"/>
    <x v="152"/>
    <n v="7"/>
    <s v="GEO1001"/>
    <s v="GEO1001"/>
    <x v="1"/>
    <x v="1"/>
    <s v="Q2 2020"/>
  </r>
  <r>
    <x v="10"/>
    <x v="3"/>
    <x v="153"/>
    <n v="7"/>
    <s v="GEO1001"/>
    <s v="GEO1001"/>
    <x v="1"/>
    <x v="1"/>
    <s v="Q2 2020"/>
  </r>
  <r>
    <x v="10"/>
    <x v="4"/>
    <x v="154"/>
    <n v="7"/>
    <s v="GEO1001"/>
    <s v="GEO1001"/>
    <x v="1"/>
    <x v="2"/>
    <s v="Q3 2020"/>
  </r>
  <r>
    <x v="10"/>
    <x v="5"/>
    <x v="155"/>
    <n v="7"/>
    <s v="GEO1001"/>
    <s v="GEO1001"/>
    <x v="1"/>
    <x v="2"/>
    <s v="Q3 2020"/>
  </r>
  <r>
    <x v="10"/>
    <x v="6"/>
    <x v="156"/>
    <n v="7"/>
    <s v="GEO1001"/>
    <s v="GEO1001"/>
    <x v="1"/>
    <x v="2"/>
    <s v="Q3 2020"/>
  </r>
  <r>
    <x v="10"/>
    <x v="7"/>
    <x v="157"/>
    <n v="7"/>
    <s v="GEO1001"/>
    <s v="GEO1001"/>
    <x v="1"/>
    <x v="3"/>
    <s v="Q4 2020"/>
  </r>
  <r>
    <x v="10"/>
    <x v="8"/>
    <x v="158"/>
    <n v="7"/>
    <s v="GEO1001"/>
    <s v="GEO1001"/>
    <x v="1"/>
    <x v="3"/>
    <s v="Q4 2020"/>
  </r>
  <r>
    <x v="10"/>
    <x v="9"/>
    <x v="158"/>
    <n v="7"/>
    <s v="GEO1001"/>
    <s v="GEO1001"/>
    <x v="1"/>
    <x v="3"/>
    <s v="Q4 2020"/>
  </r>
  <r>
    <x v="10"/>
    <x v="10"/>
    <x v="159"/>
    <n v="7"/>
    <s v="GEO1001"/>
    <s v="GEO1001"/>
    <x v="1"/>
    <x v="4"/>
    <s v="Q2 2021"/>
  </r>
  <r>
    <x v="10"/>
    <x v="11"/>
    <x v="160"/>
    <n v="7"/>
    <s v="GEO1001"/>
    <s v="GEO1001"/>
    <x v="1"/>
    <x v="4"/>
    <s v="Q2 2021"/>
  </r>
  <r>
    <x v="10"/>
    <x v="12"/>
    <x v="161"/>
    <n v="7"/>
    <s v="GEO1001"/>
    <s v="GEO1001"/>
    <x v="1"/>
    <x v="4"/>
    <s v="Q2 2021"/>
  </r>
  <r>
    <x v="10"/>
    <x v="13"/>
    <x v="162"/>
    <n v="7"/>
    <s v="GEO1001"/>
    <s v="GEO1001"/>
    <x v="1"/>
    <x v="5"/>
    <s v="Q4 2020"/>
  </r>
  <r>
    <x v="10"/>
    <x v="14"/>
    <x v="163"/>
    <n v="7"/>
    <s v="GEO1001"/>
    <s v="GEO1001"/>
    <x v="1"/>
    <x v="5"/>
    <s v="Q4 2020"/>
  </r>
  <r>
    <x v="10"/>
    <x v="15"/>
    <x v="164"/>
    <n v="7"/>
    <s v="GEO1001"/>
    <s v="GEO1001"/>
    <x v="1"/>
    <x v="5"/>
    <s v="Q4 2020"/>
  </r>
  <r>
    <x v="11"/>
    <x v="16"/>
    <x v="165"/>
    <n v="7"/>
    <s v="GEO1001"/>
    <s v="GEO1001"/>
    <x v="1"/>
    <x v="0"/>
    <s v="Q1 2020"/>
  </r>
  <r>
    <x v="11"/>
    <x v="17"/>
    <x v="166"/>
    <n v="7"/>
    <s v="GEO1001"/>
    <s v="GEO1001"/>
    <x v="1"/>
    <x v="0"/>
    <s v="Q1 2020"/>
  </r>
  <r>
    <x v="11"/>
    <x v="0"/>
    <x v="167"/>
    <n v="7"/>
    <s v="GEO1001"/>
    <s v="GEO1001"/>
    <x v="1"/>
    <x v="0"/>
    <s v="Q1 2020"/>
  </r>
  <r>
    <x v="11"/>
    <x v="1"/>
    <x v="168"/>
    <n v="7"/>
    <s v="GEO1001"/>
    <s v="GEO1001"/>
    <x v="1"/>
    <x v="1"/>
    <s v="Q2 2020"/>
  </r>
  <r>
    <x v="11"/>
    <x v="2"/>
    <x v="169"/>
    <n v="7"/>
    <s v="GEO1001"/>
    <s v="GEO1001"/>
    <x v="1"/>
    <x v="1"/>
    <s v="Q2 2020"/>
  </r>
  <r>
    <x v="11"/>
    <x v="3"/>
    <x v="170"/>
    <n v="7"/>
    <s v="GEO1001"/>
    <s v="GEO1001"/>
    <x v="1"/>
    <x v="1"/>
    <s v="Q2 2020"/>
  </r>
  <r>
    <x v="11"/>
    <x v="4"/>
    <x v="171"/>
    <n v="7"/>
    <s v="GEO1001"/>
    <s v="GEO1001"/>
    <x v="1"/>
    <x v="2"/>
    <s v="Q3 2020"/>
  </r>
  <r>
    <x v="11"/>
    <x v="5"/>
    <x v="165"/>
    <n v="7"/>
    <s v="GEO1001"/>
    <s v="GEO1001"/>
    <x v="1"/>
    <x v="2"/>
    <s v="Q3 2020"/>
  </r>
  <r>
    <x v="11"/>
    <x v="6"/>
    <x v="172"/>
    <n v="7"/>
    <s v="GEO1001"/>
    <s v="GEO1001"/>
    <x v="1"/>
    <x v="2"/>
    <s v="Q3 2020"/>
  </r>
  <r>
    <x v="11"/>
    <x v="7"/>
    <x v="173"/>
    <n v="7"/>
    <s v="GEO1001"/>
    <s v="GEO1001"/>
    <x v="1"/>
    <x v="3"/>
    <s v="Q4 2020"/>
  </r>
  <r>
    <x v="11"/>
    <x v="8"/>
    <x v="174"/>
    <n v="7"/>
    <s v="GEO1001"/>
    <s v="GEO1001"/>
    <x v="1"/>
    <x v="3"/>
    <s v="Q4 2020"/>
  </r>
  <r>
    <x v="11"/>
    <x v="9"/>
    <x v="175"/>
    <n v="7"/>
    <s v="GEO1001"/>
    <s v="GEO1001"/>
    <x v="1"/>
    <x v="3"/>
    <s v="Q4 2020"/>
  </r>
  <r>
    <x v="11"/>
    <x v="10"/>
    <x v="176"/>
    <n v="7"/>
    <s v="GEO1001"/>
    <s v="GEO1001"/>
    <x v="1"/>
    <x v="4"/>
    <s v="Q2 2021"/>
  </r>
  <r>
    <x v="11"/>
    <x v="11"/>
    <x v="177"/>
    <n v="7"/>
    <s v="GEO1001"/>
    <s v="GEO1001"/>
    <x v="1"/>
    <x v="4"/>
    <s v="Q2 2021"/>
  </r>
  <r>
    <x v="11"/>
    <x v="12"/>
    <x v="178"/>
    <n v="7"/>
    <s v="GEO1001"/>
    <s v="GEO1001"/>
    <x v="1"/>
    <x v="4"/>
    <s v="Q2 2021"/>
  </r>
  <r>
    <x v="11"/>
    <x v="13"/>
    <x v="179"/>
    <n v="7"/>
    <s v="GEO1001"/>
    <s v="GEO1001"/>
    <x v="1"/>
    <x v="5"/>
    <s v="Q4 2020"/>
  </r>
  <r>
    <x v="11"/>
    <x v="14"/>
    <x v="180"/>
    <n v="7"/>
    <s v="GEO1001"/>
    <s v="GEO1001"/>
    <x v="1"/>
    <x v="5"/>
    <s v="Q4 2020"/>
  </r>
  <r>
    <x v="11"/>
    <x v="15"/>
    <x v="181"/>
    <n v="7"/>
    <s v="GEO1001"/>
    <s v="GEO1001"/>
    <x v="1"/>
    <x v="5"/>
    <s v="Q4 2020"/>
  </r>
  <r>
    <x v="12"/>
    <x v="17"/>
    <x v="182"/>
    <n v="7"/>
    <s v="GEO1002"/>
    <s v="GEO1002"/>
    <x v="3"/>
    <x v="0"/>
    <s v="Q1 2020"/>
  </r>
  <r>
    <x v="12"/>
    <x v="0"/>
    <x v="183"/>
    <n v="7"/>
    <s v="GEO1002"/>
    <s v="GEO1002"/>
    <x v="3"/>
    <x v="0"/>
    <s v="Q1 2020"/>
  </r>
  <r>
    <x v="12"/>
    <x v="1"/>
    <x v="184"/>
    <n v="7"/>
    <s v="GEO1002"/>
    <s v="GEO1002"/>
    <x v="3"/>
    <x v="1"/>
    <s v="Q2 2020"/>
  </r>
  <r>
    <x v="12"/>
    <x v="2"/>
    <x v="185"/>
    <n v="7"/>
    <s v="GEO1002"/>
    <s v="GEO1002"/>
    <x v="3"/>
    <x v="1"/>
    <s v="Q2 2020"/>
  </r>
  <r>
    <x v="12"/>
    <x v="3"/>
    <x v="186"/>
    <n v="7"/>
    <s v="GEO1002"/>
    <s v="GEO1002"/>
    <x v="3"/>
    <x v="1"/>
    <s v="Q2 2020"/>
  </r>
  <r>
    <x v="12"/>
    <x v="4"/>
    <x v="187"/>
    <n v="7"/>
    <s v="GEO1002"/>
    <s v="GEO1002"/>
    <x v="3"/>
    <x v="2"/>
    <s v="Q3 2020"/>
  </r>
  <r>
    <x v="12"/>
    <x v="5"/>
    <x v="188"/>
    <n v="7"/>
    <s v="GEO1002"/>
    <s v="GEO1002"/>
    <x v="3"/>
    <x v="2"/>
    <s v="Q3 2020"/>
  </r>
  <r>
    <x v="12"/>
    <x v="6"/>
    <x v="189"/>
    <n v="7"/>
    <s v="GEO1002"/>
    <s v="GEO1002"/>
    <x v="3"/>
    <x v="2"/>
    <s v="Q3 2020"/>
  </r>
  <r>
    <x v="12"/>
    <x v="7"/>
    <x v="190"/>
    <n v="7"/>
    <s v="GEO1002"/>
    <s v="GEO1002"/>
    <x v="3"/>
    <x v="3"/>
    <s v="Q4 2020"/>
  </r>
  <r>
    <x v="12"/>
    <x v="8"/>
    <x v="191"/>
    <n v="7"/>
    <s v="GEO1002"/>
    <s v="GEO1002"/>
    <x v="3"/>
    <x v="3"/>
    <s v="Q4 2020"/>
  </r>
  <r>
    <x v="12"/>
    <x v="9"/>
    <x v="186"/>
    <n v="7"/>
    <s v="GEO1002"/>
    <s v="GEO1002"/>
    <x v="3"/>
    <x v="3"/>
    <s v="Q4 2020"/>
  </r>
  <r>
    <x v="12"/>
    <x v="10"/>
    <x v="108"/>
    <n v="7"/>
    <s v="GEO1002"/>
    <s v="GEO1002"/>
    <x v="3"/>
    <x v="4"/>
    <s v="Q2 2021"/>
  </r>
  <r>
    <x v="12"/>
    <x v="11"/>
    <x v="192"/>
    <n v="7"/>
    <s v="GEO1002"/>
    <s v="GEO1002"/>
    <x v="3"/>
    <x v="4"/>
    <s v="Q2 2021"/>
  </r>
  <r>
    <x v="12"/>
    <x v="12"/>
    <x v="193"/>
    <n v="7"/>
    <s v="GEO1002"/>
    <s v="GEO1002"/>
    <x v="3"/>
    <x v="4"/>
    <s v="Q2 2021"/>
  </r>
  <r>
    <x v="12"/>
    <x v="13"/>
    <x v="194"/>
    <n v="7"/>
    <s v="GEO1002"/>
    <s v="GEO1002"/>
    <x v="3"/>
    <x v="5"/>
    <s v="Q4 2020"/>
  </r>
  <r>
    <x v="12"/>
    <x v="14"/>
    <x v="195"/>
    <n v="7"/>
    <s v="GEO1002"/>
    <s v="GEO1002"/>
    <x v="3"/>
    <x v="5"/>
    <s v="Q4 2020"/>
  </r>
  <r>
    <x v="12"/>
    <x v="15"/>
    <x v="196"/>
    <n v="7"/>
    <s v="GEO1002"/>
    <s v="GEO1002"/>
    <x v="3"/>
    <x v="5"/>
    <s v="Q4 2020"/>
  </r>
  <r>
    <x v="13"/>
    <x v="16"/>
    <x v="197"/>
    <n v="7"/>
    <s v="GEO1004"/>
    <s v="GEO1004"/>
    <x v="0"/>
    <x v="0"/>
    <s v="Q1 2020"/>
  </r>
  <r>
    <x v="13"/>
    <x v="17"/>
    <x v="198"/>
    <n v="7"/>
    <s v="GEO1004"/>
    <s v="GEO1004"/>
    <x v="0"/>
    <x v="0"/>
    <s v="Q1 2020"/>
  </r>
  <r>
    <x v="13"/>
    <x v="0"/>
    <x v="199"/>
    <n v="7"/>
    <s v="GEO1004"/>
    <s v="GEO1004"/>
    <x v="0"/>
    <x v="0"/>
    <s v="Q1 2020"/>
  </r>
  <r>
    <x v="13"/>
    <x v="1"/>
    <x v="200"/>
    <n v="7"/>
    <s v="GEO1004"/>
    <s v="GEO1004"/>
    <x v="0"/>
    <x v="1"/>
    <s v="Q2 2020"/>
  </r>
  <r>
    <x v="13"/>
    <x v="2"/>
    <x v="201"/>
    <n v="7"/>
    <s v="GEO1004"/>
    <s v="GEO1004"/>
    <x v="0"/>
    <x v="1"/>
    <s v="Q2 2020"/>
  </r>
  <r>
    <x v="13"/>
    <x v="3"/>
    <x v="112"/>
    <n v="7"/>
    <s v="GEO1004"/>
    <s v="GEO1004"/>
    <x v="0"/>
    <x v="1"/>
    <s v="Q2 2020"/>
  </r>
  <r>
    <x v="13"/>
    <x v="4"/>
    <x v="202"/>
    <n v="7"/>
    <s v="GEO1004"/>
    <s v="GEO1004"/>
    <x v="0"/>
    <x v="2"/>
    <s v="Q3 2020"/>
  </r>
  <r>
    <x v="13"/>
    <x v="5"/>
    <x v="203"/>
    <n v="7"/>
    <s v="GEO1004"/>
    <s v="GEO1004"/>
    <x v="0"/>
    <x v="2"/>
    <s v="Q3 2020"/>
  </r>
  <r>
    <x v="13"/>
    <x v="6"/>
    <x v="204"/>
    <n v="7"/>
    <s v="GEO1004"/>
    <s v="GEO1004"/>
    <x v="0"/>
    <x v="2"/>
    <s v="Q3 2020"/>
  </r>
  <r>
    <x v="13"/>
    <x v="7"/>
    <x v="114"/>
    <n v="7"/>
    <s v="GEO1004"/>
    <s v="GEO1004"/>
    <x v="0"/>
    <x v="3"/>
    <s v="Q4 2020"/>
  </r>
  <r>
    <x v="13"/>
    <x v="8"/>
    <x v="205"/>
    <n v="7"/>
    <s v="GEO1004"/>
    <s v="GEO1004"/>
    <x v="0"/>
    <x v="3"/>
    <s v="Q4 2020"/>
  </r>
  <r>
    <x v="13"/>
    <x v="9"/>
    <x v="19"/>
    <n v="7"/>
    <s v="GEO1004"/>
    <s v="GEO1004"/>
    <x v="0"/>
    <x v="3"/>
    <s v="Q4 2020"/>
  </r>
  <r>
    <x v="13"/>
    <x v="10"/>
    <x v="206"/>
    <n v="7"/>
    <s v="GEO1004"/>
    <s v="GEO1004"/>
    <x v="0"/>
    <x v="4"/>
    <s v="Q2 2021"/>
  </r>
  <r>
    <x v="13"/>
    <x v="11"/>
    <x v="207"/>
    <n v="7"/>
    <s v="GEO1004"/>
    <s v="GEO1004"/>
    <x v="0"/>
    <x v="4"/>
    <s v="Q2 2021"/>
  </r>
  <r>
    <x v="13"/>
    <x v="12"/>
    <x v="208"/>
    <n v="7"/>
    <s v="GEO1004"/>
    <s v="GEO1004"/>
    <x v="0"/>
    <x v="4"/>
    <s v="Q2 2021"/>
  </r>
  <r>
    <x v="13"/>
    <x v="13"/>
    <x v="209"/>
    <n v="7"/>
    <s v="GEO1004"/>
    <s v="GEO1004"/>
    <x v="0"/>
    <x v="5"/>
    <s v="Q4 2020"/>
  </r>
  <r>
    <x v="13"/>
    <x v="14"/>
    <x v="210"/>
    <n v="7"/>
    <s v="GEO1004"/>
    <s v="GEO1004"/>
    <x v="0"/>
    <x v="5"/>
    <s v="Q4 2020"/>
  </r>
  <r>
    <x v="13"/>
    <x v="15"/>
    <x v="211"/>
    <n v="7"/>
    <s v="GEO1004"/>
    <s v="GEO1004"/>
    <x v="0"/>
    <x v="5"/>
    <s v="Q4 2020"/>
  </r>
  <r>
    <x v="14"/>
    <x v="16"/>
    <x v="212"/>
    <n v="7"/>
    <s v="GEO1001"/>
    <s v="GEO1001"/>
    <x v="1"/>
    <x v="0"/>
    <s v="Q1 2020"/>
  </r>
  <r>
    <x v="14"/>
    <x v="17"/>
    <x v="156"/>
    <n v="7"/>
    <s v="GEO1001"/>
    <s v="GEO1001"/>
    <x v="1"/>
    <x v="0"/>
    <s v="Q1 2020"/>
  </r>
  <r>
    <x v="14"/>
    <x v="0"/>
    <x v="213"/>
    <n v="7"/>
    <s v="GEO1001"/>
    <s v="GEO1001"/>
    <x v="1"/>
    <x v="0"/>
    <s v="Q1 2020"/>
  </r>
  <r>
    <x v="14"/>
    <x v="1"/>
    <x v="214"/>
    <n v="7"/>
    <s v="GEO1001"/>
    <s v="GEO1001"/>
    <x v="1"/>
    <x v="1"/>
    <s v="Q2 2020"/>
  </r>
  <r>
    <x v="14"/>
    <x v="2"/>
    <x v="215"/>
    <n v="7"/>
    <s v="GEO1001"/>
    <s v="GEO1001"/>
    <x v="1"/>
    <x v="1"/>
    <s v="Q2 2020"/>
  </r>
  <r>
    <x v="14"/>
    <x v="3"/>
    <x v="216"/>
    <n v="7"/>
    <s v="GEO1001"/>
    <s v="GEO1001"/>
    <x v="1"/>
    <x v="1"/>
    <s v="Q2 2020"/>
  </r>
  <r>
    <x v="14"/>
    <x v="4"/>
    <x v="217"/>
    <n v="7"/>
    <s v="GEO1001"/>
    <s v="GEO1001"/>
    <x v="1"/>
    <x v="2"/>
    <s v="Q3 2020"/>
  </r>
  <r>
    <x v="14"/>
    <x v="5"/>
    <x v="218"/>
    <n v="7"/>
    <s v="GEO1001"/>
    <s v="GEO1001"/>
    <x v="1"/>
    <x v="2"/>
    <s v="Q3 2020"/>
  </r>
  <r>
    <x v="14"/>
    <x v="6"/>
    <x v="219"/>
    <n v="7"/>
    <s v="GEO1001"/>
    <s v="GEO1001"/>
    <x v="1"/>
    <x v="2"/>
    <s v="Q3 2020"/>
  </r>
  <r>
    <x v="14"/>
    <x v="7"/>
    <x v="220"/>
    <n v="7"/>
    <s v="GEO1001"/>
    <s v="GEO1001"/>
    <x v="1"/>
    <x v="3"/>
    <s v="Q4 2020"/>
  </r>
  <r>
    <x v="14"/>
    <x v="8"/>
    <x v="216"/>
    <n v="7"/>
    <s v="GEO1001"/>
    <s v="GEO1001"/>
    <x v="1"/>
    <x v="3"/>
    <s v="Q4 2020"/>
  </r>
  <r>
    <x v="14"/>
    <x v="9"/>
    <x v="221"/>
    <n v="7"/>
    <s v="GEO1001"/>
    <s v="GEO1001"/>
    <x v="1"/>
    <x v="3"/>
    <s v="Q4 2020"/>
  </r>
  <r>
    <x v="14"/>
    <x v="10"/>
    <x v="222"/>
    <n v="7"/>
    <s v="GEO1001"/>
    <s v="GEO1001"/>
    <x v="1"/>
    <x v="4"/>
    <s v="Q2 2021"/>
  </r>
  <r>
    <x v="14"/>
    <x v="11"/>
    <x v="223"/>
    <n v="7"/>
    <s v="GEO1001"/>
    <s v="GEO1001"/>
    <x v="1"/>
    <x v="4"/>
    <s v="Q2 2021"/>
  </r>
  <r>
    <x v="14"/>
    <x v="12"/>
    <x v="224"/>
    <n v="7"/>
    <s v="GEO1001"/>
    <s v="GEO1001"/>
    <x v="1"/>
    <x v="4"/>
    <s v="Q2 2021"/>
  </r>
  <r>
    <x v="14"/>
    <x v="13"/>
    <x v="225"/>
    <n v="7"/>
    <s v="GEO1001"/>
    <s v="GEO1001"/>
    <x v="1"/>
    <x v="5"/>
    <s v="Q4 2020"/>
  </r>
  <r>
    <x v="14"/>
    <x v="14"/>
    <x v="226"/>
    <n v="7"/>
    <s v="GEO1001"/>
    <s v="GEO1001"/>
    <x v="1"/>
    <x v="5"/>
    <s v="Q4 2020"/>
  </r>
  <r>
    <x v="14"/>
    <x v="15"/>
    <x v="227"/>
    <n v="7"/>
    <s v="GEO1001"/>
    <s v="GEO1001"/>
    <x v="1"/>
    <x v="5"/>
    <s v="Q4 2020"/>
  </r>
  <r>
    <x v="15"/>
    <x v="16"/>
    <x v="228"/>
    <n v="7"/>
    <s v="GEO1004"/>
    <s v="GEO1004"/>
    <x v="0"/>
    <x v="0"/>
    <s v="Q1 2020"/>
  </r>
  <r>
    <x v="15"/>
    <x v="17"/>
    <x v="229"/>
    <n v="7"/>
    <s v="GEO1004"/>
    <s v="GEO1004"/>
    <x v="0"/>
    <x v="0"/>
    <s v="Q1 2020"/>
  </r>
  <r>
    <x v="15"/>
    <x v="0"/>
    <x v="230"/>
    <n v="7"/>
    <s v="GEO1004"/>
    <s v="GEO1004"/>
    <x v="0"/>
    <x v="0"/>
    <s v="Q1 2020"/>
  </r>
  <r>
    <x v="15"/>
    <x v="1"/>
    <x v="231"/>
    <n v="7"/>
    <s v="GEO1004"/>
    <s v="GEO1004"/>
    <x v="0"/>
    <x v="1"/>
    <s v="Q2 2020"/>
  </r>
  <r>
    <x v="15"/>
    <x v="2"/>
    <x v="232"/>
    <n v="7"/>
    <s v="GEO1004"/>
    <s v="GEO1004"/>
    <x v="0"/>
    <x v="1"/>
    <s v="Q2 2020"/>
  </r>
  <r>
    <x v="15"/>
    <x v="3"/>
    <x v="230"/>
    <n v="7"/>
    <s v="GEO1004"/>
    <s v="GEO1004"/>
    <x v="0"/>
    <x v="1"/>
    <s v="Q2 2020"/>
  </r>
  <r>
    <x v="15"/>
    <x v="4"/>
    <x v="233"/>
    <n v="7"/>
    <s v="GEO1004"/>
    <s v="GEO1004"/>
    <x v="0"/>
    <x v="2"/>
    <s v="Q3 2020"/>
  </r>
  <r>
    <x v="15"/>
    <x v="5"/>
    <x v="234"/>
    <n v="7"/>
    <s v="GEO1004"/>
    <s v="GEO1004"/>
    <x v="0"/>
    <x v="2"/>
    <s v="Q3 2020"/>
  </r>
  <r>
    <x v="15"/>
    <x v="6"/>
    <x v="235"/>
    <n v="7"/>
    <s v="GEO1004"/>
    <s v="GEO1004"/>
    <x v="0"/>
    <x v="2"/>
    <s v="Q3 2020"/>
  </r>
  <r>
    <x v="15"/>
    <x v="7"/>
    <x v="236"/>
    <n v="7"/>
    <s v="GEO1004"/>
    <s v="GEO1004"/>
    <x v="0"/>
    <x v="3"/>
    <s v="Q4 2020"/>
  </r>
  <r>
    <x v="15"/>
    <x v="8"/>
    <x v="237"/>
    <n v="7"/>
    <s v="GEO1004"/>
    <s v="GEO1004"/>
    <x v="0"/>
    <x v="3"/>
    <s v="Q4 2020"/>
  </r>
  <r>
    <x v="15"/>
    <x v="9"/>
    <x v="39"/>
    <n v="7"/>
    <s v="GEO1004"/>
    <s v="GEO1004"/>
    <x v="0"/>
    <x v="3"/>
    <s v="Q4 2020"/>
  </r>
  <r>
    <x v="15"/>
    <x v="10"/>
    <x v="238"/>
    <n v="7"/>
    <s v="GEO1004"/>
    <s v="GEO1004"/>
    <x v="0"/>
    <x v="4"/>
    <s v="Q2 2021"/>
  </r>
  <r>
    <x v="15"/>
    <x v="11"/>
    <x v="137"/>
    <n v="7"/>
    <s v="GEO1004"/>
    <s v="GEO1004"/>
    <x v="0"/>
    <x v="4"/>
    <s v="Q2 2021"/>
  </r>
  <r>
    <x v="15"/>
    <x v="12"/>
    <x v="239"/>
    <n v="7"/>
    <s v="GEO1004"/>
    <s v="GEO1004"/>
    <x v="0"/>
    <x v="4"/>
    <s v="Q2 2021"/>
  </r>
  <r>
    <x v="15"/>
    <x v="13"/>
    <x v="240"/>
    <n v="7"/>
    <s v="GEO1004"/>
    <s v="GEO1004"/>
    <x v="0"/>
    <x v="5"/>
    <s v="Q4 2020"/>
  </r>
  <r>
    <x v="15"/>
    <x v="14"/>
    <x v="241"/>
    <n v="7"/>
    <s v="GEO1004"/>
    <s v="GEO1004"/>
    <x v="0"/>
    <x v="5"/>
    <s v="Q4 2020"/>
  </r>
  <r>
    <x v="15"/>
    <x v="15"/>
    <x v="228"/>
    <n v="7"/>
    <s v="GEO1004"/>
    <s v="GEO1004"/>
    <x v="0"/>
    <x v="5"/>
    <s v="Q4 2020"/>
  </r>
  <r>
    <x v="16"/>
    <x v="16"/>
    <x v="242"/>
    <n v="7"/>
    <s v="GEO1001"/>
    <s v="GEO1001"/>
    <x v="1"/>
    <x v="0"/>
    <s v="Q1 2020"/>
  </r>
  <r>
    <x v="16"/>
    <x v="17"/>
    <x v="243"/>
    <n v="7"/>
    <s v="GEO1001"/>
    <s v="GEO1001"/>
    <x v="1"/>
    <x v="0"/>
    <s v="Q1 2020"/>
  </r>
  <r>
    <x v="16"/>
    <x v="0"/>
    <x v="244"/>
    <n v="7"/>
    <s v="GEO1001"/>
    <s v="GEO1001"/>
    <x v="1"/>
    <x v="0"/>
    <s v="Q1 2020"/>
  </r>
  <r>
    <x v="16"/>
    <x v="1"/>
    <x v="245"/>
    <n v="7"/>
    <s v="GEO1001"/>
    <s v="GEO1001"/>
    <x v="1"/>
    <x v="1"/>
    <s v="Q2 2020"/>
  </r>
  <r>
    <x v="16"/>
    <x v="2"/>
    <x v="246"/>
    <n v="7"/>
    <s v="GEO1001"/>
    <s v="GEO1001"/>
    <x v="1"/>
    <x v="1"/>
    <s v="Q2 2020"/>
  </r>
  <r>
    <x v="16"/>
    <x v="3"/>
    <x v="247"/>
    <n v="7"/>
    <s v="GEO1001"/>
    <s v="GEO1001"/>
    <x v="1"/>
    <x v="1"/>
    <s v="Q2 2020"/>
  </r>
  <r>
    <x v="16"/>
    <x v="4"/>
    <x v="175"/>
    <n v="7"/>
    <s v="GEO1001"/>
    <s v="GEO1001"/>
    <x v="1"/>
    <x v="2"/>
    <s v="Q3 2020"/>
  </r>
  <r>
    <x v="16"/>
    <x v="5"/>
    <x v="248"/>
    <n v="7"/>
    <s v="GEO1001"/>
    <s v="GEO1001"/>
    <x v="1"/>
    <x v="2"/>
    <s v="Q3 2020"/>
  </r>
  <r>
    <x v="16"/>
    <x v="6"/>
    <x v="249"/>
    <n v="7"/>
    <s v="GEO1001"/>
    <s v="GEO1001"/>
    <x v="1"/>
    <x v="2"/>
    <s v="Q3 2020"/>
  </r>
  <r>
    <x v="16"/>
    <x v="7"/>
    <x v="250"/>
    <n v="7"/>
    <s v="GEO1001"/>
    <s v="GEO1001"/>
    <x v="1"/>
    <x v="3"/>
    <s v="Q4 2020"/>
  </r>
  <r>
    <x v="16"/>
    <x v="8"/>
    <x v="251"/>
    <n v="7"/>
    <s v="GEO1001"/>
    <s v="GEO1001"/>
    <x v="1"/>
    <x v="3"/>
    <s v="Q4 2020"/>
  </r>
  <r>
    <x v="16"/>
    <x v="9"/>
    <x v="252"/>
    <n v="7"/>
    <s v="GEO1001"/>
    <s v="GEO1001"/>
    <x v="1"/>
    <x v="3"/>
    <s v="Q4 2020"/>
  </r>
  <r>
    <x v="16"/>
    <x v="10"/>
    <x v="253"/>
    <n v="7"/>
    <s v="GEO1001"/>
    <s v="GEO1001"/>
    <x v="1"/>
    <x v="4"/>
    <s v="Q2 2021"/>
  </r>
  <r>
    <x v="16"/>
    <x v="11"/>
    <x v="254"/>
    <n v="7"/>
    <s v="GEO1001"/>
    <s v="GEO1001"/>
    <x v="1"/>
    <x v="4"/>
    <s v="Q2 2021"/>
  </r>
  <r>
    <x v="16"/>
    <x v="12"/>
    <x v="255"/>
    <n v="7"/>
    <s v="GEO1001"/>
    <s v="GEO1001"/>
    <x v="1"/>
    <x v="4"/>
    <s v="Q2 2021"/>
  </r>
  <r>
    <x v="16"/>
    <x v="13"/>
    <x v="256"/>
    <n v="7"/>
    <s v="GEO1001"/>
    <s v="GEO1001"/>
    <x v="1"/>
    <x v="5"/>
    <s v="Q4 2020"/>
  </r>
  <r>
    <x v="16"/>
    <x v="14"/>
    <x v="257"/>
    <n v="7"/>
    <s v="GEO1001"/>
    <s v="GEO1001"/>
    <x v="1"/>
    <x v="5"/>
    <s v="Q4 2020"/>
  </r>
  <r>
    <x v="16"/>
    <x v="15"/>
    <x v="258"/>
    <n v="7"/>
    <s v="GEO1001"/>
    <s v="GEO1001"/>
    <x v="1"/>
    <x v="5"/>
    <s v="Q4 2020"/>
  </r>
  <r>
    <x v="17"/>
    <x v="16"/>
    <x v="259"/>
    <n v="7"/>
    <s v="GEO1004"/>
    <s v="GEO1004"/>
    <x v="0"/>
    <x v="0"/>
    <s v="Q1 2020"/>
  </r>
  <r>
    <x v="17"/>
    <x v="17"/>
    <x v="260"/>
    <n v="7"/>
    <s v="GEO1004"/>
    <s v="GEO1004"/>
    <x v="0"/>
    <x v="0"/>
    <s v="Q1 2020"/>
  </r>
  <r>
    <x v="17"/>
    <x v="0"/>
    <x v="261"/>
    <n v="7"/>
    <s v="GEO1004"/>
    <s v="GEO1004"/>
    <x v="0"/>
    <x v="0"/>
    <s v="Q1 2020"/>
  </r>
  <r>
    <x v="17"/>
    <x v="1"/>
    <x v="262"/>
    <n v="7"/>
    <s v="GEO1004"/>
    <s v="GEO1004"/>
    <x v="0"/>
    <x v="1"/>
    <s v="Q2 2020"/>
  </r>
  <r>
    <x v="17"/>
    <x v="2"/>
    <x v="263"/>
    <n v="7"/>
    <s v="GEO1004"/>
    <s v="GEO1004"/>
    <x v="0"/>
    <x v="1"/>
    <s v="Q2 2020"/>
  </r>
  <r>
    <x v="17"/>
    <x v="3"/>
    <x v="264"/>
    <n v="7"/>
    <s v="GEO1004"/>
    <s v="GEO1004"/>
    <x v="0"/>
    <x v="1"/>
    <s v="Q2 2020"/>
  </r>
  <r>
    <x v="17"/>
    <x v="4"/>
    <x v="265"/>
    <n v="7"/>
    <s v="GEO1004"/>
    <s v="GEO1004"/>
    <x v="0"/>
    <x v="2"/>
    <s v="Q3 2020"/>
  </r>
  <r>
    <x v="17"/>
    <x v="5"/>
    <x v="266"/>
    <n v="7"/>
    <s v="GEO1004"/>
    <s v="GEO1004"/>
    <x v="0"/>
    <x v="2"/>
    <s v="Q3 2020"/>
  </r>
  <r>
    <x v="17"/>
    <x v="6"/>
    <x v="267"/>
    <n v="7"/>
    <s v="GEO1004"/>
    <s v="GEO1004"/>
    <x v="0"/>
    <x v="2"/>
    <s v="Q3 2020"/>
  </r>
  <r>
    <x v="17"/>
    <x v="7"/>
    <x v="259"/>
    <n v="7"/>
    <s v="GEO1004"/>
    <s v="GEO1004"/>
    <x v="0"/>
    <x v="3"/>
    <s v="Q4 2020"/>
  </r>
  <r>
    <x v="17"/>
    <x v="8"/>
    <x v="268"/>
    <n v="7"/>
    <s v="GEO1004"/>
    <s v="GEO1004"/>
    <x v="0"/>
    <x v="3"/>
    <s v="Q4 2020"/>
  </r>
  <r>
    <x v="17"/>
    <x v="9"/>
    <x v="269"/>
    <n v="7"/>
    <s v="GEO1004"/>
    <s v="GEO1004"/>
    <x v="0"/>
    <x v="3"/>
    <s v="Q4 2020"/>
  </r>
  <r>
    <x v="17"/>
    <x v="10"/>
    <x v="270"/>
    <n v="7"/>
    <s v="GEO1004"/>
    <s v="GEO1004"/>
    <x v="0"/>
    <x v="4"/>
    <s v="Q2 2021"/>
  </r>
  <r>
    <x v="17"/>
    <x v="11"/>
    <x v="271"/>
    <n v="7"/>
    <s v="GEO1004"/>
    <s v="GEO1004"/>
    <x v="0"/>
    <x v="4"/>
    <s v="Q2 2021"/>
  </r>
  <r>
    <x v="17"/>
    <x v="12"/>
    <x v="272"/>
    <n v="7"/>
    <s v="GEO1004"/>
    <s v="GEO1004"/>
    <x v="0"/>
    <x v="4"/>
    <s v="Q2 2021"/>
  </r>
  <r>
    <x v="17"/>
    <x v="13"/>
    <x v="273"/>
    <n v="7"/>
    <s v="GEO1004"/>
    <s v="GEO1004"/>
    <x v="0"/>
    <x v="5"/>
    <s v="Q4 2020"/>
  </r>
  <r>
    <x v="17"/>
    <x v="14"/>
    <x v="274"/>
    <n v="7"/>
    <s v="GEO1004"/>
    <s v="GEO1004"/>
    <x v="0"/>
    <x v="5"/>
    <s v="Q4 2020"/>
  </r>
  <r>
    <x v="17"/>
    <x v="15"/>
    <x v="275"/>
    <n v="7"/>
    <s v="GEO1004"/>
    <s v="GEO1004"/>
    <x v="0"/>
    <x v="5"/>
    <s v="Q4 2020"/>
  </r>
  <r>
    <x v="18"/>
    <x v="4"/>
    <x v="276"/>
    <n v="7"/>
    <s v="GEO1002"/>
    <s v="GEO1002"/>
    <x v="3"/>
    <x v="2"/>
    <s v="Q3 2020"/>
  </r>
  <r>
    <x v="18"/>
    <x v="5"/>
    <x v="277"/>
    <n v="7"/>
    <s v="GEO1002"/>
    <s v="GEO1002"/>
    <x v="3"/>
    <x v="2"/>
    <s v="Q3 2020"/>
  </r>
  <r>
    <x v="18"/>
    <x v="6"/>
    <x v="278"/>
    <n v="7"/>
    <s v="GEO1002"/>
    <s v="GEO1002"/>
    <x v="3"/>
    <x v="2"/>
    <s v="Q3 2020"/>
  </r>
  <r>
    <x v="18"/>
    <x v="7"/>
    <x v="279"/>
    <n v="7"/>
    <s v="GEO1002"/>
    <s v="GEO1002"/>
    <x v="3"/>
    <x v="3"/>
    <s v="Q4 2020"/>
  </r>
  <r>
    <x v="18"/>
    <x v="8"/>
    <x v="280"/>
    <n v="7"/>
    <s v="GEO1002"/>
    <s v="GEO1002"/>
    <x v="3"/>
    <x v="3"/>
    <s v="Q4 2020"/>
  </r>
  <r>
    <x v="18"/>
    <x v="9"/>
    <x v="281"/>
    <n v="7"/>
    <s v="GEO1002"/>
    <s v="GEO1002"/>
    <x v="3"/>
    <x v="3"/>
    <s v="Q4 2020"/>
  </r>
  <r>
    <x v="18"/>
    <x v="10"/>
    <x v="282"/>
    <n v="7"/>
    <s v="GEO1002"/>
    <s v="GEO1002"/>
    <x v="3"/>
    <x v="4"/>
    <s v="Q2 2021"/>
  </r>
  <r>
    <x v="18"/>
    <x v="11"/>
    <x v="283"/>
    <n v="7"/>
    <s v="GEO1002"/>
    <s v="GEO1002"/>
    <x v="3"/>
    <x v="4"/>
    <s v="Q2 2021"/>
  </r>
  <r>
    <x v="18"/>
    <x v="12"/>
    <x v="284"/>
    <n v="7"/>
    <s v="GEO1002"/>
    <s v="GEO1002"/>
    <x v="3"/>
    <x v="4"/>
    <s v="Q2 2021"/>
  </r>
  <r>
    <x v="18"/>
    <x v="13"/>
    <x v="285"/>
    <n v="7"/>
    <s v="GEO1002"/>
    <s v="GEO1002"/>
    <x v="3"/>
    <x v="5"/>
    <s v="Q4 2020"/>
  </r>
  <r>
    <x v="18"/>
    <x v="14"/>
    <x v="286"/>
    <n v="7"/>
    <s v="GEO1002"/>
    <s v="GEO1002"/>
    <x v="3"/>
    <x v="5"/>
    <s v="Q4 2020"/>
  </r>
  <r>
    <x v="18"/>
    <x v="15"/>
    <x v="287"/>
    <n v="7"/>
    <s v="GEO1002"/>
    <s v="GEO1002"/>
    <x v="3"/>
    <x v="5"/>
    <s v="Q4 2020"/>
  </r>
  <r>
    <x v="19"/>
    <x v="16"/>
    <x v="288"/>
    <n v="7"/>
    <s v="GEO1001"/>
    <s v="GEO1001"/>
    <x v="1"/>
    <x v="0"/>
    <s v="Q1 2020"/>
  </r>
  <r>
    <x v="19"/>
    <x v="17"/>
    <x v="289"/>
    <n v="7"/>
    <s v="GEO1001"/>
    <s v="GEO1001"/>
    <x v="1"/>
    <x v="0"/>
    <s v="Q1 2020"/>
  </r>
  <r>
    <x v="19"/>
    <x v="0"/>
    <x v="290"/>
    <n v="7"/>
    <s v="GEO1001"/>
    <s v="GEO1001"/>
    <x v="1"/>
    <x v="0"/>
    <s v="Q1 2020"/>
  </r>
  <r>
    <x v="19"/>
    <x v="1"/>
    <x v="291"/>
    <n v="7"/>
    <s v="GEO1001"/>
    <s v="GEO1001"/>
    <x v="1"/>
    <x v="1"/>
    <s v="Q2 2020"/>
  </r>
  <r>
    <x v="19"/>
    <x v="2"/>
    <x v="292"/>
    <n v="7"/>
    <s v="GEO1001"/>
    <s v="GEO1001"/>
    <x v="1"/>
    <x v="1"/>
    <s v="Q2 2020"/>
  </r>
  <r>
    <x v="19"/>
    <x v="3"/>
    <x v="293"/>
    <n v="7"/>
    <s v="GEO1001"/>
    <s v="GEO1001"/>
    <x v="1"/>
    <x v="1"/>
    <s v="Q2 2020"/>
  </r>
  <r>
    <x v="19"/>
    <x v="4"/>
    <x v="294"/>
    <n v="7"/>
    <s v="GEO1001"/>
    <s v="GEO1001"/>
    <x v="1"/>
    <x v="2"/>
    <s v="Q3 2020"/>
  </r>
  <r>
    <x v="19"/>
    <x v="5"/>
    <x v="295"/>
    <n v="7"/>
    <s v="GEO1001"/>
    <s v="GEO1001"/>
    <x v="1"/>
    <x v="2"/>
    <s v="Q3 2020"/>
  </r>
  <r>
    <x v="19"/>
    <x v="6"/>
    <x v="296"/>
    <n v="7"/>
    <s v="GEO1001"/>
    <s v="GEO1001"/>
    <x v="1"/>
    <x v="2"/>
    <s v="Q3 2020"/>
  </r>
  <r>
    <x v="19"/>
    <x v="7"/>
    <x v="297"/>
    <n v="7"/>
    <s v="GEO1001"/>
    <s v="GEO1001"/>
    <x v="1"/>
    <x v="3"/>
    <s v="Q4 2020"/>
  </r>
  <r>
    <x v="19"/>
    <x v="8"/>
    <x v="288"/>
    <n v="7"/>
    <s v="GEO1001"/>
    <s v="GEO1001"/>
    <x v="1"/>
    <x v="3"/>
    <s v="Q4 2020"/>
  </r>
  <r>
    <x v="19"/>
    <x v="9"/>
    <x v="298"/>
    <n v="7"/>
    <s v="GEO1001"/>
    <s v="GEO1001"/>
    <x v="1"/>
    <x v="3"/>
    <s v="Q4 2020"/>
  </r>
  <r>
    <x v="19"/>
    <x v="10"/>
    <x v="299"/>
    <n v="7"/>
    <s v="GEO1001"/>
    <s v="GEO1001"/>
    <x v="1"/>
    <x v="4"/>
    <s v="Q2 2021"/>
  </r>
  <r>
    <x v="19"/>
    <x v="11"/>
    <x v="300"/>
    <n v="7"/>
    <s v="GEO1001"/>
    <s v="GEO1001"/>
    <x v="1"/>
    <x v="4"/>
    <s v="Q2 2021"/>
  </r>
  <r>
    <x v="19"/>
    <x v="12"/>
    <x v="301"/>
    <n v="7"/>
    <s v="GEO1001"/>
    <s v="GEO1001"/>
    <x v="1"/>
    <x v="4"/>
    <s v="Q2 2021"/>
  </r>
  <r>
    <x v="19"/>
    <x v="13"/>
    <x v="302"/>
    <n v="7"/>
    <s v="GEO1001"/>
    <s v="GEO1001"/>
    <x v="1"/>
    <x v="5"/>
    <s v="Q4 2020"/>
  </r>
  <r>
    <x v="19"/>
    <x v="14"/>
    <x v="303"/>
    <n v="7"/>
    <s v="GEO1001"/>
    <s v="GEO1001"/>
    <x v="1"/>
    <x v="5"/>
    <s v="Q4 2020"/>
  </r>
  <r>
    <x v="19"/>
    <x v="15"/>
    <x v="304"/>
    <n v="7"/>
    <s v="GEO1001"/>
    <s v="GEO1001"/>
    <x v="1"/>
    <x v="5"/>
    <s v="Q4 2020"/>
  </r>
  <r>
    <x v="20"/>
    <x v="16"/>
    <x v="305"/>
    <n v="7"/>
    <s v="GEO1004"/>
    <s v="GEO1004"/>
    <x v="0"/>
    <x v="0"/>
    <s v="Q1 2020"/>
  </r>
  <r>
    <x v="20"/>
    <x v="17"/>
    <x v="306"/>
    <n v="7"/>
    <s v="GEO1004"/>
    <s v="GEO1004"/>
    <x v="0"/>
    <x v="0"/>
    <s v="Q1 2020"/>
  </r>
  <r>
    <x v="20"/>
    <x v="0"/>
    <x v="307"/>
    <n v="7"/>
    <s v="GEO1004"/>
    <s v="GEO1004"/>
    <x v="0"/>
    <x v="0"/>
    <s v="Q1 2020"/>
  </r>
  <r>
    <x v="20"/>
    <x v="1"/>
    <x v="186"/>
    <n v="7"/>
    <s v="GEO1004"/>
    <s v="GEO1004"/>
    <x v="0"/>
    <x v="1"/>
    <s v="Q2 2020"/>
  </r>
  <r>
    <x v="20"/>
    <x v="2"/>
    <x v="308"/>
    <n v="7"/>
    <s v="GEO1004"/>
    <s v="GEO1004"/>
    <x v="0"/>
    <x v="1"/>
    <s v="Q2 2020"/>
  </r>
  <r>
    <x v="20"/>
    <x v="3"/>
    <x v="309"/>
    <n v="7"/>
    <s v="GEO1004"/>
    <s v="GEO1004"/>
    <x v="0"/>
    <x v="1"/>
    <s v="Q2 2020"/>
  </r>
  <r>
    <x v="20"/>
    <x v="4"/>
    <x v="310"/>
    <n v="7"/>
    <s v="GEO1004"/>
    <s v="GEO1004"/>
    <x v="0"/>
    <x v="2"/>
    <s v="Q3 2020"/>
  </r>
  <r>
    <x v="20"/>
    <x v="5"/>
    <x v="311"/>
    <n v="7"/>
    <s v="GEO1004"/>
    <s v="GEO1004"/>
    <x v="0"/>
    <x v="2"/>
    <s v="Q3 2020"/>
  </r>
  <r>
    <x v="20"/>
    <x v="6"/>
    <x v="312"/>
    <n v="7"/>
    <s v="GEO1004"/>
    <s v="GEO1004"/>
    <x v="0"/>
    <x v="2"/>
    <s v="Q3 2020"/>
  </r>
  <r>
    <x v="20"/>
    <x v="7"/>
    <x v="313"/>
    <n v="7"/>
    <s v="GEO1004"/>
    <s v="GEO1004"/>
    <x v="0"/>
    <x v="3"/>
    <s v="Q4 2020"/>
  </r>
  <r>
    <x v="20"/>
    <x v="8"/>
    <x v="314"/>
    <n v="7"/>
    <s v="GEO1004"/>
    <s v="GEO1004"/>
    <x v="0"/>
    <x v="3"/>
    <s v="Q4 2020"/>
  </r>
  <r>
    <x v="20"/>
    <x v="9"/>
    <x v="315"/>
    <n v="7"/>
    <s v="GEO1004"/>
    <s v="GEO1004"/>
    <x v="0"/>
    <x v="3"/>
    <s v="Q4 2020"/>
  </r>
  <r>
    <x v="20"/>
    <x v="15"/>
    <x v="316"/>
    <n v="7"/>
    <s v="GEO1004"/>
    <s v="GEO1004"/>
    <x v="0"/>
    <x v="5"/>
    <s v="Q4 2020"/>
  </r>
  <r>
    <x v="21"/>
    <x v="16"/>
    <x v="317"/>
    <n v="7"/>
    <s v="GEO1002"/>
    <s v="GEO1002"/>
    <x v="3"/>
    <x v="0"/>
    <s v="Q1 2020"/>
  </r>
  <r>
    <x v="21"/>
    <x v="17"/>
    <x v="248"/>
    <n v="7"/>
    <s v="GEO1002"/>
    <s v="GEO1002"/>
    <x v="3"/>
    <x v="0"/>
    <s v="Q1 2020"/>
  </r>
  <r>
    <x v="21"/>
    <x v="0"/>
    <x v="214"/>
    <n v="7"/>
    <s v="GEO1002"/>
    <s v="GEO1002"/>
    <x v="3"/>
    <x v="0"/>
    <s v="Q1 2020"/>
  </r>
  <r>
    <x v="21"/>
    <x v="1"/>
    <x v="242"/>
    <n v="7"/>
    <s v="GEO1002"/>
    <s v="GEO1002"/>
    <x v="3"/>
    <x v="1"/>
    <s v="Q2 2020"/>
  </r>
  <r>
    <x v="21"/>
    <x v="2"/>
    <x v="318"/>
    <n v="7"/>
    <s v="GEO1002"/>
    <s v="GEO1002"/>
    <x v="3"/>
    <x v="1"/>
    <s v="Q2 2020"/>
  </r>
  <r>
    <x v="21"/>
    <x v="3"/>
    <x v="317"/>
    <n v="7"/>
    <s v="GEO1002"/>
    <s v="GEO1002"/>
    <x v="3"/>
    <x v="1"/>
    <s v="Q2 2020"/>
  </r>
  <r>
    <x v="21"/>
    <x v="4"/>
    <x v="171"/>
    <n v="7"/>
    <s v="GEO1002"/>
    <s v="GEO1002"/>
    <x v="3"/>
    <x v="2"/>
    <s v="Q3 2020"/>
  </r>
  <r>
    <x v="21"/>
    <x v="5"/>
    <x v="319"/>
    <n v="7"/>
    <s v="GEO1002"/>
    <s v="GEO1002"/>
    <x v="3"/>
    <x v="2"/>
    <s v="Q3 2020"/>
  </r>
  <r>
    <x v="21"/>
    <x v="6"/>
    <x v="320"/>
    <n v="7"/>
    <s v="GEO1002"/>
    <s v="GEO1002"/>
    <x v="3"/>
    <x v="2"/>
    <s v="Q3 2020"/>
  </r>
  <r>
    <x v="21"/>
    <x v="7"/>
    <x v="321"/>
    <n v="7"/>
    <s v="GEO1002"/>
    <s v="GEO1002"/>
    <x v="3"/>
    <x v="3"/>
    <s v="Q4 2020"/>
  </r>
  <r>
    <x v="21"/>
    <x v="8"/>
    <x v="322"/>
    <n v="7"/>
    <s v="GEO1002"/>
    <s v="GEO1002"/>
    <x v="3"/>
    <x v="3"/>
    <s v="Q4 2020"/>
  </r>
  <r>
    <x v="21"/>
    <x v="9"/>
    <x v="323"/>
    <n v="7"/>
    <s v="GEO1002"/>
    <s v="GEO1002"/>
    <x v="3"/>
    <x v="3"/>
    <s v="Q4 2020"/>
  </r>
  <r>
    <x v="21"/>
    <x v="10"/>
    <x v="324"/>
    <n v="7"/>
    <s v="GEO1002"/>
    <s v="GEO1002"/>
    <x v="3"/>
    <x v="4"/>
    <s v="Q2 2021"/>
  </r>
  <r>
    <x v="21"/>
    <x v="11"/>
    <x v="325"/>
    <n v="7"/>
    <s v="GEO1002"/>
    <s v="GEO1002"/>
    <x v="3"/>
    <x v="4"/>
    <s v="Q2 2021"/>
  </r>
  <r>
    <x v="21"/>
    <x v="12"/>
    <x v="326"/>
    <n v="7"/>
    <s v="GEO1002"/>
    <s v="GEO1002"/>
    <x v="3"/>
    <x v="4"/>
    <s v="Q2 2021"/>
  </r>
  <r>
    <x v="21"/>
    <x v="13"/>
    <x v="327"/>
    <n v="7"/>
    <s v="GEO1002"/>
    <s v="GEO1002"/>
    <x v="3"/>
    <x v="5"/>
    <s v="Q4 2020"/>
  </r>
  <r>
    <x v="21"/>
    <x v="14"/>
    <x v="328"/>
    <n v="7"/>
    <s v="GEO1002"/>
    <s v="GEO1002"/>
    <x v="3"/>
    <x v="5"/>
    <s v="Q4 2020"/>
  </r>
  <r>
    <x v="21"/>
    <x v="15"/>
    <x v="329"/>
    <n v="7"/>
    <s v="GEO1002"/>
    <s v="GEO1002"/>
    <x v="3"/>
    <x v="5"/>
    <s v="Q4 2020"/>
  </r>
  <r>
    <x v="22"/>
    <x v="16"/>
    <x v="330"/>
    <n v="7"/>
    <s v="GEO1001"/>
    <s v="GEO1001"/>
    <x v="1"/>
    <x v="0"/>
    <s v="Q1 2020"/>
  </r>
  <r>
    <x v="22"/>
    <x v="17"/>
    <x v="331"/>
    <n v="7"/>
    <s v="GEO1001"/>
    <s v="GEO1001"/>
    <x v="1"/>
    <x v="0"/>
    <s v="Q1 2020"/>
  </r>
  <r>
    <x v="22"/>
    <x v="0"/>
    <x v="332"/>
    <n v="7"/>
    <s v="GEO1001"/>
    <s v="GEO1001"/>
    <x v="1"/>
    <x v="0"/>
    <s v="Q1 2020"/>
  </r>
  <r>
    <x v="22"/>
    <x v="1"/>
    <x v="333"/>
    <n v="7"/>
    <s v="GEO1001"/>
    <s v="GEO1001"/>
    <x v="1"/>
    <x v="1"/>
    <s v="Q2 2020"/>
  </r>
  <r>
    <x v="22"/>
    <x v="2"/>
    <x v="334"/>
    <n v="7"/>
    <s v="GEO1001"/>
    <s v="GEO1001"/>
    <x v="1"/>
    <x v="1"/>
    <s v="Q2 2020"/>
  </r>
  <r>
    <x v="22"/>
    <x v="3"/>
    <x v="335"/>
    <n v="7"/>
    <s v="GEO1001"/>
    <s v="GEO1001"/>
    <x v="1"/>
    <x v="1"/>
    <s v="Q2 2020"/>
  </r>
  <r>
    <x v="22"/>
    <x v="4"/>
    <x v="44"/>
    <n v="7"/>
    <s v="GEO1001"/>
    <s v="GEO1001"/>
    <x v="1"/>
    <x v="2"/>
    <s v="Q3 2020"/>
  </r>
  <r>
    <x v="22"/>
    <x v="5"/>
    <x v="336"/>
    <n v="7"/>
    <s v="GEO1001"/>
    <s v="GEO1001"/>
    <x v="1"/>
    <x v="2"/>
    <s v="Q3 2020"/>
  </r>
  <r>
    <x v="22"/>
    <x v="6"/>
    <x v="337"/>
    <n v="7"/>
    <s v="GEO1001"/>
    <s v="GEO1001"/>
    <x v="1"/>
    <x v="2"/>
    <s v="Q3 2020"/>
  </r>
  <r>
    <x v="22"/>
    <x v="7"/>
    <x v="338"/>
    <n v="7"/>
    <s v="GEO1001"/>
    <s v="GEO1001"/>
    <x v="1"/>
    <x v="3"/>
    <s v="Q4 2020"/>
  </r>
  <r>
    <x v="22"/>
    <x v="8"/>
    <x v="95"/>
    <n v="7"/>
    <s v="GEO1001"/>
    <s v="GEO1001"/>
    <x v="1"/>
    <x v="3"/>
    <s v="Q4 2020"/>
  </r>
  <r>
    <x v="22"/>
    <x v="9"/>
    <x v="335"/>
    <n v="7"/>
    <s v="GEO1001"/>
    <s v="GEO1001"/>
    <x v="1"/>
    <x v="3"/>
    <s v="Q4 2020"/>
  </r>
  <r>
    <x v="22"/>
    <x v="10"/>
    <x v="38"/>
    <n v="7"/>
    <s v="GEO1001"/>
    <s v="GEO1001"/>
    <x v="1"/>
    <x v="4"/>
    <s v="Q2 2021"/>
  </r>
  <r>
    <x v="22"/>
    <x v="11"/>
    <x v="339"/>
    <n v="7"/>
    <s v="GEO1001"/>
    <s v="GEO1001"/>
    <x v="1"/>
    <x v="4"/>
    <s v="Q2 2021"/>
  </r>
  <r>
    <x v="22"/>
    <x v="12"/>
    <x v="340"/>
    <n v="7"/>
    <s v="GEO1001"/>
    <s v="GEO1001"/>
    <x v="1"/>
    <x v="4"/>
    <s v="Q2 2021"/>
  </r>
  <r>
    <x v="22"/>
    <x v="13"/>
    <x v="341"/>
    <n v="7"/>
    <s v="GEO1001"/>
    <s v="GEO1001"/>
    <x v="1"/>
    <x v="5"/>
    <s v="Q4 2020"/>
  </r>
  <r>
    <x v="22"/>
    <x v="14"/>
    <x v="342"/>
    <n v="7"/>
    <s v="GEO1001"/>
    <s v="GEO1001"/>
    <x v="1"/>
    <x v="5"/>
    <s v="Q4 2020"/>
  </r>
  <r>
    <x v="22"/>
    <x v="15"/>
    <x v="343"/>
    <n v="7"/>
    <s v="GEO1001"/>
    <s v="GEO1001"/>
    <x v="1"/>
    <x v="5"/>
    <s v="Q4 2020"/>
  </r>
  <r>
    <x v="23"/>
    <x v="8"/>
    <x v="344"/>
    <n v="7"/>
    <s v="GEO1001"/>
    <s v="GEO1001"/>
    <x v="1"/>
    <x v="3"/>
    <s v="Q4 2020"/>
  </r>
  <r>
    <x v="23"/>
    <x v="9"/>
    <x v="345"/>
    <n v="7"/>
    <s v="GEO1001"/>
    <s v="GEO1001"/>
    <x v="1"/>
    <x v="3"/>
    <s v="Q4 2020"/>
  </r>
  <r>
    <x v="23"/>
    <x v="10"/>
    <x v="346"/>
    <n v="7"/>
    <s v="GEO1001"/>
    <s v="GEO1001"/>
    <x v="1"/>
    <x v="4"/>
    <s v="Q2 2021"/>
  </r>
  <r>
    <x v="23"/>
    <x v="11"/>
    <x v="347"/>
    <n v="7"/>
    <s v="GEO1001"/>
    <s v="GEO1001"/>
    <x v="1"/>
    <x v="4"/>
    <s v="Q2 2021"/>
  </r>
  <r>
    <x v="23"/>
    <x v="12"/>
    <x v="348"/>
    <n v="7"/>
    <s v="GEO1001"/>
    <s v="GEO1001"/>
    <x v="1"/>
    <x v="4"/>
    <s v="Q2 2021"/>
  </r>
  <r>
    <x v="23"/>
    <x v="13"/>
    <x v="349"/>
    <n v="7"/>
    <s v="GEO1001"/>
    <s v="GEO1001"/>
    <x v="1"/>
    <x v="5"/>
    <s v="Q4 2020"/>
  </r>
  <r>
    <x v="23"/>
    <x v="14"/>
    <x v="350"/>
    <n v="7"/>
    <s v="GEO1001"/>
    <s v="GEO1001"/>
    <x v="1"/>
    <x v="5"/>
    <s v="Q4 2020"/>
  </r>
  <r>
    <x v="23"/>
    <x v="15"/>
    <x v="101"/>
    <n v="7"/>
    <s v="GEO1001"/>
    <s v="GEO1001"/>
    <x v="1"/>
    <x v="5"/>
    <s v="Q4 2020"/>
  </r>
  <r>
    <x v="24"/>
    <x v="16"/>
    <x v="351"/>
    <n v="7"/>
    <s v="GEO1001"/>
    <s v="GEO1001"/>
    <x v="1"/>
    <x v="0"/>
    <s v="Q1 2020"/>
  </r>
  <r>
    <x v="24"/>
    <x v="17"/>
    <x v="352"/>
    <n v="7"/>
    <s v="GEO1001"/>
    <s v="GEO1001"/>
    <x v="1"/>
    <x v="0"/>
    <s v="Q1 2020"/>
  </r>
  <r>
    <x v="24"/>
    <x v="0"/>
    <x v="353"/>
    <n v="7"/>
    <s v="GEO1001"/>
    <s v="GEO1001"/>
    <x v="1"/>
    <x v="0"/>
    <s v="Q1 2020"/>
  </r>
  <r>
    <x v="24"/>
    <x v="1"/>
    <x v="354"/>
    <n v="7"/>
    <s v="GEO1001"/>
    <s v="GEO1001"/>
    <x v="1"/>
    <x v="1"/>
    <s v="Q2 2020"/>
  </r>
  <r>
    <x v="24"/>
    <x v="2"/>
    <x v="355"/>
    <n v="7"/>
    <s v="GEO1001"/>
    <s v="GEO1001"/>
    <x v="1"/>
    <x v="1"/>
    <s v="Q2 2020"/>
  </r>
  <r>
    <x v="24"/>
    <x v="3"/>
    <x v="356"/>
    <n v="7"/>
    <s v="GEO1001"/>
    <s v="GEO1001"/>
    <x v="1"/>
    <x v="1"/>
    <s v="Q2 2020"/>
  </r>
  <r>
    <x v="24"/>
    <x v="4"/>
    <x v="37"/>
    <n v="7"/>
    <s v="GEO1001"/>
    <s v="GEO1001"/>
    <x v="1"/>
    <x v="2"/>
    <s v="Q3 2020"/>
  </r>
  <r>
    <x v="24"/>
    <x v="5"/>
    <x v="357"/>
    <n v="7"/>
    <s v="GEO1001"/>
    <s v="GEO1001"/>
    <x v="1"/>
    <x v="2"/>
    <s v="Q3 2020"/>
  </r>
  <r>
    <x v="24"/>
    <x v="6"/>
    <x v="357"/>
    <n v="7"/>
    <s v="GEO1001"/>
    <s v="GEO1001"/>
    <x v="1"/>
    <x v="2"/>
    <s v="Q3 2020"/>
  </r>
  <r>
    <x v="24"/>
    <x v="7"/>
    <x v="358"/>
    <n v="7"/>
    <s v="GEO1001"/>
    <s v="GEO1001"/>
    <x v="1"/>
    <x v="3"/>
    <s v="Q4 2020"/>
  </r>
  <r>
    <x v="24"/>
    <x v="8"/>
    <x v="359"/>
    <n v="7"/>
    <s v="GEO1001"/>
    <s v="GEO1001"/>
    <x v="1"/>
    <x v="3"/>
    <s v="Q4 2020"/>
  </r>
  <r>
    <x v="24"/>
    <x v="9"/>
    <x v="351"/>
    <n v="7"/>
    <s v="GEO1001"/>
    <s v="GEO1001"/>
    <x v="1"/>
    <x v="3"/>
    <s v="Q4 2020"/>
  </r>
  <r>
    <x v="24"/>
    <x v="10"/>
    <x v="360"/>
    <n v="7"/>
    <s v="GEO1001"/>
    <s v="GEO1001"/>
    <x v="1"/>
    <x v="4"/>
    <s v="Q2 2021"/>
  </r>
  <r>
    <x v="24"/>
    <x v="11"/>
    <x v="361"/>
    <n v="7"/>
    <s v="GEO1001"/>
    <s v="GEO1001"/>
    <x v="1"/>
    <x v="4"/>
    <s v="Q2 2021"/>
  </r>
  <r>
    <x v="24"/>
    <x v="12"/>
    <x v="362"/>
    <n v="7"/>
    <s v="GEO1001"/>
    <s v="GEO1001"/>
    <x v="1"/>
    <x v="4"/>
    <s v="Q2 2021"/>
  </r>
  <r>
    <x v="24"/>
    <x v="13"/>
    <x v="363"/>
    <n v="7"/>
    <s v="GEO1001"/>
    <s v="GEO1001"/>
    <x v="1"/>
    <x v="5"/>
    <s v="Q4 2020"/>
  </r>
  <r>
    <x v="24"/>
    <x v="14"/>
    <x v="364"/>
    <n v="7"/>
    <s v="GEO1001"/>
    <s v="GEO1001"/>
    <x v="1"/>
    <x v="5"/>
    <s v="Q4 2020"/>
  </r>
  <r>
    <x v="24"/>
    <x v="15"/>
    <x v="360"/>
    <n v="7"/>
    <s v="GEO1001"/>
    <s v="GEO1001"/>
    <x v="1"/>
    <x v="5"/>
    <s v="Q4 2020"/>
  </r>
  <r>
    <x v="25"/>
    <x v="16"/>
    <x v="365"/>
    <n v="7"/>
    <s v="GEO1002"/>
    <s v="GEO1002"/>
    <x v="3"/>
    <x v="0"/>
    <s v="Q1 2020"/>
  </r>
  <r>
    <x v="25"/>
    <x v="17"/>
    <x v="366"/>
    <n v="7"/>
    <s v="GEO1002"/>
    <s v="GEO1002"/>
    <x v="3"/>
    <x v="0"/>
    <s v="Q1 2020"/>
  </r>
  <r>
    <x v="25"/>
    <x v="0"/>
    <x v="367"/>
    <n v="7"/>
    <s v="GEO1002"/>
    <s v="GEO1002"/>
    <x v="3"/>
    <x v="0"/>
    <s v="Q1 2020"/>
  </r>
  <r>
    <x v="25"/>
    <x v="1"/>
    <x v="368"/>
    <n v="7"/>
    <s v="GEO1002"/>
    <s v="GEO1002"/>
    <x v="3"/>
    <x v="1"/>
    <s v="Q2 2020"/>
  </r>
  <r>
    <x v="25"/>
    <x v="2"/>
    <x v="39"/>
    <n v="7"/>
    <s v="GEO1002"/>
    <s v="GEO1002"/>
    <x v="3"/>
    <x v="1"/>
    <s v="Q2 2020"/>
  </r>
  <r>
    <x v="25"/>
    <x v="3"/>
    <x v="369"/>
    <n v="7"/>
    <s v="GEO1002"/>
    <s v="GEO1002"/>
    <x v="3"/>
    <x v="1"/>
    <s v="Q2 2020"/>
  </r>
  <r>
    <x v="25"/>
    <x v="4"/>
    <x v="370"/>
    <n v="7"/>
    <s v="GEO1002"/>
    <s v="GEO1002"/>
    <x v="3"/>
    <x v="2"/>
    <s v="Q3 2020"/>
  </r>
  <r>
    <x v="25"/>
    <x v="5"/>
    <x v="371"/>
    <n v="7"/>
    <s v="GEO1002"/>
    <s v="GEO1002"/>
    <x v="3"/>
    <x v="2"/>
    <s v="Q3 2020"/>
  </r>
  <r>
    <x v="25"/>
    <x v="6"/>
    <x v="372"/>
    <n v="7"/>
    <s v="GEO1002"/>
    <s v="GEO1002"/>
    <x v="3"/>
    <x v="2"/>
    <s v="Q3 2020"/>
  </r>
  <r>
    <x v="25"/>
    <x v="7"/>
    <x v="373"/>
    <n v="7"/>
    <s v="GEO1002"/>
    <s v="GEO1002"/>
    <x v="3"/>
    <x v="3"/>
    <s v="Q4 2020"/>
  </r>
  <r>
    <x v="25"/>
    <x v="8"/>
    <x v="374"/>
    <n v="7"/>
    <s v="GEO1002"/>
    <s v="GEO1002"/>
    <x v="3"/>
    <x v="3"/>
    <s v="Q4 2020"/>
  </r>
  <r>
    <x v="25"/>
    <x v="9"/>
    <x v="375"/>
    <n v="7"/>
    <s v="GEO1002"/>
    <s v="GEO1002"/>
    <x v="3"/>
    <x v="3"/>
    <s v="Q4 2020"/>
  </r>
  <r>
    <x v="25"/>
    <x v="10"/>
    <x v="376"/>
    <n v="7"/>
    <s v="GEO1002"/>
    <s v="GEO1002"/>
    <x v="3"/>
    <x v="4"/>
    <s v="Q2 2021"/>
  </r>
  <r>
    <x v="25"/>
    <x v="11"/>
    <x v="240"/>
    <n v="7"/>
    <s v="GEO1002"/>
    <s v="GEO1002"/>
    <x v="3"/>
    <x v="4"/>
    <s v="Q2 2021"/>
  </r>
  <r>
    <x v="25"/>
    <x v="12"/>
    <x v="377"/>
    <n v="7"/>
    <s v="GEO1002"/>
    <s v="GEO1002"/>
    <x v="3"/>
    <x v="4"/>
    <s v="Q2 2021"/>
  </r>
  <r>
    <x v="25"/>
    <x v="13"/>
    <x v="378"/>
    <n v="7"/>
    <s v="GEO1002"/>
    <s v="GEO1002"/>
    <x v="3"/>
    <x v="5"/>
    <s v="Q4 2020"/>
  </r>
  <r>
    <x v="25"/>
    <x v="14"/>
    <x v="379"/>
    <n v="7"/>
    <s v="GEO1002"/>
    <s v="GEO1002"/>
    <x v="3"/>
    <x v="5"/>
    <s v="Q4 2020"/>
  </r>
  <r>
    <x v="25"/>
    <x v="15"/>
    <x v="380"/>
    <n v="7"/>
    <s v="GEO1002"/>
    <s v="GEO1002"/>
    <x v="3"/>
    <x v="5"/>
    <s v="Q4 2020"/>
  </r>
  <r>
    <x v="26"/>
    <x v="16"/>
    <x v="381"/>
    <n v="7"/>
    <s v="GEO1001"/>
    <s v="GEO1001"/>
    <x v="1"/>
    <x v="0"/>
    <s v="Q1 2020"/>
  </r>
  <r>
    <x v="26"/>
    <x v="17"/>
    <x v="382"/>
    <n v="7"/>
    <s v="GEO1001"/>
    <s v="GEO1001"/>
    <x v="1"/>
    <x v="0"/>
    <s v="Q1 2020"/>
  </r>
  <r>
    <x v="26"/>
    <x v="0"/>
    <x v="383"/>
    <n v="7"/>
    <s v="GEO1001"/>
    <s v="GEO1001"/>
    <x v="1"/>
    <x v="0"/>
    <s v="Q1 2020"/>
  </r>
  <r>
    <x v="26"/>
    <x v="1"/>
    <x v="384"/>
    <n v="7"/>
    <s v="GEO1001"/>
    <s v="GEO1001"/>
    <x v="1"/>
    <x v="1"/>
    <s v="Q2 2020"/>
  </r>
  <r>
    <x v="26"/>
    <x v="2"/>
    <x v="385"/>
    <n v="7"/>
    <s v="GEO1001"/>
    <s v="GEO1001"/>
    <x v="1"/>
    <x v="1"/>
    <s v="Q2 2020"/>
  </r>
  <r>
    <x v="26"/>
    <x v="3"/>
    <x v="386"/>
    <n v="7"/>
    <s v="GEO1001"/>
    <s v="GEO1001"/>
    <x v="1"/>
    <x v="1"/>
    <s v="Q2 2020"/>
  </r>
  <r>
    <x v="26"/>
    <x v="4"/>
    <x v="387"/>
    <n v="7"/>
    <s v="GEO1001"/>
    <s v="GEO1001"/>
    <x v="1"/>
    <x v="2"/>
    <s v="Q3 2020"/>
  </r>
  <r>
    <x v="26"/>
    <x v="5"/>
    <x v="388"/>
    <n v="7"/>
    <s v="GEO1001"/>
    <s v="GEO1001"/>
    <x v="1"/>
    <x v="2"/>
    <s v="Q3 2020"/>
  </r>
  <r>
    <x v="26"/>
    <x v="6"/>
    <x v="389"/>
    <n v="7"/>
    <s v="GEO1001"/>
    <s v="GEO1001"/>
    <x v="1"/>
    <x v="2"/>
    <s v="Q3 2020"/>
  </r>
  <r>
    <x v="26"/>
    <x v="7"/>
    <x v="387"/>
    <n v="7"/>
    <s v="GEO1001"/>
    <s v="GEO1001"/>
    <x v="1"/>
    <x v="3"/>
    <s v="Q4 2020"/>
  </r>
  <r>
    <x v="26"/>
    <x v="8"/>
    <x v="381"/>
    <n v="7"/>
    <s v="GEO1001"/>
    <s v="GEO1001"/>
    <x v="1"/>
    <x v="3"/>
    <s v="Q4 2020"/>
  </r>
  <r>
    <x v="26"/>
    <x v="9"/>
    <x v="386"/>
    <n v="7"/>
    <s v="GEO1001"/>
    <s v="GEO1001"/>
    <x v="1"/>
    <x v="3"/>
    <s v="Q4 2020"/>
  </r>
  <r>
    <x v="26"/>
    <x v="10"/>
    <x v="390"/>
    <n v="7"/>
    <s v="GEO1001"/>
    <s v="GEO1001"/>
    <x v="1"/>
    <x v="4"/>
    <s v="Q2 2021"/>
  </r>
  <r>
    <x v="26"/>
    <x v="11"/>
    <x v="391"/>
    <n v="7"/>
    <s v="GEO1001"/>
    <s v="GEO1001"/>
    <x v="1"/>
    <x v="4"/>
    <s v="Q2 2021"/>
  </r>
  <r>
    <x v="26"/>
    <x v="12"/>
    <x v="392"/>
    <n v="7"/>
    <s v="GEO1001"/>
    <s v="GEO1001"/>
    <x v="1"/>
    <x v="4"/>
    <s v="Q2 2021"/>
  </r>
  <r>
    <x v="26"/>
    <x v="13"/>
    <x v="393"/>
    <n v="7"/>
    <s v="GEO1001"/>
    <s v="GEO1001"/>
    <x v="1"/>
    <x v="5"/>
    <s v="Q4 2020"/>
  </r>
  <r>
    <x v="26"/>
    <x v="14"/>
    <x v="394"/>
    <n v="7"/>
    <s v="GEO1001"/>
    <s v="GEO1001"/>
    <x v="1"/>
    <x v="5"/>
    <s v="Q4 2020"/>
  </r>
  <r>
    <x v="26"/>
    <x v="15"/>
    <x v="395"/>
    <n v="7"/>
    <s v="GEO1001"/>
    <s v="GEO1001"/>
    <x v="1"/>
    <x v="5"/>
    <s v="Q4 2020"/>
  </r>
  <r>
    <x v="27"/>
    <x v="16"/>
    <x v="396"/>
    <n v="7"/>
    <s v="GEO1002"/>
    <s v="GEO1002"/>
    <x v="3"/>
    <x v="0"/>
    <s v="Q1 2020"/>
  </r>
  <r>
    <x v="27"/>
    <x v="17"/>
    <x v="397"/>
    <n v="7"/>
    <s v="GEO1002"/>
    <s v="GEO1002"/>
    <x v="3"/>
    <x v="0"/>
    <s v="Q1 2020"/>
  </r>
  <r>
    <x v="27"/>
    <x v="0"/>
    <x v="397"/>
    <n v="7"/>
    <s v="GEO1002"/>
    <s v="GEO1002"/>
    <x v="3"/>
    <x v="0"/>
    <s v="Q1 2020"/>
  </r>
  <r>
    <x v="27"/>
    <x v="1"/>
    <x v="398"/>
    <n v="7"/>
    <s v="GEO1002"/>
    <s v="GEO1002"/>
    <x v="3"/>
    <x v="1"/>
    <s v="Q2 2020"/>
  </r>
  <r>
    <x v="27"/>
    <x v="2"/>
    <x v="399"/>
    <n v="7"/>
    <s v="GEO1002"/>
    <s v="GEO1002"/>
    <x v="3"/>
    <x v="1"/>
    <s v="Q2 2020"/>
  </r>
  <r>
    <x v="27"/>
    <x v="3"/>
    <x v="400"/>
    <n v="7"/>
    <s v="GEO1002"/>
    <s v="GEO1002"/>
    <x v="3"/>
    <x v="1"/>
    <s v="Q2 2020"/>
  </r>
  <r>
    <x v="27"/>
    <x v="4"/>
    <x v="401"/>
    <n v="7"/>
    <s v="GEO1002"/>
    <s v="GEO1002"/>
    <x v="3"/>
    <x v="2"/>
    <s v="Q3 2020"/>
  </r>
  <r>
    <x v="27"/>
    <x v="5"/>
    <x v="402"/>
    <n v="7"/>
    <s v="GEO1002"/>
    <s v="GEO1002"/>
    <x v="3"/>
    <x v="2"/>
    <s v="Q3 2020"/>
  </r>
  <r>
    <x v="27"/>
    <x v="6"/>
    <x v="403"/>
    <n v="7"/>
    <s v="GEO1002"/>
    <s v="GEO1002"/>
    <x v="3"/>
    <x v="2"/>
    <s v="Q3 2020"/>
  </r>
  <r>
    <x v="27"/>
    <x v="7"/>
    <x v="404"/>
    <n v="7"/>
    <s v="GEO1002"/>
    <s v="GEO1002"/>
    <x v="3"/>
    <x v="3"/>
    <s v="Q4 2020"/>
  </r>
  <r>
    <x v="27"/>
    <x v="8"/>
    <x v="405"/>
    <n v="7"/>
    <s v="GEO1002"/>
    <s v="GEO1002"/>
    <x v="3"/>
    <x v="3"/>
    <s v="Q4 2020"/>
  </r>
  <r>
    <x v="27"/>
    <x v="9"/>
    <x v="406"/>
    <n v="7"/>
    <s v="GEO1002"/>
    <s v="GEO1002"/>
    <x v="3"/>
    <x v="3"/>
    <s v="Q4 2020"/>
  </r>
  <r>
    <x v="27"/>
    <x v="10"/>
    <x v="407"/>
    <n v="7"/>
    <s v="GEO1002"/>
    <s v="GEO1002"/>
    <x v="3"/>
    <x v="4"/>
    <s v="Q2 2021"/>
  </r>
  <r>
    <x v="27"/>
    <x v="11"/>
    <x v="408"/>
    <n v="7"/>
    <s v="GEO1002"/>
    <s v="GEO1002"/>
    <x v="3"/>
    <x v="4"/>
    <s v="Q2 2021"/>
  </r>
  <r>
    <x v="27"/>
    <x v="12"/>
    <x v="409"/>
    <n v="7"/>
    <s v="GEO1002"/>
    <s v="GEO1002"/>
    <x v="3"/>
    <x v="4"/>
    <s v="Q2 2021"/>
  </r>
  <r>
    <x v="27"/>
    <x v="13"/>
    <x v="410"/>
    <n v="7"/>
    <s v="GEO1002"/>
    <s v="GEO1002"/>
    <x v="3"/>
    <x v="5"/>
    <s v="Q4 2020"/>
  </r>
  <r>
    <x v="27"/>
    <x v="14"/>
    <x v="90"/>
    <n v="7"/>
    <s v="GEO1002"/>
    <s v="GEO1002"/>
    <x v="3"/>
    <x v="5"/>
    <s v="Q4 2020"/>
  </r>
  <r>
    <x v="27"/>
    <x v="15"/>
    <x v="14"/>
    <n v="7"/>
    <s v="GEO1002"/>
    <s v="GEO1002"/>
    <x v="3"/>
    <x v="5"/>
    <s v="Q4 2020"/>
  </r>
  <r>
    <x v="28"/>
    <x v="16"/>
    <x v="411"/>
    <n v="7"/>
    <s v="GEO1001"/>
    <s v="GEO1001"/>
    <x v="1"/>
    <x v="0"/>
    <s v="Q1 2020"/>
  </r>
  <r>
    <x v="28"/>
    <x v="17"/>
    <x v="412"/>
    <n v="7"/>
    <s v="GEO1001"/>
    <s v="GEO1001"/>
    <x v="1"/>
    <x v="0"/>
    <s v="Q1 2020"/>
  </r>
  <r>
    <x v="28"/>
    <x v="0"/>
    <x v="413"/>
    <n v="7"/>
    <s v="GEO1001"/>
    <s v="GEO1001"/>
    <x v="1"/>
    <x v="0"/>
    <s v="Q1 2020"/>
  </r>
  <r>
    <x v="28"/>
    <x v="1"/>
    <x v="414"/>
    <n v="7"/>
    <s v="GEO1001"/>
    <s v="GEO1001"/>
    <x v="1"/>
    <x v="1"/>
    <s v="Q2 2020"/>
  </r>
  <r>
    <x v="28"/>
    <x v="2"/>
    <x v="415"/>
    <n v="7"/>
    <s v="GEO1001"/>
    <s v="GEO1001"/>
    <x v="1"/>
    <x v="1"/>
    <s v="Q2 2020"/>
  </r>
  <r>
    <x v="28"/>
    <x v="3"/>
    <x v="416"/>
    <n v="7"/>
    <s v="GEO1001"/>
    <s v="GEO1001"/>
    <x v="1"/>
    <x v="1"/>
    <s v="Q2 2020"/>
  </r>
  <r>
    <x v="28"/>
    <x v="4"/>
    <x v="417"/>
    <n v="7"/>
    <s v="GEO1001"/>
    <s v="GEO1001"/>
    <x v="1"/>
    <x v="2"/>
    <s v="Q3 2020"/>
  </r>
  <r>
    <x v="28"/>
    <x v="5"/>
    <x v="418"/>
    <n v="7"/>
    <s v="GEO1001"/>
    <s v="GEO1001"/>
    <x v="1"/>
    <x v="2"/>
    <s v="Q3 2020"/>
  </r>
  <r>
    <x v="28"/>
    <x v="6"/>
    <x v="419"/>
    <n v="7"/>
    <s v="GEO1001"/>
    <s v="GEO1001"/>
    <x v="1"/>
    <x v="2"/>
    <s v="Q3 2020"/>
  </r>
  <r>
    <x v="28"/>
    <x v="7"/>
    <x v="420"/>
    <n v="7"/>
    <s v="GEO1001"/>
    <s v="GEO1001"/>
    <x v="1"/>
    <x v="3"/>
    <s v="Q4 2020"/>
  </r>
  <r>
    <x v="28"/>
    <x v="8"/>
    <x v="421"/>
    <n v="7"/>
    <s v="GEO1001"/>
    <s v="GEO1001"/>
    <x v="1"/>
    <x v="3"/>
    <s v="Q4 2020"/>
  </r>
  <r>
    <x v="28"/>
    <x v="9"/>
    <x v="422"/>
    <n v="7"/>
    <s v="GEO1001"/>
    <s v="GEO1001"/>
    <x v="1"/>
    <x v="3"/>
    <s v="Q4 2020"/>
  </r>
  <r>
    <x v="28"/>
    <x v="10"/>
    <x v="423"/>
    <n v="7"/>
    <s v="GEO1001"/>
    <s v="GEO1001"/>
    <x v="1"/>
    <x v="4"/>
    <s v="Q2 2021"/>
  </r>
  <r>
    <x v="28"/>
    <x v="11"/>
    <x v="424"/>
    <n v="7"/>
    <s v="GEO1001"/>
    <s v="GEO1001"/>
    <x v="1"/>
    <x v="4"/>
    <s v="Q2 2021"/>
  </r>
  <r>
    <x v="28"/>
    <x v="12"/>
    <x v="425"/>
    <n v="7"/>
    <s v="GEO1001"/>
    <s v="GEO1001"/>
    <x v="1"/>
    <x v="4"/>
    <s v="Q2 2021"/>
  </r>
  <r>
    <x v="28"/>
    <x v="13"/>
    <x v="426"/>
    <n v="7"/>
    <s v="GEO1001"/>
    <s v="GEO1001"/>
    <x v="1"/>
    <x v="5"/>
    <s v="Q4 2020"/>
  </r>
  <r>
    <x v="28"/>
    <x v="14"/>
    <x v="427"/>
    <n v="7"/>
    <s v="GEO1001"/>
    <s v="GEO1001"/>
    <x v="1"/>
    <x v="5"/>
    <s v="Q4 2020"/>
  </r>
  <r>
    <x v="28"/>
    <x v="15"/>
    <x v="428"/>
    <n v="7"/>
    <s v="GEO1001"/>
    <s v="GEO1001"/>
    <x v="1"/>
    <x v="5"/>
    <s v="Q4 2020"/>
  </r>
  <r>
    <x v="29"/>
    <x v="16"/>
    <x v="429"/>
    <n v="7"/>
    <s v="GEO1001"/>
    <s v="GEO1001"/>
    <x v="1"/>
    <x v="0"/>
    <s v="Q1 2020"/>
  </r>
  <r>
    <x v="29"/>
    <x v="17"/>
    <x v="430"/>
    <n v="7"/>
    <s v="GEO1001"/>
    <s v="GEO1001"/>
    <x v="1"/>
    <x v="0"/>
    <s v="Q1 2020"/>
  </r>
  <r>
    <x v="29"/>
    <x v="0"/>
    <x v="431"/>
    <n v="7"/>
    <s v="GEO1001"/>
    <s v="GEO1001"/>
    <x v="1"/>
    <x v="0"/>
    <s v="Q1 2020"/>
  </r>
  <r>
    <x v="29"/>
    <x v="1"/>
    <x v="432"/>
    <n v="7"/>
    <s v="GEO1001"/>
    <s v="GEO1001"/>
    <x v="1"/>
    <x v="1"/>
    <s v="Q2 2020"/>
  </r>
  <r>
    <x v="29"/>
    <x v="2"/>
    <x v="433"/>
    <n v="7"/>
    <s v="GEO1001"/>
    <s v="GEO1001"/>
    <x v="1"/>
    <x v="1"/>
    <s v="Q2 2020"/>
  </r>
  <r>
    <x v="29"/>
    <x v="3"/>
    <x v="184"/>
    <n v="7"/>
    <s v="GEO1001"/>
    <s v="GEO1001"/>
    <x v="1"/>
    <x v="1"/>
    <s v="Q2 2020"/>
  </r>
  <r>
    <x v="29"/>
    <x v="4"/>
    <x v="98"/>
    <n v="7"/>
    <s v="GEO1001"/>
    <s v="GEO1001"/>
    <x v="1"/>
    <x v="2"/>
    <s v="Q3 2020"/>
  </r>
  <r>
    <x v="29"/>
    <x v="5"/>
    <x v="434"/>
    <n v="7"/>
    <s v="GEO1001"/>
    <s v="GEO1001"/>
    <x v="1"/>
    <x v="2"/>
    <s v="Q3 2020"/>
  </r>
  <r>
    <x v="29"/>
    <x v="6"/>
    <x v="21"/>
    <n v="7"/>
    <s v="GEO1001"/>
    <s v="GEO1001"/>
    <x v="1"/>
    <x v="2"/>
    <s v="Q3 2020"/>
  </r>
  <r>
    <x v="29"/>
    <x v="7"/>
    <x v="86"/>
    <n v="7"/>
    <s v="GEO1001"/>
    <s v="GEO1001"/>
    <x v="1"/>
    <x v="3"/>
    <s v="Q4 2020"/>
  </r>
  <r>
    <x v="29"/>
    <x v="8"/>
    <x v="435"/>
    <n v="7"/>
    <s v="GEO1001"/>
    <s v="GEO1001"/>
    <x v="1"/>
    <x v="3"/>
    <s v="Q4 2020"/>
  </r>
  <r>
    <x v="29"/>
    <x v="9"/>
    <x v="184"/>
    <n v="7"/>
    <s v="GEO1001"/>
    <s v="GEO1001"/>
    <x v="1"/>
    <x v="3"/>
    <s v="Q4 2020"/>
  </r>
  <r>
    <x v="29"/>
    <x v="12"/>
    <x v="436"/>
    <n v="7"/>
    <s v="GEO1001"/>
    <s v="GEO1001"/>
    <x v="1"/>
    <x v="4"/>
    <s v="Q2 2021"/>
  </r>
  <r>
    <x v="29"/>
    <x v="13"/>
    <x v="437"/>
    <n v="7"/>
    <s v="GEO1001"/>
    <s v="GEO1001"/>
    <x v="1"/>
    <x v="5"/>
    <s v="Q4 2020"/>
  </r>
  <r>
    <x v="29"/>
    <x v="14"/>
    <x v="438"/>
    <n v="7"/>
    <s v="GEO1001"/>
    <s v="GEO1001"/>
    <x v="1"/>
    <x v="5"/>
    <s v="Q4 2020"/>
  </r>
  <r>
    <x v="29"/>
    <x v="15"/>
    <x v="439"/>
    <n v="7"/>
    <s v="GEO1001"/>
    <s v="GEO1001"/>
    <x v="1"/>
    <x v="5"/>
    <s v="Q4 2020"/>
  </r>
  <r>
    <x v="30"/>
    <x v="16"/>
    <x v="440"/>
    <n v="7"/>
    <s v="GEO1004"/>
    <s v="GEO1004"/>
    <x v="0"/>
    <x v="0"/>
    <s v="Q1 2020"/>
  </r>
  <r>
    <x v="30"/>
    <x v="17"/>
    <x v="441"/>
    <n v="7"/>
    <s v="GEO1004"/>
    <s v="GEO1004"/>
    <x v="0"/>
    <x v="0"/>
    <s v="Q1 2020"/>
  </r>
  <r>
    <x v="30"/>
    <x v="0"/>
    <x v="442"/>
    <n v="7"/>
    <s v="GEO1004"/>
    <s v="GEO1004"/>
    <x v="0"/>
    <x v="0"/>
    <s v="Q1 2020"/>
  </r>
  <r>
    <x v="30"/>
    <x v="1"/>
    <x v="375"/>
    <n v="7"/>
    <s v="GEO1004"/>
    <s v="GEO1004"/>
    <x v="0"/>
    <x v="1"/>
    <s v="Q2 2020"/>
  </r>
  <r>
    <x v="30"/>
    <x v="2"/>
    <x v="443"/>
    <n v="7"/>
    <s v="GEO1004"/>
    <s v="GEO1004"/>
    <x v="0"/>
    <x v="1"/>
    <s v="Q2 2020"/>
  </r>
  <r>
    <x v="30"/>
    <x v="3"/>
    <x v="444"/>
    <n v="7"/>
    <s v="GEO1004"/>
    <s v="GEO1004"/>
    <x v="0"/>
    <x v="1"/>
    <s v="Q2 2020"/>
  </r>
  <r>
    <x v="30"/>
    <x v="4"/>
    <x v="445"/>
    <n v="7"/>
    <s v="GEO1004"/>
    <s v="GEO1004"/>
    <x v="0"/>
    <x v="2"/>
    <s v="Q3 2020"/>
  </r>
  <r>
    <x v="30"/>
    <x v="5"/>
    <x v="446"/>
    <n v="7"/>
    <s v="GEO1004"/>
    <s v="GEO1004"/>
    <x v="0"/>
    <x v="2"/>
    <s v="Q3 2020"/>
  </r>
  <r>
    <x v="30"/>
    <x v="6"/>
    <x v="447"/>
    <n v="7"/>
    <s v="GEO1004"/>
    <s v="GEO1004"/>
    <x v="0"/>
    <x v="2"/>
    <s v="Q3 2020"/>
  </r>
  <r>
    <x v="30"/>
    <x v="7"/>
    <x v="372"/>
    <n v="7"/>
    <s v="GEO1004"/>
    <s v="GEO1004"/>
    <x v="0"/>
    <x v="3"/>
    <s v="Q4 2020"/>
  </r>
  <r>
    <x v="30"/>
    <x v="8"/>
    <x v="448"/>
    <n v="7"/>
    <s v="GEO1004"/>
    <s v="GEO1004"/>
    <x v="0"/>
    <x v="3"/>
    <s v="Q4 2020"/>
  </r>
  <r>
    <x v="30"/>
    <x v="9"/>
    <x v="444"/>
    <n v="7"/>
    <s v="GEO1004"/>
    <s v="GEO1004"/>
    <x v="0"/>
    <x v="3"/>
    <s v="Q4 2020"/>
  </r>
  <r>
    <x v="30"/>
    <x v="10"/>
    <x v="449"/>
    <n v="7"/>
    <s v="GEO1004"/>
    <s v="GEO1004"/>
    <x v="0"/>
    <x v="4"/>
    <s v="Q2 2021"/>
  </r>
  <r>
    <x v="30"/>
    <x v="11"/>
    <x v="443"/>
    <n v="7"/>
    <s v="GEO1004"/>
    <s v="GEO1004"/>
    <x v="0"/>
    <x v="4"/>
    <s v="Q2 2021"/>
  </r>
  <r>
    <x v="30"/>
    <x v="12"/>
    <x v="310"/>
    <n v="7"/>
    <s v="GEO1004"/>
    <s v="GEO1004"/>
    <x v="0"/>
    <x v="4"/>
    <s v="Q2 2021"/>
  </r>
  <r>
    <x v="30"/>
    <x v="13"/>
    <x v="141"/>
    <n v="7"/>
    <s v="GEO1004"/>
    <s v="GEO1004"/>
    <x v="0"/>
    <x v="5"/>
    <s v="Q4 2020"/>
  </r>
  <r>
    <x v="30"/>
    <x v="14"/>
    <x v="441"/>
    <n v="7"/>
    <s v="GEO1004"/>
    <s v="GEO1004"/>
    <x v="0"/>
    <x v="5"/>
    <s v="Q4 2020"/>
  </r>
  <r>
    <x v="30"/>
    <x v="15"/>
    <x v="450"/>
    <n v="7"/>
    <s v="GEO1004"/>
    <s v="GEO1004"/>
    <x v="0"/>
    <x v="5"/>
    <s v="Q4 2020"/>
  </r>
  <r>
    <x v="31"/>
    <x v="16"/>
    <x v="451"/>
    <n v="7"/>
    <s v="GEO1001"/>
    <s v="GEO1001"/>
    <x v="1"/>
    <x v="0"/>
    <s v="Q1 2020"/>
  </r>
  <r>
    <x v="31"/>
    <x v="17"/>
    <x v="452"/>
    <n v="7"/>
    <s v="GEO1001"/>
    <s v="GEO1001"/>
    <x v="1"/>
    <x v="0"/>
    <s v="Q1 2020"/>
  </r>
  <r>
    <x v="31"/>
    <x v="0"/>
    <x v="453"/>
    <n v="7"/>
    <s v="GEO1001"/>
    <s v="GEO1001"/>
    <x v="1"/>
    <x v="0"/>
    <s v="Q1 2020"/>
  </r>
  <r>
    <x v="31"/>
    <x v="1"/>
    <x v="454"/>
    <n v="7"/>
    <s v="GEO1001"/>
    <s v="GEO1001"/>
    <x v="1"/>
    <x v="1"/>
    <s v="Q2 2020"/>
  </r>
  <r>
    <x v="31"/>
    <x v="2"/>
    <x v="455"/>
    <n v="7"/>
    <s v="GEO1001"/>
    <s v="GEO1001"/>
    <x v="1"/>
    <x v="1"/>
    <s v="Q2 2020"/>
  </r>
  <r>
    <x v="31"/>
    <x v="3"/>
    <x v="456"/>
    <n v="7"/>
    <s v="GEO1001"/>
    <s v="GEO1001"/>
    <x v="1"/>
    <x v="1"/>
    <s v="Q2 2020"/>
  </r>
  <r>
    <x v="31"/>
    <x v="4"/>
    <x v="457"/>
    <n v="7"/>
    <s v="GEO1001"/>
    <s v="GEO1001"/>
    <x v="1"/>
    <x v="2"/>
    <s v="Q3 2020"/>
  </r>
  <r>
    <x v="31"/>
    <x v="5"/>
    <x v="148"/>
    <n v="7"/>
    <s v="GEO1001"/>
    <s v="GEO1001"/>
    <x v="1"/>
    <x v="2"/>
    <s v="Q3 2020"/>
  </r>
  <r>
    <x v="31"/>
    <x v="6"/>
    <x v="458"/>
    <n v="7"/>
    <s v="GEO1001"/>
    <s v="GEO1001"/>
    <x v="1"/>
    <x v="2"/>
    <s v="Q3 2020"/>
  </r>
  <r>
    <x v="31"/>
    <x v="7"/>
    <x v="459"/>
    <n v="7"/>
    <s v="GEO1001"/>
    <s v="GEO1001"/>
    <x v="1"/>
    <x v="3"/>
    <s v="Q4 2020"/>
  </r>
  <r>
    <x v="31"/>
    <x v="8"/>
    <x v="245"/>
    <n v="7"/>
    <s v="GEO1001"/>
    <s v="GEO1001"/>
    <x v="1"/>
    <x v="3"/>
    <s v="Q4 2020"/>
  </r>
  <r>
    <x v="31"/>
    <x v="9"/>
    <x v="460"/>
    <n v="7"/>
    <s v="GEO1001"/>
    <s v="GEO1001"/>
    <x v="1"/>
    <x v="3"/>
    <s v="Q4 2020"/>
  </r>
  <r>
    <x v="31"/>
    <x v="10"/>
    <x v="461"/>
    <n v="7"/>
    <s v="GEO1001"/>
    <s v="GEO1001"/>
    <x v="1"/>
    <x v="4"/>
    <s v="Q2 2021"/>
  </r>
  <r>
    <x v="31"/>
    <x v="11"/>
    <x v="462"/>
    <n v="7"/>
    <s v="GEO1001"/>
    <s v="GEO1001"/>
    <x v="1"/>
    <x v="4"/>
    <s v="Q2 2021"/>
  </r>
  <r>
    <x v="31"/>
    <x v="12"/>
    <x v="463"/>
    <n v="7"/>
    <s v="GEO1001"/>
    <s v="GEO1001"/>
    <x v="1"/>
    <x v="4"/>
    <s v="Q2 2021"/>
  </r>
  <r>
    <x v="31"/>
    <x v="13"/>
    <x v="464"/>
    <n v="7"/>
    <s v="GEO1001"/>
    <s v="GEO1001"/>
    <x v="1"/>
    <x v="5"/>
    <s v="Q4 2020"/>
  </r>
  <r>
    <x v="31"/>
    <x v="14"/>
    <x v="465"/>
    <n v="7"/>
    <s v="GEO1001"/>
    <s v="GEO1001"/>
    <x v="1"/>
    <x v="5"/>
    <s v="Q4 2020"/>
  </r>
  <r>
    <x v="31"/>
    <x v="15"/>
    <x v="466"/>
    <n v="7"/>
    <s v="GEO1001"/>
    <s v="GEO1001"/>
    <x v="1"/>
    <x v="5"/>
    <s v="Q4 2020"/>
  </r>
  <r>
    <x v="32"/>
    <x v="16"/>
    <x v="467"/>
    <n v="7"/>
    <s v="GEO1003"/>
    <s v="GEO1003"/>
    <x v="2"/>
    <x v="0"/>
    <s v="Q1 2020"/>
  </r>
  <r>
    <x v="32"/>
    <x v="17"/>
    <x v="468"/>
    <n v="7"/>
    <s v="GEO1003"/>
    <s v="GEO1003"/>
    <x v="2"/>
    <x v="0"/>
    <s v="Q1 2020"/>
  </r>
  <r>
    <x v="32"/>
    <x v="0"/>
    <x v="469"/>
    <n v="7"/>
    <s v="GEO1003"/>
    <s v="GEO1003"/>
    <x v="2"/>
    <x v="0"/>
    <s v="Q1 2020"/>
  </r>
  <r>
    <x v="32"/>
    <x v="1"/>
    <x v="470"/>
    <n v="7"/>
    <s v="GEO1003"/>
    <s v="GEO1003"/>
    <x v="2"/>
    <x v="1"/>
    <s v="Q2 2020"/>
  </r>
  <r>
    <x v="32"/>
    <x v="2"/>
    <x v="471"/>
    <n v="7"/>
    <s v="GEO1003"/>
    <s v="GEO1003"/>
    <x v="2"/>
    <x v="1"/>
    <s v="Q2 2020"/>
  </r>
  <r>
    <x v="32"/>
    <x v="3"/>
    <x v="472"/>
    <n v="7"/>
    <s v="GEO1003"/>
    <s v="GEO1003"/>
    <x v="2"/>
    <x v="1"/>
    <s v="Q2 2020"/>
  </r>
  <r>
    <x v="32"/>
    <x v="4"/>
    <x v="473"/>
    <n v="7"/>
    <s v="GEO1003"/>
    <s v="GEO1003"/>
    <x v="2"/>
    <x v="2"/>
    <s v="Q3 2020"/>
  </r>
  <r>
    <x v="32"/>
    <x v="5"/>
    <x v="85"/>
    <n v="7"/>
    <s v="GEO1003"/>
    <s v="GEO1003"/>
    <x v="2"/>
    <x v="2"/>
    <s v="Q3 2020"/>
  </r>
  <r>
    <x v="32"/>
    <x v="6"/>
    <x v="474"/>
    <n v="7"/>
    <s v="GEO1003"/>
    <s v="GEO1003"/>
    <x v="2"/>
    <x v="2"/>
    <s v="Q3 2020"/>
  </r>
  <r>
    <x v="32"/>
    <x v="7"/>
    <x v="475"/>
    <n v="7"/>
    <s v="GEO1003"/>
    <s v="GEO1003"/>
    <x v="2"/>
    <x v="3"/>
    <s v="Q4 2020"/>
  </r>
  <r>
    <x v="32"/>
    <x v="8"/>
    <x v="467"/>
    <n v="7"/>
    <s v="GEO1003"/>
    <s v="GEO1003"/>
    <x v="2"/>
    <x v="3"/>
    <s v="Q4 2020"/>
  </r>
  <r>
    <x v="32"/>
    <x v="9"/>
    <x v="358"/>
    <n v="7"/>
    <s v="GEO1003"/>
    <s v="GEO1003"/>
    <x v="2"/>
    <x v="3"/>
    <s v="Q4 2020"/>
  </r>
  <r>
    <x v="32"/>
    <x v="10"/>
    <x v="476"/>
    <n v="7"/>
    <s v="GEO1003"/>
    <s v="GEO1003"/>
    <x v="2"/>
    <x v="4"/>
    <s v="Q2 2021"/>
  </r>
  <r>
    <x v="32"/>
    <x v="11"/>
    <x v="477"/>
    <n v="7"/>
    <s v="GEO1003"/>
    <s v="GEO1003"/>
    <x v="2"/>
    <x v="4"/>
    <s v="Q2 2021"/>
  </r>
  <r>
    <x v="32"/>
    <x v="12"/>
    <x v="478"/>
    <n v="7"/>
    <s v="GEO1003"/>
    <s v="GEO1003"/>
    <x v="2"/>
    <x v="4"/>
    <s v="Q2 2021"/>
  </r>
  <r>
    <x v="32"/>
    <x v="13"/>
    <x v="479"/>
    <n v="7"/>
    <s v="GEO1003"/>
    <s v="GEO1003"/>
    <x v="2"/>
    <x v="5"/>
    <s v="Q4 2020"/>
  </r>
  <r>
    <x v="32"/>
    <x v="14"/>
    <x v="480"/>
    <n v="7"/>
    <s v="GEO1003"/>
    <s v="GEO1003"/>
    <x v="2"/>
    <x v="5"/>
    <s v="Q4 2020"/>
  </r>
  <r>
    <x v="32"/>
    <x v="15"/>
    <x v="481"/>
    <n v="7"/>
    <s v="GEO1003"/>
    <s v="GEO1003"/>
    <x v="2"/>
    <x v="5"/>
    <s v="Q4 2020"/>
  </r>
  <r>
    <x v="33"/>
    <x v="16"/>
    <x v="482"/>
    <n v="7"/>
    <s v="GEO1002"/>
    <s v="GEO1002"/>
    <x v="3"/>
    <x v="0"/>
    <s v="Q1 2020"/>
  </r>
  <r>
    <x v="33"/>
    <x v="17"/>
    <x v="414"/>
    <n v="7"/>
    <s v="GEO1002"/>
    <s v="GEO1002"/>
    <x v="3"/>
    <x v="0"/>
    <s v="Q1 2020"/>
  </r>
  <r>
    <x v="33"/>
    <x v="0"/>
    <x v="483"/>
    <n v="7"/>
    <s v="GEO1002"/>
    <s v="GEO1002"/>
    <x v="3"/>
    <x v="0"/>
    <s v="Q1 2020"/>
  </r>
  <r>
    <x v="33"/>
    <x v="1"/>
    <x v="484"/>
    <n v="7"/>
    <s v="GEO1002"/>
    <s v="GEO1002"/>
    <x v="3"/>
    <x v="1"/>
    <s v="Q2 2020"/>
  </r>
  <r>
    <x v="33"/>
    <x v="2"/>
    <x v="485"/>
    <n v="7"/>
    <s v="GEO1002"/>
    <s v="GEO1002"/>
    <x v="3"/>
    <x v="1"/>
    <s v="Q2 2020"/>
  </r>
  <r>
    <x v="33"/>
    <x v="3"/>
    <x v="486"/>
    <n v="7"/>
    <s v="GEO1002"/>
    <s v="GEO1002"/>
    <x v="3"/>
    <x v="1"/>
    <s v="Q2 2020"/>
  </r>
  <r>
    <x v="33"/>
    <x v="4"/>
    <x v="487"/>
    <n v="7"/>
    <s v="GEO1002"/>
    <s v="GEO1002"/>
    <x v="3"/>
    <x v="2"/>
    <s v="Q3 2020"/>
  </r>
  <r>
    <x v="33"/>
    <x v="5"/>
    <x v="488"/>
    <n v="7"/>
    <s v="GEO1002"/>
    <s v="GEO1002"/>
    <x v="3"/>
    <x v="2"/>
    <s v="Q3 2020"/>
  </r>
  <r>
    <x v="33"/>
    <x v="6"/>
    <x v="489"/>
    <n v="7"/>
    <s v="GEO1002"/>
    <s v="GEO1002"/>
    <x v="3"/>
    <x v="2"/>
    <s v="Q3 2020"/>
  </r>
  <r>
    <x v="33"/>
    <x v="7"/>
    <x v="490"/>
    <n v="7"/>
    <s v="GEO1002"/>
    <s v="GEO1002"/>
    <x v="3"/>
    <x v="3"/>
    <s v="Q4 2020"/>
  </r>
  <r>
    <x v="33"/>
    <x v="8"/>
    <x v="482"/>
    <n v="7"/>
    <s v="GEO1002"/>
    <s v="GEO1002"/>
    <x v="3"/>
    <x v="3"/>
    <s v="Q4 2020"/>
  </r>
  <r>
    <x v="33"/>
    <x v="9"/>
    <x v="491"/>
    <n v="7"/>
    <s v="GEO1002"/>
    <s v="GEO1002"/>
    <x v="3"/>
    <x v="3"/>
    <s v="Q4 2020"/>
  </r>
  <r>
    <x v="33"/>
    <x v="10"/>
    <x v="492"/>
    <n v="7"/>
    <s v="GEO1002"/>
    <s v="GEO1002"/>
    <x v="3"/>
    <x v="4"/>
    <s v="Q2 2021"/>
  </r>
  <r>
    <x v="33"/>
    <x v="11"/>
    <x v="493"/>
    <n v="7"/>
    <s v="GEO1002"/>
    <s v="GEO1002"/>
    <x v="3"/>
    <x v="4"/>
    <s v="Q2 2021"/>
  </r>
  <r>
    <x v="33"/>
    <x v="12"/>
    <x v="494"/>
    <n v="7"/>
    <s v="GEO1002"/>
    <s v="GEO1002"/>
    <x v="3"/>
    <x v="4"/>
    <s v="Q2 2021"/>
  </r>
  <r>
    <x v="33"/>
    <x v="13"/>
    <x v="495"/>
    <n v="7"/>
    <s v="GEO1002"/>
    <s v="GEO1002"/>
    <x v="3"/>
    <x v="5"/>
    <s v="Q4 2020"/>
  </r>
  <r>
    <x v="33"/>
    <x v="14"/>
    <x v="496"/>
    <n v="7"/>
    <s v="GEO1002"/>
    <s v="GEO1002"/>
    <x v="3"/>
    <x v="5"/>
    <s v="Q4 2020"/>
  </r>
  <r>
    <x v="33"/>
    <x v="15"/>
    <x v="497"/>
    <n v="7"/>
    <s v="GEO1002"/>
    <s v="GEO1002"/>
    <x v="3"/>
    <x v="5"/>
    <s v="Q4 2020"/>
  </r>
  <r>
    <x v="34"/>
    <x v="16"/>
    <x v="498"/>
    <n v="7"/>
    <s v="GEO1003"/>
    <s v="GEO1003"/>
    <x v="2"/>
    <x v="0"/>
    <s v="Q1 2020"/>
  </r>
  <r>
    <x v="34"/>
    <x v="17"/>
    <x v="499"/>
    <n v="7"/>
    <s v="GEO1003"/>
    <s v="GEO1003"/>
    <x v="2"/>
    <x v="0"/>
    <s v="Q1 2020"/>
  </r>
  <r>
    <x v="34"/>
    <x v="0"/>
    <x v="460"/>
    <n v="7"/>
    <s v="GEO1003"/>
    <s v="GEO1003"/>
    <x v="2"/>
    <x v="0"/>
    <s v="Q1 2020"/>
  </r>
  <r>
    <x v="34"/>
    <x v="1"/>
    <x v="500"/>
    <n v="7"/>
    <s v="GEO1003"/>
    <s v="GEO1003"/>
    <x v="2"/>
    <x v="1"/>
    <s v="Q2 2020"/>
  </r>
  <r>
    <x v="34"/>
    <x v="2"/>
    <x v="501"/>
    <n v="7"/>
    <s v="GEO1003"/>
    <s v="GEO1003"/>
    <x v="2"/>
    <x v="1"/>
    <s v="Q2 2020"/>
  </r>
  <r>
    <x v="34"/>
    <x v="3"/>
    <x v="502"/>
    <n v="7"/>
    <s v="GEO1003"/>
    <s v="GEO1003"/>
    <x v="2"/>
    <x v="1"/>
    <s v="Q2 2020"/>
  </r>
  <r>
    <x v="34"/>
    <x v="4"/>
    <x v="503"/>
    <n v="7"/>
    <s v="GEO1003"/>
    <s v="GEO1003"/>
    <x v="2"/>
    <x v="2"/>
    <s v="Q3 2020"/>
  </r>
  <r>
    <x v="34"/>
    <x v="5"/>
    <x v="504"/>
    <n v="7"/>
    <s v="GEO1003"/>
    <s v="GEO1003"/>
    <x v="2"/>
    <x v="2"/>
    <s v="Q3 2020"/>
  </r>
  <r>
    <x v="34"/>
    <x v="6"/>
    <x v="505"/>
    <n v="7"/>
    <s v="GEO1003"/>
    <s v="GEO1003"/>
    <x v="2"/>
    <x v="2"/>
    <s v="Q3 2020"/>
  </r>
  <r>
    <x v="34"/>
    <x v="7"/>
    <x v="505"/>
    <n v="7"/>
    <s v="GEO1003"/>
    <s v="GEO1003"/>
    <x v="2"/>
    <x v="3"/>
    <s v="Q4 2020"/>
  </r>
  <r>
    <x v="34"/>
    <x v="8"/>
    <x v="499"/>
    <n v="7"/>
    <s v="GEO1003"/>
    <s v="GEO1003"/>
    <x v="2"/>
    <x v="3"/>
    <s v="Q4 2020"/>
  </r>
  <r>
    <x v="34"/>
    <x v="9"/>
    <x v="214"/>
    <n v="7"/>
    <s v="GEO1003"/>
    <s v="GEO1003"/>
    <x v="2"/>
    <x v="3"/>
    <s v="Q4 2020"/>
  </r>
  <r>
    <x v="34"/>
    <x v="10"/>
    <x v="506"/>
    <n v="7"/>
    <s v="GEO1003"/>
    <s v="GEO1003"/>
    <x v="2"/>
    <x v="4"/>
    <s v="Q2 2021"/>
  </r>
  <r>
    <x v="34"/>
    <x v="11"/>
    <x v="507"/>
    <n v="7"/>
    <s v="GEO1003"/>
    <s v="GEO1003"/>
    <x v="2"/>
    <x v="4"/>
    <s v="Q2 2021"/>
  </r>
  <r>
    <x v="34"/>
    <x v="12"/>
    <x v="508"/>
    <n v="7"/>
    <s v="GEO1003"/>
    <s v="GEO1003"/>
    <x v="2"/>
    <x v="4"/>
    <s v="Q2 2021"/>
  </r>
  <r>
    <x v="34"/>
    <x v="13"/>
    <x v="509"/>
    <n v="7"/>
    <s v="GEO1003"/>
    <s v="GEO1003"/>
    <x v="2"/>
    <x v="5"/>
    <s v="Q4 2020"/>
  </r>
  <r>
    <x v="34"/>
    <x v="14"/>
    <x v="510"/>
    <n v="7"/>
    <s v="GEO1003"/>
    <s v="GEO1003"/>
    <x v="2"/>
    <x v="5"/>
    <s v="Q4 2020"/>
  </r>
  <r>
    <x v="34"/>
    <x v="15"/>
    <x v="511"/>
    <n v="7"/>
    <s v="GEO1003"/>
    <s v="GEO1003"/>
    <x v="2"/>
    <x v="5"/>
    <s v="Q4 2020"/>
  </r>
  <r>
    <x v="35"/>
    <x v="16"/>
    <x v="512"/>
    <n v="7"/>
    <s v="GEO1002"/>
    <s v="GEO1002"/>
    <x v="3"/>
    <x v="0"/>
    <s v="Q1 2020"/>
  </r>
  <r>
    <x v="35"/>
    <x v="17"/>
    <x v="128"/>
    <n v="7"/>
    <s v="GEO1002"/>
    <s v="GEO1002"/>
    <x v="3"/>
    <x v="0"/>
    <s v="Q1 2020"/>
  </r>
  <r>
    <x v="35"/>
    <x v="0"/>
    <x v="513"/>
    <n v="7"/>
    <s v="GEO1002"/>
    <s v="GEO1002"/>
    <x v="3"/>
    <x v="0"/>
    <s v="Q1 2020"/>
  </r>
  <r>
    <x v="35"/>
    <x v="1"/>
    <x v="514"/>
    <n v="7"/>
    <s v="GEO1002"/>
    <s v="GEO1002"/>
    <x v="3"/>
    <x v="1"/>
    <s v="Q2 2020"/>
  </r>
  <r>
    <x v="35"/>
    <x v="2"/>
    <x v="515"/>
    <n v="7"/>
    <s v="GEO1002"/>
    <s v="GEO1002"/>
    <x v="3"/>
    <x v="1"/>
    <s v="Q2 2020"/>
  </r>
  <r>
    <x v="35"/>
    <x v="3"/>
    <x v="516"/>
    <n v="7"/>
    <s v="GEO1002"/>
    <s v="GEO1002"/>
    <x v="3"/>
    <x v="1"/>
    <s v="Q2 2020"/>
  </r>
  <r>
    <x v="35"/>
    <x v="4"/>
    <x v="517"/>
    <n v="7"/>
    <s v="GEO1002"/>
    <s v="GEO1002"/>
    <x v="3"/>
    <x v="2"/>
    <s v="Q3 2020"/>
  </r>
  <r>
    <x v="35"/>
    <x v="5"/>
    <x v="518"/>
    <n v="7"/>
    <s v="GEO1002"/>
    <s v="GEO1002"/>
    <x v="3"/>
    <x v="2"/>
    <s v="Q3 2020"/>
  </r>
  <r>
    <x v="35"/>
    <x v="6"/>
    <x v="519"/>
    <n v="7"/>
    <s v="GEO1002"/>
    <s v="GEO1002"/>
    <x v="3"/>
    <x v="2"/>
    <s v="Q3 2020"/>
  </r>
  <r>
    <x v="35"/>
    <x v="7"/>
    <x v="520"/>
    <n v="7"/>
    <s v="GEO1002"/>
    <s v="GEO1002"/>
    <x v="3"/>
    <x v="3"/>
    <s v="Q4 2020"/>
  </r>
  <r>
    <x v="35"/>
    <x v="8"/>
    <x v="521"/>
    <n v="7"/>
    <s v="GEO1002"/>
    <s v="GEO1002"/>
    <x v="3"/>
    <x v="3"/>
    <s v="Q4 2020"/>
  </r>
  <r>
    <x v="35"/>
    <x v="9"/>
    <x v="519"/>
    <n v="7"/>
    <s v="GEO1002"/>
    <s v="GEO1002"/>
    <x v="3"/>
    <x v="3"/>
    <s v="Q4 2020"/>
  </r>
  <r>
    <x v="35"/>
    <x v="10"/>
    <x v="522"/>
    <n v="7"/>
    <s v="GEO1002"/>
    <s v="GEO1002"/>
    <x v="3"/>
    <x v="4"/>
    <s v="Q2 2021"/>
  </r>
  <r>
    <x v="35"/>
    <x v="11"/>
    <x v="523"/>
    <n v="7"/>
    <s v="GEO1002"/>
    <s v="GEO1002"/>
    <x v="3"/>
    <x v="4"/>
    <s v="Q2 2021"/>
  </r>
  <r>
    <x v="35"/>
    <x v="12"/>
    <x v="524"/>
    <n v="7"/>
    <s v="GEO1002"/>
    <s v="GEO1002"/>
    <x v="3"/>
    <x v="4"/>
    <s v="Q2 2021"/>
  </r>
  <r>
    <x v="35"/>
    <x v="13"/>
    <x v="514"/>
    <n v="7"/>
    <s v="GEO1002"/>
    <s v="GEO1002"/>
    <x v="3"/>
    <x v="5"/>
    <s v="Q4 2020"/>
  </r>
  <r>
    <x v="35"/>
    <x v="14"/>
    <x v="525"/>
    <n v="7"/>
    <s v="GEO1002"/>
    <s v="GEO1002"/>
    <x v="3"/>
    <x v="5"/>
    <s v="Q4 2020"/>
  </r>
  <r>
    <x v="35"/>
    <x v="15"/>
    <x v="526"/>
    <n v="7"/>
    <s v="GEO1002"/>
    <s v="GEO1002"/>
    <x v="3"/>
    <x v="5"/>
    <s v="Q4 2020"/>
  </r>
  <r>
    <x v="36"/>
    <x v="16"/>
    <x v="527"/>
    <n v="7"/>
    <s v="GEO1001"/>
    <s v="GEO1001"/>
    <x v="1"/>
    <x v="0"/>
    <s v="Q1 2020"/>
  </r>
  <r>
    <x v="36"/>
    <x v="17"/>
    <x v="528"/>
    <n v="7"/>
    <s v="GEO1001"/>
    <s v="GEO1001"/>
    <x v="1"/>
    <x v="0"/>
    <s v="Q1 2020"/>
  </r>
  <r>
    <x v="36"/>
    <x v="0"/>
    <x v="529"/>
    <n v="7"/>
    <s v="GEO1001"/>
    <s v="GEO1001"/>
    <x v="1"/>
    <x v="0"/>
    <s v="Q1 2020"/>
  </r>
  <r>
    <x v="36"/>
    <x v="1"/>
    <x v="530"/>
    <n v="7"/>
    <s v="GEO1001"/>
    <s v="GEO1001"/>
    <x v="1"/>
    <x v="1"/>
    <s v="Q2 2020"/>
  </r>
  <r>
    <x v="36"/>
    <x v="2"/>
    <x v="531"/>
    <n v="7"/>
    <s v="GEO1001"/>
    <s v="GEO1001"/>
    <x v="1"/>
    <x v="1"/>
    <s v="Q2 2020"/>
  </r>
  <r>
    <x v="36"/>
    <x v="3"/>
    <x v="532"/>
    <n v="7"/>
    <s v="GEO1001"/>
    <s v="GEO1001"/>
    <x v="1"/>
    <x v="1"/>
    <s v="Q2 2020"/>
  </r>
  <r>
    <x v="36"/>
    <x v="4"/>
    <x v="533"/>
    <n v="7"/>
    <s v="GEO1001"/>
    <s v="GEO1001"/>
    <x v="1"/>
    <x v="2"/>
    <s v="Q3 2020"/>
  </r>
  <r>
    <x v="36"/>
    <x v="5"/>
    <x v="481"/>
    <n v="7"/>
    <s v="GEO1001"/>
    <s v="GEO1001"/>
    <x v="1"/>
    <x v="2"/>
    <s v="Q3 2020"/>
  </r>
  <r>
    <x v="36"/>
    <x v="6"/>
    <x v="534"/>
    <n v="7"/>
    <s v="GEO1001"/>
    <s v="GEO1001"/>
    <x v="1"/>
    <x v="2"/>
    <s v="Q3 2020"/>
  </r>
  <r>
    <x v="36"/>
    <x v="7"/>
    <x v="535"/>
    <n v="7"/>
    <s v="GEO1001"/>
    <s v="GEO1001"/>
    <x v="1"/>
    <x v="3"/>
    <s v="Q4 2020"/>
  </r>
  <r>
    <x v="36"/>
    <x v="8"/>
    <x v="527"/>
    <n v="7"/>
    <s v="GEO1001"/>
    <s v="GEO1001"/>
    <x v="1"/>
    <x v="3"/>
    <s v="Q4 2020"/>
  </r>
  <r>
    <x v="36"/>
    <x v="9"/>
    <x v="532"/>
    <n v="7"/>
    <s v="GEO1001"/>
    <s v="GEO1001"/>
    <x v="1"/>
    <x v="3"/>
    <s v="Q4 2020"/>
  </r>
  <r>
    <x v="36"/>
    <x v="10"/>
    <x v="536"/>
    <n v="7"/>
    <s v="GEO1001"/>
    <s v="GEO1001"/>
    <x v="1"/>
    <x v="4"/>
    <s v="Q2 2021"/>
  </r>
  <r>
    <x v="36"/>
    <x v="11"/>
    <x v="537"/>
    <n v="7"/>
    <s v="GEO1001"/>
    <s v="GEO1001"/>
    <x v="1"/>
    <x v="4"/>
    <s v="Q2 2021"/>
  </r>
  <r>
    <x v="36"/>
    <x v="12"/>
    <x v="538"/>
    <n v="7"/>
    <s v="GEO1001"/>
    <s v="GEO1001"/>
    <x v="1"/>
    <x v="4"/>
    <s v="Q2 2021"/>
  </r>
  <r>
    <x v="36"/>
    <x v="13"/>
    <x v="539"/>
    <n v="7"/>
    <s v="GEO1001"/>
    <s v="GEO1001"/>
    <x v="1"/>
    <x v="5"/>
    <s v="Q4 2020"/>
  </r>
  <r>
    <x v="36"/>
    <x v="14"/>
    <x v="540"/>
    <n v="7"/>
    <s v="GEO1001"/>
    <s v="GEO1001"/>
    <x v="1"/>
    <x v="5"/>
    <s v="Q4 2020"/>
  </r>
  <r>
    <x v="36"/>
    <x v="15"/>
    <x v="541"/>
    <n v="7"/>
    <s v="GEO1001"/>
    <s v="GEO1001"/>
    <x v="1"/>
    <x v="5"/>
    <s v="Q4 2020"/>
  </r>
  <r>
    <x v="37"/>
    <x v="16"/>
    <x v="542"/>
    <n v="7"/>
    <s v="GEO1004"/>
    <s v="GEO1004"/>
    <x v="0"/>
    <x v="0"/>
    <s v="Q1 2020"/>
  </r>
  <r>
    <x v="37"/>
    <x v="17"/>
    <x v="543"/>
    <n v="7"/>
    <s v="GEO1004"/>
    <s v="GEO1004"/>
    <x v="0"/>
    <x v="0"/>
    <s v="Q1 2020"/>
  </r>
  <r>
    <x v="37"/>
    <x v="0"/>
    <x v="544"/>
    <n v="7"/>
    <s v="GEO1004"/>
    <s v="GEO1004"/>
    <x v="0"/>
    <x v="0"/>
    <s v="Q1 2020"/>
  </r>
  <r>
    <x v="37"/>
    <x v="1"/>
    <x v="545"/>
    <n v="7"/>
    <s v="GEO1004"/>
    <s v="GEO1004"/>
    <x v="0"/>
    <x v="1"/>
    <s v="Q2 2020"/>
  </r>
  <r>
    <x v="37"/>
    <x v="2"/>
    <x v="546"/>
    <n v="7"/>
    <s v="GEO1004"/>
    <s v="GEO1004"/>
    <x v="0"/>
    <x v="1"/>
    <s v="Q2 2020"/>
  </r>
  <r>
    <x v="37"/>
    <x v="3"/>
    <x v="547"/>
    <n v="7"/>
    <s v="GEO1004"/>
    <s v="GEO1004"/>
    <x v="0"/>
    <x v="1"/>
    <s v="Q2 2020"/>
  </r>
  <r>
    <x v="37"/>
    <x v="4"/>
    <x v="535"/>
    <n v="7"/>
    <s v="GEO1004"/>
    <s v="GEO1004"/>
    <x v="0"/>
    <x v="2"/>
    <s v="Q3 2020"/>
  </r>
  <r>
    <x v="37"/>
    <x v="5"/>
    <x v="183"/>
    <n v="7"/>
    <s v="GEO1004"/>
    <s v="GEO1004"/>
    <x v="0"/>
    <x v="2"/>
    <s v="Q3 2020"/>
  </r>
  <r>
    <x v="37"/>
    <x v="6"/>
    <x v="183"/>
    <n v="7"/>
    <s v="GEO1004"/>
    <s v="GEO1004"/>
    <x v="0"/>
    <x v="2"/>
    <s v="Q3 2020"/>
  </r>
  <r>
    <x v="37"/>
    <x v="7"/>
    <x v="548"/>
    <n v="7"/>
    <s v="GEO1004"/>
    <s v="GEO1004"/>
    <x v="0"/>
    <x v="3"/>
    <s v="Q4 2020"/>
  </r>
  <r>
    <x v="37"/>
    <x v="8"/>
    <x v="547"/>
    <n v="7"/>
    <s v="GEO1004"/>
    <s v="GEO1004"/>
    <x v="0"/>
    <x v="3"/>
    <s v="Q4 2020"/>
  </r>
  <r>
    <x v="37"/>
    <x v="9"/>
    <x v="542"/>
    <n v="7"/>
    <s v="GEO1004"/>
    <s v="GEO1004"/>
    <x v="0"/>
    <x v="3"/>
    <s v="Q4 2020"/>
  </r>
  <r>
    <x v="37"/>
    <x v="10"/>
    <x v="346"/>
    <n v="7"/>
    <s v="GEO1004"/>
    <s v="GEO1004"/>
    <x v="0"/>
    <x v="4"/>
    <s v="Q2 2021"/>
  </r>
  <r>
    <x v="37"/>
    <x v="11"/>
    <x v="549"/>
    <n v="7"/>
    <s v="GEO1004"/>
    <s v="GEO1004"/>
    <x v="0"/>
    <x v="4"/>
    <s v="Q2 2021"/>
  </r>
  <r>
    <x v="37"/>
    <x v="12"/>
    <x v="550"/>
    <n v="7"/>
    <s v="GEO1004"/>
    <s v="GEO1004"/>
    <x v="0"/>
    <x v="4"/>
    <s v="Q2 2021"/>
  </r>
  <r>
    <x v="37"/>
    <x v="13"/>
    <x v="84"/>
    <n v="7"/>
    <s v="GEO1004"/>
    <s v="GEO1004"/>
    <x v="0"/>
    <x v="5"/>
    <s v="Q4 2020"/>
  </r>
  <r>
    <x v="37"/>
    <x v="14"/>
    <x v="551"/>
    <n v="7"/>
    <s v="GEO1004"/>
    <s v="GEO1004"/>
    <x v="0"/>
    <x v="5"/>
    <s v="Q4 2020"/>
  </r>
  <r>
    <x v="37"/>
    <x v="15"/>
    <x v="552"/>
    <n v="7"/>
    <s v="GEO1004"/>
    <s v="GEO1004"/>
    <x v="0"/>
    <x v="5"/>
    <s v="Q4 2020"/>
  </r>
  <r>
    <x v="38"/>
    <x v="16"/>
    <x v="553"/>
    <n v="7"/>
    <s v="GEO1002"/>
    <s v="GEO1002"/>
    <x v="3"/>
    <x v="0"/>
    <s v="Q1 2020"/>
  </r>
  <r>
    <x v="38"/>
    <x v="17"/>
    <x v="554"/>
    <n v="7"/>
    <s v="GEO1002"/>
    <s v="GEO1002"/>
    <x v="3"/>
    <x v="0"/>
    <s v="Q1 2020"/>
  </r>
  <r>
    <x v="38"/>
    <x v="0"/>
    <x v="555"/>
    <n v="7"/>
    <s v="GEO1002"/>
    <s v="GEO1002"/>
    <x v="3"/>
    <x v="0"/>
    <s v="Q1 2020"/>
  </r>
  <r>
    <x v="38"/>
    <x v="1"/>
    <x v="556"/>
    <n v="7"/>
    <s v="GEO1002"/>
    <s v="GEO1002"/>
    <x v="3"/>
    <x v="1"/>
    <s v="Q2 2020"/>
  </r>
  <r>
    <x v="38"/>
    <x v="2"/>
    <x v="555"/>
    <n v="7"/>
    <s v="GEO1002"/>
    <s v="GEO1002"/>
    <x v="3"/>
    <x v="1"/>
    <s v="Q2 2020"/>
  </r>
  <r>
    <x v="38"/>
    <x v="3"/>
    <x v="557"/>
    <n v="7"/>
    <s v="GEO1002"/>
    <s v="GEO1002"/>
    <x v="3"/>
    <x v="1"/>
    <s v="Q2 2020"/>
  </r>
  <r>
    <x v="38"/>
    <x v="4"/>
    <x v="558"/>
    <n v="7"/>
    <s v="GEO1002"/>
    <s v="GEO1002"/>
    <x v="3"/>
    <x v="2"/>
    <s v="Q3 2020"/>
  </r>
  <r>
    <x v="38"/>
    <x v="5"/>
    <x v="559"/>
    <n v="7"/>
    <s v="GEO1002"/>
    <s v="GEO1002"/>
    <x v="3"/>
    <x v="2"/>
    <s v="Q3 2020"/>
  </r>
  <r>
    <x v="38"/>
    <x v="6"/>
    <x v="560"/>
    <n v="7"/>
    <s v="GEO1002"/>
    <s v="GEO1002"/>
    <x v="3"/>
    <x v="2"/>
    <s v="Q3 2020"/>
  </r>
  <r>
    <x v="38"/>
    <x v="7"/>
    <x v="561"/>
    <n v="7"/>
    <s v="GEO1002"/>
    <s v="GEO1002"/>
    <x v="3"/>
    <x v="3"/>
    <s v="Q4 2020"/>
  </r>
  <r>
    <x v="38"/>
    <x v="8"/>
    <x v="562"/>
    <n v="7"/>
    <s v="GEO1002"/>
    <s v="GEO1002"/>
    <x v="3"/>
    <x v="3"/>
    <s v="Q4 2020"/>
  </r>
  <r>
    <x v="38"/>
    <x v="9"/>
    <x v="563"/>
    <n v="7"/>
    <s v="GEO1002"/>
    <s v="GEO1002"/>
    <x v="3"/>
    <x v="3"/>
    <s v="Q4 2020"/>
  </r>
  <r>
    <x v="38"/>
    <x v="10"/>
    <x v="563"/>
    <n v="7"/>
    <s v="GEO1002"/>
    <s v="GEO1002"/>
    <x v="3"/>
    <x v="4"/>
    <s v="Q2 2021"/>
  </r>
  <r>
    <x v="38"/>
    <x v="11"/>
    <x v="564"/>
    <n v="7"/>
    <s v="GEO1002"/>
    <s v="GEO1002"/>
    <x v="3"/>
    <x v="4"/>
    <s v="Q2 2021"/>
  </r>
  <r>
    <x v="38"/>
    <x v="12"/>
    <x v="565"/>
    <n v="7"/>
    <s v="GEO1002"/>
    <s v="GEO1002"/>
    <x v="3"/>
    <x v="4"/>
    <s v="Q2 2021"/>
  </r>
  <r>
    <x v="38"/>
    <x v="13"/>
    <x v="555"/>
    <n v="7"/>
    <s v="GEO1002"/>
    <s v="GEO1002"/>
    <x v="3"/>
    <x v="5"/>
    <s v="Q4 2020"/>
  </r>
  <r>
    <x v="38"/>
    <x v="14"/>
    <x v="566"/>
    <n v="7"/>
    <s v="GEO1002"/>
    <s v="GEO1002"/>
    <x v="3"/>
    <x v="5"/>
    <s v="Q4 2020"/>
  </r>
  <r>
    <x v="38"/>
    <x v="15"/>
    <x v="556"/>
    <n v="7"/>
    <s v="GEO1002"/>
    <s v="GEO1002"/>
    <x v="3"/>
    <x v="5"/>
    <s v="Q4 2020"/>
  </r>
  <r>
    <x v="39"/>
    <x v="16"/>
    <x v="567"/>
    <n v="7"/>
    <s v="GEO1001"/>
    <s v="GEO1001"/>
    <x v="1"/>
    <x v="0"/>
    <s v="Q1 2020"/>
  </r>
  <r>
    <x v="39"/>
    <x v="17"/>
    <x v="568"/>
    <n v="7"/>
    <s v="GEO1001"/>
    <s v="GEO1001"/>
    <x v="1"/>
    <x v="0"/>
    <s v="Q1 2020"/>
  </r>
  <r>
    <x v="39"/>
    <x v="0"/>
    <x v="569"/>
    <n v="7"/>
    <s v="GEO1001"/>
    <s v="GEO1001"/>
    <x v="1"/>
    <x v="0"/>
    <s v="Q1 2020"/>
  </r>
  <r>
    <x v="39"/>
    <x v="1"/>
    <x v="570"/>
    <n v="7"/>
    <s v="GEO1001"/>
    <s v="GEO1001"/>
    <x v="1"/>
    <x v="1"/>
    <s v="Q2 2020"/>
  </r>
  <r>
    <x v="39"/>
    <x v="2"/>
    <x v="571"/>
    <n v="7"/>
    <s v="GEO1001"/>
    <s v="GEO1001"/>
    <x v="1"/>
    <x v="1"/>
    <s v="Q2 2020"/>
  </r>
  <r>
    <x v="39"/>
    <x v="3"/>
    <x v="572"/>
    <n v="7"/>
    <s v="GEO1001"/>
    <s v="GEO1001"/>
    <x v="1"/>
    <x v="1"/>
    <s v="Q2 2020"/>
  </r>
  <r>
    <x v="39"/>
    <x v="4"/>
    <x v="573"/>
    <n v="7"/>
    <s v="GEO1001"/>
    <s v="GEO1001"/>
    <x v="1"/>
    <x v="2"/>
    <s v="Q3 2020"/>
  </r>
  <r>
    <x v="39"/>
    <x v="5"/>
    <x v="574"/>
    <n v="7"/>
    <s v="GEO1001"/>
    <s v="GEO1001"/>
    <x v="1"/>
    <x v="2"/>
    <s v="Q3 2020"/>
  </r>
  <r>
    <x v="39"/>
    <x v="6"/>
    <x v="109"/>
    <n v="7"/>
    <s v="GEO1001"/>
    <s v="GEO1001"/>
    <x v="1"/>
    <x v="2"/>
    <s v="Q3 2020"/>
  </r>
  <r>
    <x v="39"/>
    <x v="7"/>
    <x v="575"/>
    <n v="7"/>
    <s v="GEO1001"/>
    <s v="GEO1001"/>
    <x v="1"/>
    <x v="3"/>
    <s v="Q4 2020"/>
  </r>
  <r>
    <x v="39"/>
    <x v="8"/>
    <x v="576"/>
    <n v="7"/>
    <s v="GEO1001"/>
    <s v="GEO1001"/>
    <x v="1"/>
    <x v="3"/>
    <s v="Q4 2020"/>
  </r>
  <r>
    <x v="39"/>
    <x v="9"/>
    <x v="577"/>
    <n v="7"/>
    <s v="GEO1001"/>
    <s v="GEO1001"/>
    <x v="1"/>
    <x v="3"/>
    <s v="Q4 2020"/>
  </r>
  <r>
    <x v="39"/>
    <x v="10"/>
    <x v="578"/>
    <n v="7"/>
    <s v="GEO1001"/>
    <s v="GEO1001"/>
    <x v="1"/>
    <x v="4"/>
    <s v="Q2 2021"/>
  </r>
  <r>
    <x v="39"/>
    <x v="11"/>
    <x v="579"/>
    <n v="7"/>
    <s v="GEO1001"/>
    <s v="GEO1001"/>
    <x v="1"/>
    <x v="4"/>
    <s v="Q2 2021"/>
  </r>
  <r>
    <x v="39"/>
    <x v="12"/>
    <x v="580"/>
    <n v="7"/>
    <s v="GEO1001"/>
    <s v="GEO1001"/>
    <x v="1"/>
    <x v="4"/>
    <s v="Q2 2021"/>
  </r>
  <r>
    <x v="39"/>
    <x v="13"/>
    <x v="581"/>
    <n v="7"/>
    <s v="GEO1001"/>
    <s v="GEO1001"/>
    <x v="1"/>
    <x v="5"/>
    <s v="Q4 2020"/>
  </r>
  <r>
    <x v="39"/>
    <x v="14"/>
    <x v="582"/>
    <n v="7"/>
    <s v="GEO1001"/>
    <s v="GEO1001"/>
    <x v="1"/>
    <x v="5"/>
    <s v="Q4 2020"/>
  </r>
  <r>
    <x v="39"/>
    <x v="15"/>
    <x v="104"/>
    <n v="7"/>
    <s v="GEO1001"/>
    <s v="GEO1001"/>
    <x v="1"/>
    <x v="5"/>
    <s v="Q4 2020"/>
  </r>
  <r>
    <x v="40"/>
    <x v="16"/>
    <x v="33"/>
    <n v="7"/>
    <s v="GEO1002"/>
    <s v="GEO1002"/>
    <x v="3"/>
    <x v="0"/>
    <s v="Q1 2020"/>
  </r>
  <r>
    <x v="40"/>
    <x v="17"/>
    <x v="583"/>
    <n v="7"/>
    <s v="GEO1002"/>
    <s v="GEO1002"/>
    <x v="3"/>
    <x v="0"/>
    <s v="Q1 2020"/>
  </r>
  <r>
    <x v="40"/>
    <x v="0"/>
    <x v="584"/>
    <n v="7"/>
    <s v="GEO1002"/>
    <s v="GEO1002"/>
    <x v="3"/>
    <x v="0"/>
    <s v="Q1 2020"/>
  </r>
  <r>
    <x v="40"/>
    <x v="1"/>
    <x v="585"/>
    <n v="7"/>
    <s v="GEO1002"/>
    <s v="GEO1002"/>
    <x v="3"/>
    <x v="1"/>
    <s v="Q2 2020"/>
  </r>
  <r>
    <x v="40"/>
    <x v="2"/>
    <x v="354"/>
    <n v="7"/>
    <s v="GEO1002"/>
    <s v="GEO1002"/>
    <x v="3"/>
    <x v="1"/>
    <s v="Q2 2020"/>
  </r>
  <r>
    <x v="40"/>
    <x v="3"/>
    <x v="586"/>
    <n v="7"/>
    <s v="GEO1002"/>
    <s v="GEO1002"/>
    <x v="3"/>
    <x v="1"/>
    <s v="Q2 2020"/>
  </r>
  <r>
    <x v="40"/>
    <x v="4"/>
    <x v="587"/>
    <n v="7"/>
    <s v="GEO1002"/>
    <s v="GEO1002"/>
    <x v="3"/>
    <x v="2"/>
    <s v="Q3 2020"/>
  </r>
  <r>
    <x v="40"/>
    <x v="5"/>
    <x v="588"/>
    <n v="7"/>
    <s v="GEO1002"/>
    <s v="GEO1002"/>
    <x v="3"/>
    <x v="2"/>
    <s v="Q3 2020"/>
  </r>
  <r>
    <x v="40"/>
    <x v="6"/>
    <x v="589"/>
    <n v="7"/>
    <s v="GEO1002"/>
    <s v="GEO1002"/>
    <x v="3"/>
    <x v="2"/>
    <s v="Q3 2020"/>
  </r>
  <r>
    <x v="40"/>
    <x v="7"/>
    <x v="590"/>
    <n v="7"/>
    <s v="GEO1002"/>
    <s v="GEO1002"/>
    <x v="3"/>
    <x v="3"/>
    <s v="Q4 2020"/>
  </r>
  <r>
    <x v="40"/>
    <x v="8"/>
    <x v="547"/>
    <n v="7"/>
    <s v="GEO1002"/>
    <s v="GEO1002"/>
    <x v="3"/>
    <x v="3"/>
    <s v="Q4 2020"/>
  </r>
  <r>
    <x v="40"/>
    <x v="9"/>
    <x v="591"/>
    <n v="7"/>
    <s v="GEO1002"/>
    <s v="GEO1002"/>
    <x v="3"/>
    <x v="3"/>
    <s v="Q4 2020"/>
  </r>
  <r>
    <x v="40"/>
    <x v="10"/>
    <x v="592"/>
    <n v="7"/>
    <s v="GEO1002"/>
    <s v="GEO1002"/>
    <x v="3"/>
    <x v="4"/>
    <s v="Q2 2021"/>
  </r>
  <r>
    <x v="40"/>
    <x v="11"/>
    <x v="593"/>
    <n v="7"/>
    <s v="GEO1002"/>
    <s v="GEO1002"/>
    <x v="3"/>
    <x v="4"/>
    <s v="Q2 2021"/>
  </r>
  <r>
    <x v="40"/>
    <x v="12"/>
    <x v="594"/>
    <n v="7"/>
    <s v="GEO1002"/>
    <s v="GEO1002"/>
    <x v="3"/>
    <x v="4"/>
    <s v="Q2 2021"/>
  </r>
  <r>
    <x v="40"/>
    <x v="13"/>
    <x v="595"/>
    <n v="7"/>
    <s v="GEO1002"/>
    <s v="GEO1002"/>
    <x v="3"/>
    <x v="5"/>
    <s v="Q4 2020"/>
  </r>
  <r>
    <x v="40"/>
    <x v="14"/>
    <x v="596"/>
    <n v="7"/>
    <s v="GEO1002"/>
    <s v="GEO1002"/>
    <x v="3"/>
    <x v="5"/>
    <s v="Q4 2020"/>
  </r>
  <r>
    <x v="40"/>
    <x v="15"/>
    <x v="597"/>
    <n v="7"/>
    <s v="GEO1002"/>
    <s v="GEO1002"/>
    <x v="3"/>
    <x v="5"/>
    <s v="Q4 2020"/>
  </r>
  <r>
    <x v="41"/>
    <x v="16"/>
    <x v="598"/>
    <n v="7"/>
    <s v="GEO1004"/>
    <s v="GEO1004"/>
    <x v="0"/>
    <x v="0"/>
    <s v="Q1 2020"/>
  </r>
  <r>
    <x v="41"/>
    <x v="17"/>
    <x v="599"/>
    <n v="7"/>
    <s v="GEO1004"/>
    <s v="GEO1004"/>
    <x v="0"/>
    <x v="0"/>
    <s v="Q1 2020"/>
  </r>
  <r>
    <x v="41"/>
    <x v="0"/>
    <x v="600"/>
    <n v="7"/>
    <s v="GEO1004"/>
    <s v="GEO1004"/>
    <x v="0"/>
    <x v="0"/>
    <s v="Q1 2020"/>
  </r>
  <r>
    <x v="41"/>
    <x v="1"/>
    <x v="601"/>
    <n v="7"/>
    <s v="GEO1004"/>
    <s v="GEO1004"/>
    <x v="0"/>
    <x v="1"/>
    <s v="Q2 2020"/>
  </r>
  <r>
    <x v="41"/>
    <x v="2"/>
    <x v="602"/>
    <n v="7"/>
    <s v="GEO1004"/>
    <s v="GEO1004"/>
    <x v="0"/>
    <x v="1"/>
    <s v="Q2 2020"/>
  </r>
  <r>
    <x v="41"/>
    <x v="3"/>
    <x v="603"/>
    <n v="7"/>
    <s v="GEO1004"/>
    <s v="GEO1004"/>
    <x v="0"/>
    <x v="1"/>
    <s v="Q2 2020"/>
  </r>
  <r>
    <x v="41"/>
    <x v="4"/>
    <x v="604"/>
    <n v="7"/>
    <s v="GEO1004"/>
    <s v="GEO1004"/>
    <x v="0"/>
    <x v="2"/>
    <s v="Q3 2020"/>
  </r>
  <r>
    <x v="41"/>
    <x v="5"/>
    <x v="605"/>
    <n v="7"/>
    <s v="GEO1004"/>
    <s v="GEO1004"/>
    <x v="0"/>
    <x v="2"/>
    <s v="Q3 2020"/>
  </r>
  <r>
    <x v="41"/>
    <x v="6"/>
    <x v="606"/>
    <n v="7"/>
    <s v="GEO1004"/>
    <s v="GEO1004"/>
    <x v="0"/>
    <x v="2"/>
    <s v="Q3 2020"/>
  </r>
  <r>
    <x v="41"/>
    <x v="7"/>
    <x v="607"/>
    <n v="7"/>
    <s v="GEO1004"/>
    <s v="GEO1004"/>
    <x v="0"/>
    <x v="3"/>
    <s v="Q4 2020"/>
  </r>
  <r>
    <x v="41"/>
    <x v="8"/>
    <x v="608"/>
    <n v="7"/>
    <s v="GEO1004"/>
    <s v="GEO1004"/>
    <x v="0"/>
    <x v="3"/>
    <s v="Q4 2020"/>
  </r>
  <r>
    <x v="41"/>
    <x v="9"/>
    <x v="609"/>
    <n v="7"/>
    <s v="GEO1004"/>
    <s v="GEO1004"/>
    <x v="0"/>
    <x v="3"/>
    <s v="Q4 2020"/>
  </r>
  <r>
    <x v="41"/>
    <x v="10"/>
    <x v="610"/>
    <n v="7"/>
    <s v="GEO1004"/>
    <s v="GEO1004"/>
    <x v="0"/>
    <x v="4"/>
    <s v="Q2 2021"/>
  </r>
  <r>
    <x v="41"/>
    <x v="11"/>
    <x v="611"/>
    <n v="7"/>
    <s v="GEO1004"/>
    <s v="GEO1004"/>
    <x v="0"/>
    <x v="4"/>
    <s v="Q2 2021"/>
  </r>
  <r>
    <x v="41"/>
    <x v="12"/>
    <x v="612"/>
    <n v="7"/>
    <s v="GEO1004"/>
    <s v="GEO1004"/>
    <x v="0"/>
    <x v="4"/>
    <s v="Q2 2021"/>
  </r>
  <r>
    <x v="41"/>
    <x v="13"/>
    <x v="613"/>
    <n v="7"/>
    <s v="GEO1004"/>
    <s v="GEO1004"/>
    <x v="0"/>
    <x v="5"/>
    <s v="Q4 2020"/>
  </r>
  <r>
    <x v="41"/>
    <x v="14"/>
    <x v="614"/>
    <n v="7"/>
    <s v="GEO1004"/>
    <s v="GEO1004"/>
    <x v="0"/>
    <x v="5"/>
    <s v="Q4 2020"/>
  </r>
  <r>
    <x v="41"/>
    <x v="15"/>
    <x v="615"/>
    <n v="7"/>
    <s v="GEO1004"/>
    <s v="GEO1004"/>
    <x v="0"/>
    <x v="5"/>
    <s v="Q4 2020"/>
  </r>
  <r>
    <x v="42"/>
    <x v="16"/>
    <x v="616"/>
    <n v="7"/>
    <s v="GEO1003"/>
    <s v="GEO1003"/>
    <x v="2"/>
    <x v="0"/>
    <s v="Q1 2020"/>
  </r>
  <r>
    <x v="42"/>
    <x v="17"/>
    <x v="283"/>
    <n v="7"/>
    <s v="GEO1003"/>
    <s v="GEO1003"/>
    <x v="2"/>
    <x v="0"/>
    <s v="Q1 2020"/>
  </r>
  <r>
    <x v="42"/>
    <x v="0"/>
    <x v="407"/>
    <n v="7"/>
    <s v="GEO1003"/>
    <s v="GEO1003"/>
    <x v="2"/>
    <x v="0"/>
    <s v="Q1 2020"/>
  </r>
  <r>
    <x v="42"/>
    <x v="1"/>
    <x v="617"/>
    <n v="7"/>
    <s v="GEO1003"/>
    <s v="GEO1003"/>
    <x v="2"/>
    <x v="1"/>
    <s v="Q2 2020"/>
  </r>
  <r>
    <x v="42"/>
    <x v="2"/>
    <x v="618"/>
    <n v="7"/>
    <s v="GEO1003"/>
    <s v="GEO1003"/>
    <x v="2"/>
    <x v="1"/>
    <s v="Q2 2020"/>
  </r>
  <r>
    <x v="42"/>
    <x v="3"/>
    <x v="619"/>
    <n v="7"/>
    <s v="GEO1003"/>
    <s v="GEO1003"/>
    <x v="2"/>
    <x v="1"/>
    <s v="Q2 2020"/>
  </r>
  <r>
    <x v="42"/>
    <x v="4"/>
    <x v="620"/>
    <n v="7"/>
    <s v="GEO1003"/>
    <s v="GEO1003"/>
    <x v="2"/>
    <x v="2"/>
    <s v="Q3 2020"/>
  </r>
  <r>
    <x v="42"/>
    <x v="5"/>
    <x v="621"/>
    <n v="7"/>
    <s v="GEO1003"/>
    <s v="GEO1003"/>
    <x v="2"/>
    <x v="2"/>
    <s v="Q3 2020"/>
  </r>
  <r>
    <x v="42"/>
    <x v="6"/>
    <x v="622"/>
    <n v="7"/>
    <s v="GEO1003"/>
    <s v="GEO1003"/>
    <x v="2"/>
    <x v="2"/>
    <s v="Q3 2020"/>
  </r>
  <r>
    <x v="42"/>
    <x v="7"/>
    <x v="623"/>
    <n v="7"/>
    <s v="GEO1003"/>
    <s v="GEO1003"/>
    <x v="2"/>
    <x v="3"/>
    <s v="Q4 2020"/>
  </r>
  <r>
    <x v="42"/>
    <x v="8"/>
    <x v="616"/>
    <n v="7"/>
    <s v="GEO1003"/>
    <s v="GEO1003"/>
    <x v="2"/>
    <x v="3"/>
    <s v="Q4 2020"/>
  </r>
  <r>
    <x v="42"/>
    <x v="9"/>
    <x v="624"/>
    <n v="7"/>
    <s v="GEO1003"/>
    <s v="GEO1003"/>
    <x v="2"/>
    <x v="3"/>
    <s v="Q4 2020"/>
  </r>
  <r>
    <x v="42"/>
    <x v="10"/>
    <x v="625"/>
    <n v="7"/>
    <s v="GEO1003"/>
    <s v="GEO1003"/>
    <x v="2"/>
    <x v="4"/>
    <s v="Q2 2021"/>
  </r>
  <r>
    <x v="42"/>
    <x v="11"/>
    <x v="626"/>
    <n v="7"/>
    <s v="GEO1003"/>
    <s v="GEO1003"/>
    <x v="2"/>
    <x v="4"/>
    <s v="Q2 2021"/>
  </r>
  <r>
    <x v="42"/>
    <x v="12"/>
    <x v="617"/>
    <n v="7"/>
    <s v="GEO1003"/>
    <s v="GEO1003"/>
    <x v="2"/>
    <x v="4"/>
    <s v="Q2 2021"/>
  </r>
  <r>
    <x v="42"/>
    <x v="13"/>
    <x v="627"/>
    <n v="7"/>
    <s v="GEO1003"/>
    <s v="GEO1003"/>
    <x v="2"/>
    <x v="5"/>
    <s v="Q4 2020"/>
  </r>
  <r>
    <x v="42"/>
    <x v="14"/>
    <x v="628"/>
    <n v="7"/>
    <s v="GEO1003"/>
    <s v="GEO1003"/>
    <x v="2"/>
    <x v="5"/>
    <s v="Q4 2020"/>
  </r>
  <r>
    <x v="42"/>
    <x v="15"/>
    <x v="629"/>
    <n v="7"/>
    <s v="GEO1003"/>
    <s v="GEO1003"/>
    <x v="2"/>
    <x v="5"/>
    <s v="Q4 2020"/>
  </r>
  <r>
    <x v="43"/>
    <x v="16"/>
    <x v="630"/>
    <n v="7"/>
    <s v="GEO1003"/>
    <s v="GEO1003"/>
    <x v="2"/>
    <x v="0"/>
    <s v="Q1 2020"/>
  </r>
  <r>
    <x v="43"/>
    <x v="17"/>
    <x v="631"/>
    <n v="7"/>
    <s v="GEO1003"/>
    <s v="GEO1003"/>
    <x v="2"/>
    <x v="0"/>
    <s v="Q1 2020"/>
  </r>
  <r>
    <x v="43"/>
    <x v="0"/>
    <x v="632"/>
    <n v="7"/>
    <s v="GEO1003"/>
    <s v="GEO1003"/>
    <x v="2"/>
    <x v="0"/>
    <s v="Q1 2020"/>
  </r>
  <r>
    <x v="43"/>
    <x v="1"/>
    <x v="633"/>
    <n v="7"/>
    <s v="GEO1003"/>
    <s v="GEO1003"/>
    <x v="2"/>
    <x v="1"/>
    <s v="Q2 2020"/>
  </r>
  <r>
    <x v="43"/>
    <x v="2"/>
    <x v="634"/>
    <n v="7"/>
    <s v="GEO1003"/>
    <s v="GEO1003"/>
    <x v="2"/>
    <x v="1"/>
    <s v="Q2 2020"/>
  </r>
  <r>
    <x v="43"/>
    <x v="3"/>
    <x v="151"/>
    <n v="7"/>
    <s v="GEO1003"/>
    <s v="GEO1003"/>
    <x v="2"/>
    <x v="1"/>
    <s v="Q2 2020"/>
  </r>
  <r>
    <x v="43"/>
    <x v="4"/>
    <x v="153"/>
    <n v="7"/>
    <s v="GEO1003"/>
    <s v="GEO1003"/>
    <x v="2"/>
    <x v="2"/>
    <s v="Q3 2020"/>
  </r>
  <r>
    <x v="43"/>
    <x v="5"/>
    <x v="635"/>
    <n v="7"/>
    <s v="GEO1003"/>
    <s v="GEO1003"/>
    <x v="2"/>
    <x v="2"/>
    <s v="Q3 2020"/>
  </r>
  <r>
    <x v="43"/>
    <x v="6"/>
    <x v="636"/>
    <n v="7"/>
    <s v="GEO1003"/>
    <s v="GEO1003"/>
    <x v="2"/>
    <x v="2"/>
    <s v="Q3 2020"/>
  </r>
  <r>
    <x v="43"/>
    <x v="7"/>
    <x v="637"/>
    <n v="7"/>
    <s v="GEO1003"/>
    <s v="GEO1003"/>
    <x v="2"/>
    <x v="3"/>
    <s v="Q4 2020"/>
  </r>
  <r>
    <x v="43"/>
    <x v="8"/>
    <x v="166"/>
    <n v="7"/>
    <s v="GEO1003"/>
    <s v="GEO1003"/>
    <x v="2"/>
    <x v="3"/>
    <s v="Q4 2020"/>
  </r>
  <r>
    <x v="43"/>
    <x v="9"/>
    <x v="638"/>
    <n v="7"/>
    <s v="GEO1003"/>
    <s v="GEO1003"/>
    <x v="2"/>
    <x v="3"/>
    <s v="Q4 2020"/>
  </r>
  <r>
    <x v="43"/>
    <x v="10"/>
    <x v="639"/>
    <n v="7"/>
    <s v="GEO1003"/>
    <s v="GEO1003"/>
    <x v="2"/>
    <x v="4"/>
    <s v="Q2 2021"/>
  </r>
  <r>
    <x v="43"/>
    <x v="11"/>
    <x v="640"/>
    <n v="7"/>
    <s v="GEO1003"/>
    <s v="GEO1003"/>
    <x v="2"/>
    <x v="4"/>
    <s v="Q2 2021"/>
  </r>
  <r>
    <x v="43"/>
    <x v="12"/>
    <x v="641"/>
    <n v="7"/>
    <s v="GEO1003"/>
    <s v="GEO1003"/>
    <x v="2"/>
    <x v="4"/>
    <s v="Q2 2021"/>
  </r>
  <r>
    <x v="43"/>
    <x v="13"/>
    <x v="642"/>
    <n v="7"/>
    <s v="GEO1003"/>
    <s v="GEO1003"/>
    <x v="2"/>
    <x v="5"/>
    <s v="Q4 2020"/>
  </r>
  <r>
    <x v="43"/>
    <x v="14"/>
    <x v="643"/>
    <n v="7"/>
    <s v="GEO1003"/>
    <s v="GEO1003"/>
    <x v="2"/>
    <x v="5"/>
    <s v="Q4 2020"/>
  </r>
  <r>
    <x v="43"/>
    <x v="15"/>
    <x v="177"/>
    <n v="7"/>
    <s v="GEO1003"/>
    <s v="GEO1003"/>
    <x v="2"/>
    <x v="5"/>
    <s v="Q4 2020"/>
  </r>
  <r>
    <x v="44"/>
    <x v="16"/>
    <x v="644"/>
    <n v="7"/>
    <s v="GEO1003"/>
    <s v="GEO1003"/>
    <x v="2"/>
    <x v="0"/>
    <s v="Q1 2020"/>
  </r>
  <r>
    <x v="44"/>
    <x v="17"/>
    <x v="645"/>
    <n v="7"/>
    <s v="GEO1003"/>
    <s v="GEO1003"/>
    <x v="2"/>
    <x v="0"/>
    <s v="Q1 2020"/>
  </r>
  <r>
    <x v="44"/>
    <x v="0"/>
    <x v="646"/>
    <n v="7"/>
    <s v="GEO1003"/>
    <s v="GEO1003"/>
    <x v="2"/>
    <x v="0"/>
    <s v="Q1 2020"/>
  </r>
  <r>
    <x v="44"/>
    <x v="1"/>
    <x v="647"/>
    <n v="7"/>
    <s v="GEO1003"/>
    <s v="GEO1003"/>
    <x v="2"/>
    <x v="1"/>
    <s v="Q2 2020"/>
  </r>
  <r>
    <x v="44"/>
    <x v="2"/>
    <x v="648"/>
    <n v="7"/>
    <s v="GEO1003"/>
    <s v="GEO1003"/>
    <x v="2"/>
    <x v="1"/>
    <s v="Q2 2020"/>
  </r>
  <r>
    <x v="44"/>
    <x v="3"/>
    <x v="649"/>
    <n v="7"/>
    <s v="GEO1003"/>
    <s v="GEO1003"/>
    <x v="2"/>
    <x v="1"/>
    <s v="Q2 2020"/>
  </r>
  <r>
    <x v="44"/>
    <x v="4"/>
    <x v="650"/>
    <n v="7"/>
    <s v="GEO1003"/>
    <s v="GEO1003"/>
    <x v="2"/>
    <x v="2"/>
    <s v="Q3 2020"/>
  </r>
  <r>
    <x v="44"/>
    <x v="5"/>
    <x v="651"/>
    <n v="7"/>
    <s v="GEO1003"/>
    <s v="GEO1003"/>
    <x v="2"/>
    <x v="2"/>
    <s v="Q3 2020"/>
  </r>
  <r>
    <x v="44"/>
    <x v="6"/>
    <x v="8"/>
    <n v="7"/>
    <s v="GEO1003"/>
    <s v="GEO1003"/>
    <x v="2"/>
    <x v="2"/>
    <s v="Q3 2020"/>
  </r>
  <r>
    <x v="44"/>
    <x v="7"/>
    <x v="652"/>
    <n v="7"/>
    <s v="GEO1003"/>
    <s v="GEO1003"/>
    <x v="2"/>
    <x v="3"/>
    <s v="Q4 2020"/>
  </r>
  <r>
    <x v="44"/>
    <x v="8"/>
    <x v="32"/>
    <n v="7"/>
    <s v="GEO1003"/>
    <s v="GEO1003"/>
    <x v="2"/>
    <x v="3"/>
    <s v="Q4 2020"/>
  </r>
  <r>
    <x v="44"/>
    <x v="9"/>
    <x v="653"/>
    <n v="7"/>
    <s v="GEO1003"/>
    <s v="GEO1003"/>
    <x v="2"/>
    <x v="3"/>
    <s v="Q4 2020"/>
  </r>
  <r>
    <x v="44"/>
    <x v="10"/>
    <x v="654"/>
    <n v="7"/>
    <s v="GEO1003"/>
    <s v="GEO1003"/>
    <x v="2"/>
    <x v="4"/>
    <s v="Q2 2021"/>
  </r>
  <r>
    <x v="44"/>
    <x v="11"/>
    <x v="206"/>
    <n v="7"/>
    <s v="GEO1003"/>
    <s v="GEO1003"/>
    <x v="2"/>
    <x v="4"/>
    <s v="Q2 2021"/>
  </r>
  <r>
    <x v="44"/>
    <x v="12"/>
    <x v="655"/>
    <n v="7"/>
    <s v="GEO1003"/>
    <s v="GEO1003"/>
    <x v="2"/>
    <x v="4"/>
    <s v="Q2 2021"/>
  </r>
  <r>
    <x v="44"/>
    <x v="13"/>
    <x v="656"/>
    <n v="7"/>
    <s v="GEO1003"/>
    <s v="GEO1003"/>
    <x v="2"/>
    <x v="5"/>
    <s v="Q4 2020"/>
  </r>
  <r>
    <x v="44"/>
    <x v="14"/>
    <x v="657"/>
    <n v="7"/>
    <s v="GEO1003"/>
    <s v="GEO1003"/>
    <x v="2"/>
    <x v="5"/>
    <s v="Q4 2020"/>
  </r>
  <r>
    <x v="44"/>
    <x v="15"/>
    <x v="658"/>
    <n v="7"/>
    <s v="GEO1003"/>
    <s v="GEO1003"/>
    <x v="2"/>
    <x v="5"/>
    <s v="Q4 2020"/>
  </r>
  <r>
    <x v="45"/>
    <x v="16"/>
    <x v="659"/>
    <n v="7"/>
    <s v="GEO1003"/>
    <s v="GEO1003"/>
    <x v="2"/>
    <x v="0"/>
    <s v="Q1 2020"/>
  </r>
  <r>
    <x v="45"/>
    <x v="17"/>
    <x v="123"/>
    <n v="7"/>
    <s v="GEO1003"/>
    <s v="GEO1003"/>
    <x v="2"/>
    <x v="0"/>
    <s v="Q1 2020"/>
  </r>
  <r>
    <x v="45"/>
    <x v="0"/>
    <x v="660"/>
    <n v="7"/>
    <s v="GEO1003"/>
    <s v="GEO1003"/>
    <x v="2"/>
    <x v="0"/>
    <s v="Q1 2020"/>
  </r>
  <r>
    <x v="45"/>
    <x v="1"/>
    <x v="661"/>
    <n v="7"/>
    <s v="GEO1003"/>
    <s v="GEO1003"/>
    <x v="2"/>
    <x v="1"/>
    <s v="Q2 2020"/>
  </r>
  <r>
    <x v="45"/>
    <x v="2"/>
    <x v="662"/>
    <n v="7"/>
    <s v="GEO1003"/>
    <s v="GEO1003"/>
    <x v="2"/>
    <x v="1"/>
    <s v="Q2 2020"/>
  </r>
  <r>
    <x v="45"/>
    <x v="3"/>
    <x v="663"/>
    <n v="7"/>
    <s v="GEO1003"/>
    <s v="GEO1003"/>
    <x v="2"/>
    <x v="1"/>
    <s v="Q2 2020"/>
  </r>
  <r>
    <x v="45"/>
    <x v="4"/>
    <x v="664"/>
    <n v="7"/>
    <s v="GEO1003"/>
    <s v="GEO1003"/>
    <x v="2"/>
    <x v="2"/>
    <s v="Q3 2020"/>
  </r>
  <r>
    <x v="45"/>
    <x v="5"/>
    <x v="665"/>
    <n v="7"/>
    <s v="GEO1003"/>
    <s v="GEO1003"/>
    <x v="2"/>
    <x v="2"/>
    <s v="Q3 2020"/>
  </r>
  <r>
    <x v="45"/>
    <x v="6"/>
    <x v="666"/>
    <n v="7"/>
    <s v="GEO1003"/>
    <s v="GEO1003"/>
    <x v="2"/>
    <x v="2"/>
    <s v="Q3 2020"/>
  </r>
  <r>
    <x v="45"/>
    <x v="7"/>
    <x v="667"/>
    <n v="7"/>
    <s v="GEO1003"/>
    <s v="GEO1003"/>
    <x v="2"/>
    <x v="3"/>
    <s v="Q4 2020"/>
  </r>
  <r>
    <x v="45"/>
    <x v="8"/>
    <x v="668"/>
    <n v="7"/>
    <s v="GEO1003"/>
    <s v="GEO1003"/>
    <x v="2"/>
    <x v="3"/>
    <s v="Q4 2020"/>
  </r>
  <r>
    <x v="45"/>
    <x v="9"/>
    <x v="663"/>
    <n v="7"/>
    <s v="GEO1003"/>
    <s v="GEO1003"/>
    <x v="2"/>
    <x v="3"/>
    <s v="Q4 2020"/>
  </r>
  <r>
    <x v="45"/>
    <x v="10"/>
    <x v="669"/>
    <n v="7"/>
    <s v="GEO1003"/>
    <s v="GEO1003"/>
    <x v="2"/>
    <x v="4"/>
    <s v="Q2 2021"/>
  </r>
  <r>
    <x v="45"/>
    <x v="11"/>
    <x v="670"/>
    <n v="7"/>
    <s v="GEO1003"/>
    <s v="GEO1003"/>
    <x v="2"/>
    <x v="4"/>
    <s v="Q2 2021"/>
  </r>
  <r>
    <x v="45"/>
    <x v="12"/>
    <x v="671"/>
    <n v="7"/>
    <s v="GEO1003"/>
    <s v="GEO1003"/>
    <x v="2"/>
    <x v="4"/>
    <s v="Q2 2021"/>
  </r>
  <r>
    <x v="45"/>
    <x v="13"/>
    <x v="672"/>
    <n v="7"/>
    <s v="GEO1003"/>
    <s v="GEO1003"/>
    <x v="2"/>
    <x v="5"/>
    <s v="Q4 2020"/>
  </r>
  <r>
    <x v="45"/>
    <x v="14"/>
    <x v="673"/>
    <n v="7"/>
    <s v="GEO1003"/>
    <s v="GEO1003"/>
    <x v="2"/>
    <x v="5"/>
    <s v="Q4 2020"/>
  </r>
  <r>
    <x v="45"/>
    <x v="15"/>
    <x v="674"/>
    <n v="7"/>
    <s v="GEO1003"/>
    <s v="GEO1003"/>
    <x v="2"/>
    <x v="5"/>
    <s v="Q4 2020"/>
  </r>
  <r>
    <x v="46"/>
    <x v="16"/>
    <x v="675"/>
    <n v="7"/>
    <s v="GEO1001"/>
    <s v="GEO1001"/>
    <x v="1"/>
    <x v="0"/>
    <s v="Q1 2020"/>
  </r>
  <r>
    <x v="46"/>
    <x v="17"/>
    <x v="676"/>
    <n v="7"/>
    <s v="GEO1001"/>
    <s v="GEO1001"/>
    <x v="1"/>
    <x v="0"/>
    <s v="Q1 2020"/>
  </r>
  <r>
    <x v="46"/>
    <x v="0"/>
    <x v="677"/>
    <n v="7"/>
    <s v="GEO1001"/>
    <s v="GEO1001"/>
    <x v="1"/>
    <x v="0"/>
    <s v="Q1 2020"/>
  </r>
  <r>
    <x v="46"/>
    <x v="1"/>
    <x v="652"/>
    <n v="7"/>
    <s v="GEO1001"/>
    <s v="GEO1001"/>
    <x v="1"/>
    <x v="1"/>
    <s v="Q2 2020"/>
  </r>
  <r>
    <x v="46"/>
    <x v="2"/>
    <x v="678"/>
    <n v="7"/>
    <s v="GEO1001"/>
    <s v="GEO1001"/>
    <x v="1"/>
    <x v="1"/>
    <s v="Q2 2020"/>
  </r>
  <r>
    <x v="46"/>
    <x v="3"/>
    <x v="679"/>
    <n v="7"/>
    <s v="GEO1001"/>
    <s v="GEO1001"/>
    <x v="1"/>
    <x v="1"/>
    <s v="Q2 2020"/>
  </r>
  <r>
    <x v="46"/>
    <x v="4"/>
    <x v="134"/>
    <n v="7"/>
    <s v="GEO1001"/>
    <s v="GEO1001"/>
    <x v="1"/>
    <x v="2"/>
    <s v="Q3 2020"/>
  </r>
  <r>
    <x v="46"/>
    <x v="5"/>
    <x v="619"/>
    <n v="7"/>
    <s v="GEO1001"/>
    <s v="GEO1001"/>
    <x v="1"/>
    <x v="2"/>
    <s v="Q3 2020"/>
  </r>
  <r>
    <x v="46"/>
    <x v="6"/>
    <x v="680"/>
    <n v="7"/>
    <s v="GEO1001"/>
    <s v="GEO1001"/>
    <x v="1"/>
    <x v="2"/>
    <s v="Q3 2020"/>
  </r>
  <r>
    <x v="46"/>
    <x v="7"/>
    <x v="283"/>
    <n v="7"/>
    <s v="GEO1001"/>
    <s v="GEO1001"/>
    <x v="1"/>
    <x v="3"/>
    <s v="Q4 2020"/>
  </r>
  <r>
    <x v="46"/>
    <x v="8"/>
    <x v="6"/>
    <n v="7"/>
    <s v="GEO1001"/>
    <s v="GEO1001"/>
    <x v="1"/>
    <x v="3"/>
    <s v="Q4 2020"/>
  </r>
  <r>
    <x v="46"/>
    <x v="9"/>
    <x v="681"/>
    <n v="7"/>
    <s v="GEO1001"/>
    <s v="GEO1001"/>
    <x v="1"/>
    <x v="3"/>
    <s v="Q4 2020"/>
  </r>
  <r>
    <x v="46"/>
    <x v="10"/>
    <x v="682"/>
    <n v="7"/>
    <s v="GEO1001"/>
    <s v="GEO1001"/>
    <x v="1"/>
    <x v="4"/>
    <s v="Q2 2021"/>
  </r>
  <r>
    <x v="46"/>
    <x v="11"/>
    <x v="683"/>
    <n v="7"/>
    <s v="GEO1001"/>
    <s v="GEO1001"/>
    <x v="1"/>
    <x v="4"/>
    <s v="Q2 2021"/>
  </r>
  <r>
    <x v="46"/>
    <x v="12"/>
    <x v="684"/>
    <n v="7"/>
    <s v="GEO1001"/>
    <s v="GEO1001"/>
    <x v="1"/>
    <x v="4"/>
    <s v="Q2 2021"/>
  </r>
  <r>
    <x v="46"/>
    <x v="13"/>
    <x v="685"/>
    <n v="7"/>
    <s v="GEO1001"/>
    <s v="GEO1001"/>
    <x v="1"/>
    <x v="5"/>
    <s v="Q4 2020"/>
  </r>
  <r>
    <x v="46"/>
    <x v="14"/>
    <x v="686"/>
    <n v="7"/>
    <s v="GEO1001"/>
    <s v="GEO1001"/>
    <x v="1"/>
    <x v="5"/>
    <s v="Q4 2020"/>
  </r>
  <r>
    <x v="46"/>
    <x v="15"/>
    <x v="402"/>
    <n v="7"/>
    <s v="GEO1001"/>
    <s v="GEO1001"/>
    <x v="1"/>
    <x v="5"/>
    <s v="Q4 2020"/>
  </r>
  <r>
    <x v="47"/>
    <x v="16"/>
    <x v="687"/>
    <n v="7"/>
    <s v="GEO1002"/>
    <s v="GEO1002"/>
    <x v="3"/>
    <x v="0"/>
    <s v="Q1 2020"/>
  </r>
  <r>
    <x v="47"/>
    <x v="17"/>
    <x v="688"/>
    <n v="7"/>
    <s v="GEO1002"/>
    <s v="GEO1002"/>
    <x v="3"/>
    <x v="0"/>
    <s v="Q1 2020"/>
  </r>
  <r>
    <x v="47"/>
    <x v="0"/>
    <x v="573"/>
    <n v="7"/>
    <s v="GEO1002"/>
    <s v="GEO1002"/>
    <x v="3"/>
    <x v="0"/>
    <s v="Q1 2020"/>
  </r>
  <r>
    <x v="47"/>
    <x v="1"/>
    <x v="689"/>
    <n v="7"/>
    <s v="GEO1002"/>
    <s v="GEO1002"/>
    <x v="3"/>
    <x v="1"/>
    <s v="Q2 2020"/>
  </r>
  <r>
    <x v="47"/>
    <x v="2"/>
    <x v="690"/>
    <n v="7"/>
    <s v="GEO1002"/>
    <s v="GEO1002"/>
    <x v="3"/>
    <x v="1"/>
    <s v="Q2 2020"/>
  </r>
  <r>
    <x v="47"/>
    <x v="3"/>
    <x v="691"/>
    <n v="7"/>
    <s v="GEO1002"/>
    <s v="GEO1002"/>
    <x v="3"/>
    <x v="1"/>
    <s v="Q2 2020"/>
  </r>
  <r>
    <x v="47"/>
    <x v="4"/>
    <x v="692"/>
    <n v="7"/>
    <s v="GEO1002"/>
    <s v="GEO1002"/>
    <x v="3"/>
    <x v="2"/>
    <s v="Q3 2020"/>
  </r>
  <r>
    <x v="47"/>
    <x v="5"/>
    <x v="693"/>
    <n v="7"/>
    <s v="GEO1002"/>
    <s v="GEO1002"/>
    <x v="3"/>
    <x v="2"/>
    <s v="Q3 2020"/>
  </r>
  <r>
    <x v="47"/>
    <x v="6"/>
    <x v="694"/>
    <n v="7"/>
    <s v="GEO1002"/>
    <s v="GEO1002"/>
    <x v="3"/>
    <x v="2"/>
    <s v="Q3 2020"/>
  </r>
  <r>
    <x v="47"/>
    <x v="7"/>
    <x v="694"/>
    <n v="7"/>
    <s v="GEO1002"/>
    <s v="GEO1002"/>
    <x v="3"/>
    <x v="3"/>
    <s v="Q4 2020"/>
  </r>
  <r>
    <x v="47"/>
    <x v="8"/>
    <x v="399"/>
    <n v="7"/>
    <s v="GEO1002"/>
    <s v="GEO1002"/>
    <x v="3"/>
    <x v="3"/>
    <s v="Q4 2020"/>
  </r>
  <r>
    <x v="47"/>
    <x v="9"/>
    <x v="695"/>
    <n v="7"/>
    <s v="GEO1002"/>
    <s v="GEO1002"/>
    <x v="3"/>
    <x v="3"/>
    <s v="Q4 2020"/>
  </r>
  <r>
    <x v="47"/>
    <x v="10"/>
    <x v="21"/>
    <n v="7"/>
    <s v="GEO1002"/>
    <s v="GEO1002"/>
    <x v="3"/>
    <x v="4"/>
    <s v="Q2 2021"/>
  </r>
  <r>
    <x v="47"/>
    <x v="11"/>
    <x v="696"/>
    <n v="7"/>
    <s v="GEO1002"/>
    <s v="GEO1002"/>
    <x v="3"/>
    <x v="4"/>
    <s v="Q2 2021"/>
  </r>
  <r>
    <x v="47"/>
    <x v="12"/>
    <x v="697"/>
    <n v="7"/>
    <s v="GEO1002"/>
    <s v="GEO1002"/>
    <x v="3"/>
    <x v="4"/>
    <s v="Q2 2021"/>
  </r>
  <r>
    <x v="47"/>
    <x v="13"/>
    <x v="698"/>
    <n v="7"/>
    <s v="GEO1002"/>
    <s v="GEO1002"/>
    <x v="3"/>
    <x v="5"/>
    <s v="Q4 2020"/>
  </r>
  <r>
    <x v="47"/>
    <x v="14"/>
    <x v="100"/>
    <n v="7"/>
    <s v="GEO1002"/>
    <s v="GEO1002"/>
    <x v="3"/>
    <x v="5"/>
    <s v="Q4 2020"/>
  </r>
  <r>
    <x v="47"/>
    <x v="15"/>
    <x v="699"/>
    <n v="7"/>
    <s v="GEO1002"/>
    <s v="GEO1002"/>
    <x v="3"/>
    <x v="5"/>
    <s v="Q4 2020"/>
  </r>
  <r>
    <x v="48"/>
    <x v="16"/>
    <x v="700"/>
    <n v="7"/>
    <s v="GEO1002"/>
    <s v="GEO1002"/>
    <x v="3"/>
    <x v="0"/>
    <s v="Q1 2020"/>
  </r>
  <r>
    <x v="48"/>
    <x v="17"/>
    <x v="701"/>
    <n v="7"/>
    <s v="GEO1002"/>
    <s v="GEO1002"/>
    <x v="3"/>
    <x v="0"/>
    <s v="Q1 2020"/>
  </r>
  <r>
    <x v="48"/>
    <x v="0"/>
    <x v="702"/>
    <n v="7"/>
    <s v="GEO1002"/>
    <s v="GEO1002"/>
    <x v="3"/>
    <x v="0"/>
    <s v="Q1 2020"/>
  </r>
  <r>
    <x v="48"/>
    <x v="1"/>
    <x v="703"/>
    <n v="7"/>
    <s v="GEO1002"/>
    <s v="GEO1002"/>
    <x v="3"/>
    <x v="1"/>
    <s v="Q2 2020"/>
  </r>
  <r>
    <x v="48"/>
    <x v="2"/>
    <x v="704"/>
    <n v="7"/>
    <s v="GEO1002"/>
    <s v="GEO1002"/>
    <x v="3"/>
    <x v="1"/>
    <s v="Q2 2020"/>
  </r>
  <r>
    <x v="48"/>
    <x v="3"/>
    <x v="705"/>
    <n v="7"/>
    <s v="GEO1002"/>
    <s v="GEO1002"/>
    <x v="3"/>
    <x v="1"/>
    <s v="Q2 2020"/>
  </r>
  <r>
    <x v="48"/>
    <x v="4"/>
    <x v="340"/>
    <n v="7"/>
    <s v="GEO1002"/>
    <s v="GEO1002"/>
    <x v="3"/>
    <x v="2"/>
    <s v="Q3 2020"/>
  </r>
  <r>
    <x v="48"/>
    <x v="5"/>
    <x v="706"/>
    <n v="7"/>
    <s v="GEO1002"/>
    <s v="GEO1002"/>
    <x v="3"/>
    <x v="2"/>
    <s v="Q3 2020"/>
  </r>
  <r>
    <x v="48"/>
    <x v="6"/>
    <x v="98"/>
    <n v="7"/>
    <s v="GEO1002"/>
    <s v="GEO1002"/>
    <x v="3"/>
    <x v="2"/>
    <s v="Q3 2020"/>
  </r>
  <r>
    <x v="48"/>
    <x v="7"/>
    <x v="24"/>
    <n v="7"/>
    <s v="GEO1002"/>
    <s v="GEO1002"/>
    <x v="3"/>
    <x v="3"/>
    <s v="Q4 2020"/>
  </r>
  <r>
    <x v="48"/>
    <x v="8"/>
    <x v="707"/>
    <n v="7"/>
    <s v="GEO1002"/>
    <s v="GEO1002"/>
    <x v="3"/>
    <x v="3"/>
    <s v="Q4 2020"/>
  </r>
  <r>
    <x v="48"/>
    <x v="9"/>
    <x v="708"/>
    <n v="7"/>
    <s v="GEO1002"/>
    <s v="GEO1002"/>
    <x v="3"/>
    <x v="3"/>
    <s v="Q4 2020"/>
  </r>
  <r>
    <x v="48"/>
    <x v="10"/>
    <x v="709"/>
    <n v="7"/>
    <s v="GEO1002"/>
    <s v="GEO1002"/>
    <x v="3"/>
    <x v="4"/>
    <s v="Q2 2021"/>
  </r>
  <r>
    <x v="48"/>
    <x v="11"/>
    <x v="710"/>
    <n v="7"/>
    <s v="GEO1002"/>
    <s v="GEO1002"/>
    <x v="3"/>
    <x v="4"/>
    <s v="Q2 2021"/>
  </r>
  <r>
    <x v="48"/>
    <x v="12"/>
    <x v="711"/>
    <n v="7"/>
    <s v="GEO1002"/>
    <s v="GEO1002"/>
    <x v="3"/>
    <x v="4"/>
    <s v="Q2 2021"/>
  </r>
  <r>
    <x v="48"/>
    <x v="13"/>
    <x v="712"/>
    <n v="7"/>
    <s v="GEO1002"/>
    <s v="GEO1002"/>
    <x v="3"/>
    <x v="5"/>
    <s v="Q4 2020"/>
  </r>
  <r>
    <x v="48"/>
    <x v="14"/>
    <x v="713"/>
    <n v="7"/>
    <s v="GEO1002"/>
    <s v="GEO1002"/>
    <x v="3"/>
    <x v="5"/>
    <s v="Q4 2020"/>
  </r>
  <r>
    <x v="48"/>
    <x v="15"/>
    <x v="714"/>
    <n v="7"/>
    <s v="GEO1002"/>
    <s v="GEO1002"/>
    <x v="3"/>
    <x v="5"/>
    <s v="Q4 2020"/>
  </r>
  <r>
    <x v="49"/>
    <x v="16"/>
    <x v="431"/>
    <n v="7"/>
    <s v="GEO1001"/>
    <s v="GEO1001"/>
    <x v="1"/>
    <x v="0"/>
    <s v="Q1 2020"/>
  </r>
  <r>
    <x v="49"/>
    <x v="17"/>
    <x v="715"/>
    <n v="7"/>
    <s v="GEO1001"/>
    <s v="GEO1001"/>
    <x v="1"/>
    <x v="0"/>
    <s v="Q1 2020"/>
  </r>
  <r>
    <x v="49"/>
    <x v="0"/>
    <x v="716"/>
    <n v="7"/>
    <s v="GEO1001"/>
    <s v="GEO1001"/>
    <x v="1"/>
    <x v="0"/>
    <s v="Q1 2020"/>
  </r>
  <r>
    <x v="49"/>
    <x v="1"/>
    <x v="717"/>
    <n v="7"/>
    <s v="GEO1001"/>
    <s v="GEO1001"/>
    <x v="1"/>
    <x v="1"/>
    <s v="Q2 2020"/>
  </r>
  <r>
    <x v="49"/>
    <x v="2"/>
    <x v="718"/>
    <n v="7"/>
    <s v="GEO1001"/>
    <s v="GEO1001"/>
    <x v="1"/>
    <x v="1"/>
    <s v="Q2 2020"/>
  </r>
  <r>
    <x v="49"/>
    <x v="3"/>
    <x v="719"/>
    <n v="7"/>
    <s v="GEO1001"/>
    <s v="GEO1001"/>
    <x v="1"/>
    <x v="1"/>
    <s v="Q2 2020"/>
  </r>
  <r>
    <x v="49"/>
    <x v="4"/>
    <x v="720"/>
    <n v="7"/>
    <s v="GEO1001"/>
    <s v="GEO1001"/>
    <x v="1"/>
    <x v="2"/>
    <s v="Q3 2020"/>
  </r>
  <r>
    <x v="49"/>
    <x v="5"/>
    <x v="721"/>
    <n v="7"/>
    <s v="GEO1001"/>
    <s v="GEO1001"/>
    <x v="1"/>
    <x v="2"/>
    <s v="Q3 2020"/>
  </r>
  <r>
    <x v="49"/>
    <x v="6"/>
    <x v="722"/>
    <n v="7"/>
    <s v="GEO1001"/>
    <s v="GEO1001"/>
    <x v="1"/>
    <x v="2"/>
    <s v="Q3 2020"/>
  </r>
  <r>
    <x v="49"/>
    <x v="7"/>
    <x v="723"/>
    <n v="7"/>
    <s v="GEO1001"/>
    <s v="GEO1001"/>
    <x v="1"/>
    <x v="3"/>
    <s v="Q4 2020"/>
  </r>
  <r>
    <x v="49"/>
    <x v="8"/>
    <x v="543"/>
    <n v="7"/>
    <s v="GEO1001"/>
    <s v="GEO1001"/>
    <x v="1"/>
    <x v="3"/>
    <s v="Q4 2020"/>
  </r>
  <r>
    <x v="49"/>
    <x v="9"/>
    <x v="59"/>
    <n v="7"/>
    <s v="GEO1001"/>
    <s v="GEO1001"/>
    <x v="1"/>
    <x v="3"/>
    <s v="Q4 2020"/>
  </r>
  <r>
    <x v="49"/>
    <x v="10"/>
    <x v="29"/>
    <n v="7"/>
    <s v="GEO1001"/>
    <s v="GEO1001"/>
    <x v="1"/>
    <x v="4"/>
    <s v="Q2 2021"/>
  </r>
  <r>
    <x v="49"/>
    <x v="11"/>
    <x v="724"/>
    <n v="7"/>
    <s v="GEO1001"/>
    <s v="GEO1001"/>
    <x v="1"/>
    <x v="4"/>
    <s v="Q2 2021"/>
  </r>
  <r>
    <x v="49"/>
    <x v="12"/>
    <x v="725"/>
    <n v="7"/>
    <s v="GEO1001"/>
    <s v="GEO1001"/>
    <x v="1"/>
    <x v="4"/>
    <s v="Q2 2021"/>
  </r>
  <r>
    <x v="49"/>
    <x v="13"/>
    <x v="726"/>
    <n v="7"/>
    <s v="GEO1001"/>
    <s v="GEO1001"/>
    <x v="1"/>
    <x v="5"/>
    <s v="Q4 2020"/>
  </r>
  <r>
    <x v="49"/>
    <x v="14"/>
    <x v="727"/>
    <n v="7"/>
    <s v="GEO1001"/>
    <s v="GEO1001"/>
    <x v="1"/>
    <x v="5"/>
    <s v="Q4 2020"/>
  </r>
  <r>
    <x v="49"/>
    <x v="15"/>
    <x v="728"/>
    <n v="7"/>
    <s v="GEO1001"/>
    <s v="GEO1001"/>
    <x v="1"/>
    <x v="5"/>
    <s v="Q4 2020"/>
  </r>
  <r>
    <x v="50"/>
    <x v="16"/>
    <x v="729"/>
    <n v="7"/>
    <s v="GEO1001"/>
    <s v="GEO1001"/>
    <x v="1"/>
    <x v="0"/>
    <s v="Q1 2020"/>
  </r>
  <r>
    <x v="50"/>
    <x v="17"/>
    <x v="730"/>
    <n v="7"/>
    <s v="GEO1001"/>
    <s v="GEO1001"/>
    <x v="1"/>
    <x v="0"/>
    <s v="Q1 2020"/>
  </r>
  <r>
    <x v="50"/>
    <x v="0"/>
    <x v="731"/>
    <n v="7"/>
    <s v="GEO1001"/>
    <s v="GEO1001"/>
    <x v="1"/>
    <x v="0"/>
    <s v="Q1 2020"/>
  </r>
  <r>
    <x v="50"/>
    <x v="1"/>
    <x v="731"/>
    <n v="7"/>
    <s v="GEO1001"/>
    <s v="GEO1001"/>
    <x v="1"/>
    <x v="1"/>
    <s v="Q2 2020"/>
  </r>
  <r>
    <x v="50"/>
    <x v="2"/>
    <x v="732"/>
    <n v="7"/>
    <s v="GEO1001"/>
    <s v="GEO1001"/>
    <x v="1"/>
    <x v="1"/>
    <s v="Q2 2020"/>
  </r>
  <r>
    <x v="50"/>
    <x v="3"/>
    <x v="733"/>
    <n v="7"/>
    <s v="GEO1001"/>
    <s v="GEO1001"/>
    <x v="1"/>
    <x v="1"/>
    <s v="Q2 2020"/>
  </r>
  <r>
    <x v="50"/>
    <x v="4"/>
    <x v="734"/>
    <n v="7"/>
    <s v="GEO1001"/>
    <s v="GEO1001"/>
    <x v="1"/>
    <x v="2"/>
    <s v="Q3 2020"/>
  </r>
  <r>
    <x v="50"/>
    <x v="5"/>
    <x v="735"/>
    <n v="7"/>
    <s v="GEO1001"/>
    <s v="GEO1001"/>
    <x v="1"/>
    <x v="2"/>
    <s v="Q3 2020"/>
  </r>
  <r>
    <x v="50"/>
    <x v="6"/>
    <x v="733"/>
    <n v="7"/>
    <s v="GEO1001"/>
    <s v="GEO1001"/>
    <x v="1"/>
    <x v="2"/>
    <s v="Q3 2020"/>
  </r>
  <r>
    <x v="50"/>
    <x v="7"/>
    <x v="736"/>
    <n v="7"/>
    <s v="GEO1001"/>
    <s v="GEO1001"/>
    <x v="1"/>
    <x v="3"/>
    <s v="Q4 2020"/>
  </r>
  <r>
    <x v="50"/>
    <x v="8"/>
    <x v="737"/>
    <n v="7"/>
    <s v="GEO1001"/>
    <s v="GEO1001"/>
    <x v="1"/>
    <x v="3"/>
    <s v="Q4 2020"/>
  </r>
  <r>
    <x v="50"/>
    <x v="9"/>
    <x v="733"/>
    <n v="7"/>
    <s v="GEO1001"/>
    <s v="GEO1001"/>
    <x v="1"/>
    <x v="3"/>
    <s v="Q4 2020"/>
  </r>
  <r>
    <x v="50"/>
    <x v="10"/>
    <x v="738"/>
    <n v="7"/>
    <s v="GEO1001"/>
    <s v="GEO1001"/>
    <x v="1"/>
    <x v="4"/>
    <s v="Q2 2021"/>
  </r>
  <r>
    <x v="50"/>
    <x v="11"/>
    <x v="739"/>
    <n v="7"/>
    <s v="GEO1001"/>
    <s v="GEO1001"/>
    <x v="1"/>
    <x v="4"/>
    <s v="Q2 2021"/>
  </r>
  <r>
    <x v="50"/>
    <x v="12"/>
    <x v="740"/>
    <n v="7"/>
    <s v="GEO1001"/>
    <s v="GEO1001"/>
    <x v="1"/>
    <x v="4"/>
    <s v="Q2 2021"/>
  </r>
  <r>
    <x v="50"/>
    <x v="13"/>
    <x v="741"/>
    <n v="7"/>
    <s v="GEO1001"/>
    <s v="GEO1001"/>
    <x v="1"/>
    <x v="5"/>
    <s v="Q4 2020"/>
  </r>
  <r>
    <x v="50"/>
    <x v="14"/>
    <x v="742"/>
    <n v="7"/>
    <s v="GEO1001"/>
    <s v="GEO1001"/>
    <x v="1"/>
    <x v="5"/>
    <s v="Q4 2020"/>
  </r>
  <r>
    <x v="50"/>
    <x v="15"/>
    <x v="743"/>
    <n v="7"/>
    <s v="GEO1001"/>
    <s v="GEO1001"/>
    <x v="1"/>
    <x v="5"/>
    <s v="Q4 2020"/>
  </r>
  <r>
    <x v="51"/>
    <x v="16"/>
    <x v="121"/>
    <n v="7"/>
    <s v="GEO1002"/>
    <s v="GEO1002"/>
    <x v="3"/>
    <x v="0"/>
    <s v="Q1 2020"/>
  </r>
  <r>
    <x v="51"/>
    <x v="17"/>
    <x v="744"/>
    <n v="7"/>
    <s v="GEO1002"/>
    <s v="GEO1002"/>
    <x v="3"/>
    <x v="0"/>
    <s v="Q1 2020"/>
  </r>
  <r>
    <x v="51"/>
    <x v="0"/>
    <x v="745"/>
    <n v="7"/>
    <s v="GEO1002"/>
    <s v="GEO1002"/>
    <x v="3"/>
    <x v="0"/>
    <s v="Q1 2020"/>
  </r>
  <r>
    <x v="51"/>
    <x v="1"/>
    <x v="117"/>
    <n v="7"/>
    <s v="GEO1002"/>
    <s v="GEO1002"/>
    <x v="3"/>
    <x v="1"/>
    <s v="Q2 2020"/>
  </r>
  <r>
    <x v="51"/>
    <x v="2"/>
    <x v="125"/>
    <n v="7"/>
    <s v="GEO1002"/>
    <s v="GEO1002"/>
    <x v="3"/>
    <x v="1"/>
    <s v="Q2 2020"/>
  </r>
  <r>
    <x v="51"/>
    <x v="3"/>
    <x v="670"/>
    <n v="7"/>
    <s v="GEO1002"/>
    <s v="GEO1002"/>
    <x v="3"/>
    <x v="1"/>
    <s v="Q2 2020"/>
  </r>
  <r>
    <x v="51"/>
    <x v="4"/>
    <x v="744"/>
    <n v="7"/>
    <s v="GEO1002"/>
    <s v="GEO1002"/>
    <x v="3"/>
    <x v="2"/>
    <s v="Q3 2020"/>
  </r>
  <r>
    <x v="51"/>
    <x v="5"/>
    <x v="746"/>
    <n v="7"/>
    <s v="GEO1002"/>
    <s v="GEO1002"/>
    <x v="3"/>
    <x v="2"/>
    <s v="Q3 2020"/>
  </r>
  <r>
    <x v="51"/>
    <x v="6"/>
    <x v="747"/>
    <n v="7"/>
    <s v="GEO1002"/>
    <s v="GEO1002"/>
    <x v="3"/>
    <x v="2"/>
    <s v="Q3 2020"/>
  </r>
  <r>
    <x v="51"/>
    <x v="7"/>
    <x v="748"/>
    <n v="7"/>
    <s v="GEO1002"/>
    <s v="GEO1002"/>
    <x v="3"/>
    <x v="3"/>
    <s v="Q4 2020"/>
  </r>
  <r>
    <x v="51"/>
    <x v="8"/>
    <x v="749"/>
    <n v="7"/>
    <s v="GEO1002"/>
    <s v="GEO1002"/>
    <x v="3"/>
    <x v="3"/>
    <s v="Q4 2020"/>
  </r>
  <r>
    <x v="51"/>
    <x v="9"/>
    <x v="750"/>
    <n v="7"/>
    <s v="GEO1002"/>
    <s v="GEO1002"/>
    <x v="3"/>
    <x v="3"/>
    <s v="Q4 2020"/>
  </r>
  <r>
    <x v="51"/>
    <x v="14"/>
    <x v="661"/>
    <n v="7"/>
    <s v="GEO1002"/>
    <s v="GEO1002"/>
    <x v="3"/>
    <x v="5"/>
    <s v="Q4 2020"/>
  </r>
  <r>
    <x v="51"/>
    <x v="15"/>
    <x v="751"/>
    <n v="7"/>
    <s v="GEO1002"/>
    <s v="GEO1002"/>
    <x v="3"/>
    <x v="5"/>
    <s v="Q4 2020"/>
  </r>
  <r>
    <x v="52"/>
    <x v="16"/>
    <x v="522"/>
    <n v="7"/>
    <s v="GEO1002"/>
    <s v="GEO1002"/>
    <x v="3"/>
    <x v="0"/>
    <s v="Q1 2020"/>
  </r>
  <r>
    <x v="52"/>
    <x v="17"/>
    <x v="752"/>
    <n v="7"/>
    <s v="GEO1002"/>
    <s v="GEO1002"/>
    <x v="3"/>
    <x v="0"/>
    <s v="Q1 2020"/>
  </r>
  <r>
    <x v="52"/>
    <x v="0"/>
    <x v="753"/>
    <n v="7"/>
    <s v="GEO1002"/>
    <s v="GEO1002"/>
    <x v="3"/>
    <x v="0"/>
    <s v="Q1 2020"/>
  </r>
  <r>
    <x v="52"/>
    <x v="1"/>
    <x v="754"/>
    <n v="7"/>
    <s v="GEO1002"/>
    <s v="GEO1002"/>
    <x v="3"/>
    <x v="1"/>
    <s v="Q2 2020"/>
  </r>
  <r>
    <x v="52"/>
    <x v="2"/>
    <x v="755"/>
    <n v="7"/>
    <s v="GEO1002"/>
    <s v="GEO1002"/>
    <x v="3"/>
    <x v="1"/>
    <s v="Q2 2020"/>
  </r>
  <r>
    <x v="52"/>
    <x v="3"/>
    <x v="756"/>
    <n v="7"/>
    <s v="GEO1002"/>
    <s v="GEO1002"/>
    <x v="3"/>
    <x v="1"/>
    <s v="Q2 2020"/>
  </r>
  <r>
    <x v="52"/>
    <x v="4"/>
    <x v="131"/>
    <n v="7"/>
    <s v="GEO1002"/>
    <s v="GEO1002"/>
    <x v="3"/>
    <x v="2"/>
    <s v="Q3 2020"/>
  </r>
  <r>
    <x v="52"/>
    <x v="5"/>
    <x v="757"/>
    <n v="7"/>
    <s v="GEO1002"/>
    <s v="GEO1002"/>
    <x v="3"/>
    <x v="2"/>
    <s v="Q3 2020"/>
  </r>
  <r>
    <x v="52"/>
    <x v="6"/>
    <x v="758"/>
    <n v="7"/>
    <s v="GEO1002"/>
    <s v="GEO1002"/>
    <x v="3"/>
    <x v="2"/>
    <s v="Q3 2020"/>
  </r>
  <r>
    <x v="52"/>
    <x v="7"/>
    <x v="758"/>
    <n v="7"/>
    <s v="GEO1002"/>
    <s v="GEO1002"/>
    <x v="3"/>
    <x v="3"/>
    <s v="Q4 2020"/>
  </r>
  <r>
    <x v="52"/>
    <x v="8"/>
    <x v="759"/>
    <n v="7"/>
    <s v="GEO1002"/>
    <s v="GEO1002"/>
    <x v="3"/>
    <x v="3"/>
    <s v="Q4 2020"/>
  </r>
  <r>
    <x v="52"/>
    <x v="9"/>
    <x v="760"/>
    <n v="7"/>
    <s v="GEO1002"/>
    <s v="GEO1002"/>
    <x v="3"/>
    <x v="3"/>
    <s v="Q4 2020"/>
  </r>
  <r>
    <x v="52"/>
    <x v="10"/>
    <x v="446"/>
    <n v="7"/>
    <s v="GEO1002"/>
    <s v="GEO1002"/>
    <x v="3"/>
    <x v="4"/>
    <s v="Q2 2021"/>
  </r>
  <r>
    <x v="52"/>
    <x v="11"/>
    <x v="761"/>
    <n v="7"/>
    <s v="GEO1002"/>
    <s v="GEO1002"/>
    <x v="3"/>
    <x v="4"/>
    <s v="Q2 2021"/>
  </r>
  <r>
    <x v="52"/>
    <x v="12"/>
    <x v="754"/>
    <n v="7"/>
    <s v="GEO1002"/>
    <s v="GEO1002"/>
    <x v="3"/>
    <x v="4"/>
    <s v="Q2 2021"/>
  </r>
  <r>
    <x v="52"/>
    <x v="13"/>
    <x v="762"/>
    <n v="7"/>
    <s v="GEO1002"/>
    <s v="GEO1002"/>
    <x v="3"/>
    <x v="5"/>
    <s v="Q4 2020"/>
  </r>
  <r>
    <x v="52"/>
    <x v="14"/>
    <x v="763"/>
    <n v="7"/>
    <s v="GEO1002"/>
    <s v="GEO1002"/>
    <x v="3"/>
    <x v="5"/>
    <s v="Q4 2020"/>
  </r>
  <r>
    <x v="52"/>
    <x v="15"/>
    <x v="764"/>
    <n v="7"/>
    <s v="GEO1002"/>
    <s v="GEO1002"/>
    <x v="3"/>
    <x v="5"/>
    <s v="Q4 20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FD9948-7D83-4657-BBD9-DBD7F762826F}" name="PivotTable4" cacheId="24" applyNumberFormats="0" applyBorderFormats="0" applyFontFormats="0" applyPatternFormats="0" applyAlignmentFormats="0" applyWidthHeightFormats="1" dataCaption="Values" updatedVersion="8" minRefreshableVersion="3" colGrandTotals="0" itemPrintTitles="1" createdVersion="8" indent="0" compact="0" compactData="0" multipleFieldFilters="0" chartFormat="4">
  <location ref="A5:I13" firstHeaderRow="1" firstDataRow="4" firstDataCol="1"/>
  <pivotFields count="12">
    <pivotField compact="0" outline="0" showAll="0" sortType="descending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compact="0" numFmtId="14" outline="0" showAll="0">
      <items count="19">
        <item x="16"/>
        <item x="17"/>
        <item x="0"/>
        <item x="1"/>
        <item x="2"/>
        <item x="3"/>
        <item x="4"/>
        <item x="5"/>
        <item x="6"/>
        <item x="7"/>
        <item x="8"/>
        <item x="9"/>
        <item x="15"/>
        <item x="14"/>
        <item x="13"/>
        <item x="12"/>
        <item x="11"/>
        <item x="10"/>
        <item t="default"/>
      </items>
    </pivotField>
    <pivotField dataField="1" compact="0" numFmtId="164" outline="0" showAll="0">
      <items count="766">
        <item x="559"/>
        <item x="561"/>
        <item x="557"/>
        <item x="563"/>
        <item x="554"/>
        <item x="560"/>
        <item x="566"/>
        <item x="558"/>
        <item x="553"/>
        <item x="562"/>
        <item x="556"/>
        <item x="666"/>
        <item x="565"/>
        <item x="555"/>
        <item x="664"/>
        <item x="665"/>
        <item x="564"/>
        <item x="667"/>
        <item x="674"/>
        <item x="746"/>
        <item x="668"/>
        <item x="659"/>
        <item x="663"/>
        <item x="669"/>
        <item x="748"/>
        <item x="673"/>
        <item x="123"/>
        <item x="660"/>
        <item x="672"/>
        <item x="750"/>
        <item x="662"/>
        <item x="670"/>
        <item x="747"/>
        <item x="124"/>
        <item x="744"/>
        <item x="661"/>
        <item x="671"/>
        <item x="749"/>
        <item x="751"/>
        <item x="121"/>
        <item x="757"/>
        <item x="126"/>
        <item x="127"/>
        <item x="518"/>
        <item x="122"/>
        <item x="117"/>
        <item x="758"/>
        <item x="745"/>
        <item x="130"/>
        <item x="520"/>
        <item x="125"/>
        <item x="116"/>
        <item x="131"/>
        <item x="756"/>
        <item x="760"/>
        <item x="446"/>
        <item x="277"/>
        <item x="516"/>
        <item x="759"/>
        <item x="519"/>
        <item x="752"/>
        <item x="522"/>
        <item x="764"/>
        <item x="119"/>
        <item x="763"/>
        <item x="118"/>
        <item x="129"/>
        <item x="447"/>
        <item x="372"/>
        <item x="279"/>
        <item x="128"/>
        <item x="120"/>
        <item x="517"/>
        <item x="525"/>
        <item x="235"/>
        <item x="449"/>
        <item x="445"/>
        <item x="753"/>
        <item x="444"/>
        <item x="762"/>
        <item x="370"/>
        <item x="521"/>
        <item x="512"/>
        <item x="139"/>
        <item x="278"/>
        <item x="281"/>
        <item x="526"/>
        <item x="761"/>
        <item x="282"/>
        <item x="754"/>
        <item x="755"/>
        <item x="621"/>
        <item x="450"/>
        <item x="440"/>
        <item x="441"/>
        <item x="448"/>
        <item x="233"/>
        <item x="380"/>
        <item x="371"/>
        <item x="365"/>
        <item x="286"/>
        <item x="374"/>
        <item x="276"/>
        <item x="524"/>
        <item x="514"/>
        <item x="513"/>
        <item x="138"/>
        <item x="237"/>
        <item x="234"/>
        <item x="228"/>
        <item x="287"/>
        <item x="515"/>
        <item x="623"/>
        <item x="312"/>
        <item x="311"/>
        <item x="373"/>
        <item x="280"/>
        <item x="523"/>
        <item x="442"/>
        <item x="41"/>
        <item x="141"/>
        <item x="132"/>
        <item x="236"/>
        <item x="147"/>
        <item x="443"/>
        <item x="5"/>
        <item x="375"/>
        <item x="376"/>
        <item x="369"/>
        <item x="367"/>
        <item x="378"/>
        <item x="310"/>
        <item x="680"/>
        <item x="619"/>
        <item x="313"/>
        <item x="624"/>
        <item x="625"/>
        <item x="140"/>
        <item x="285"/>
        <item x="366"/>
        <item x="379"/>
        <item x="39"/>
        <item x="230"/>
        <item x="240"/>
        <item x="284"/>
        <item x="238"/>
        <item x="403"/>
        <item x="336"/>
        <item x="316"/>
        <item x="305"/>
        <item x="314"/>
        <item x="7"/>
        <item x="315"/>
        <item x="309"/>
        <item x="622"/>
        <item x="283"/>
        <item x="134"/>
        <item x="137"/>
        <item x="142"/>
        <item x="628"/>
        <item x="143"/>
        <item x="232"/>
        <item x="229"/>
        <item x="146"/>
        <item x="241"/>
        <item x="40"/>
        <item x="34"/>
        <item x="43"/>
        <item x="188"/>
        <item x="189"/>
        <item x="306"/>
        <item x="133"/>
        <item x="48"/>
        <item x="136"/>
        <item x="402"/>
        <item x="620"/>
        <item x="401"/>
        <item x="10"/>
        <item x="682"/>
        <item x="3"/>
        <item x="9"/>
        <item x="679"/>
        <item x="681"/>
        <item x="675"/>
        <item x="6"/>
        <item x="23"/>
        <item x="144"/>
        <item x="338"/>
        <item x="693"/>
        <item x="368"/>
        <item x="377"/>
        <item x="42"/>
        <item x="307"/>
        <item x="107"/>
        <item x="629"/>
        <item x="616"/>
        <item x="187"/>
        <item x="676"/>
        <item x="190"/>
        <item x="474"/>
        <item x="405"/>
        <item x="396"/>
        <item x="404"/>
        <item x="4"/>
        <item x="686"/>
        <item x="91"/>
        <item x="231"/>
        <item x="92"/>
        <item x="308"/>
        <item x="239"/>
        <item x="14"/>
        <item x="337"/>
        <item x="335"/>
        <item x="38"/>
        <item x="36"/>
        <item x="46"/>
        <item x="617"/>
        <item x="694"/>
        <item x="25"/>
        <item x="685"/>
        <item x="677"/>
        <item x="135"/>
        <item x="108"/>
        <item x="191"/>
        <item x="15"/>
        <item x="406"/>
        <item x="186"/>
        <item x="651"/>
        <item x="8"/>
        <item x="400"/>
        <item x="196"/>
        <item x="145"/>
        <item x="99"/>
        <item x="47"/>
        <item x="473"/>
        <item x="407"/>
        <item x="85"/>
        <item x="93"/>
        <item x="35"/>
        <item x="44"/>
        <item x="331"/>
        <item x="627"/>
        <item x="678"/>
        <item x="683"/>
        <item x="695"/>
        <item x="692"/>
        <item x="691"/>
        <item x="342"/>
        <item x="706"/>
        <item x="626"/>
        <item x="397"/>
        <item x="182"/>
        <item x="618"/>
        <item x="434"/>
        <item x="21"/>
        <item x="27"/>
        <item x="410"/>
        <item x="110"/>
        <item x="106"/>
        <item x="105"/>
        <item x="650"/>
        <item x="28"/>
        <item x="111"/>
        <item x="652"/>
        <item x="357"/>
        <item x="195"/>
        <item x="90"/>
        <item x="94"/>
        <item x="343"/>
        <item x="204"/>
        <item x="684"/>
        <item x="330"/>
        <item x="95"/>
        <item x="467"/>
        <item x="475"/>
        <item x="12"/>
        <item x="481"/>
        <item x="0"/>
        <item x="1"/>
        <item x="589"/>
        <item x="408"/>
        <item x="194"/>
        <item x="688"/>
        <item x="399"/>
        <item x="687"/>
        <item x="183"/>
        <item x="79"/>
        <item x="344"/>
        <item x="13"/>
        <item x="115"/>
        <item x="699"/>
        <item x="109"/>
        <item x="101"/>
        <item x="17"/>
        <item x="100"/>
        <item x="24"/>
        <item x="98"/>
        <item x="86"/>
        <item x="87"/>
        <item x="51"/>
        <item x="649"/>
        <item x="653"/>
        <item x="644"/>
        <item x="2"/>
        <item x="32"/>
        <item x="45"/>
        <item x="37"/>
        <item x="654"/>
        <item x="358"/>
        <item x="472"/>
        <item x="185"/>
        <item x="476"/>
        <item x="658"/>
        <item x="722"/>
        <item x="202"/>
        <item x="11"/>
        <item x="203"/>
        <item x="192"/>
        <item x="341"/>
        <item x="587"/>
        <item x="588"/>
        <item x="332"/>
        <item x="333"/>
        <item x="89"/>
        <item x="535"/>
        <item x="548"/>
        <item x="398"/>
        <item x="22"/>
        <item x="657"/>
        <item x="96"/>
        <item x="81"/>
        <item x="435"/>
        <item x="429"/>
        <item x="645"/>
        <item x="184"/>
        <item x="708"/>
        <item x="705"/>
        <item x="340"/>
        <item x="479"/>
        <item x="468"/>
        <item x="469"/>
        <item x="480"/>
        <item x="573"/>
        <item x="439"/>
        <item x="574"/>
        <item x="389"/>
        <item x="388"/>
        <item x="360"/>
        <item x="698"/>
        <item x="193"/>
        <item x="409"/>
        <item x="356"/>
        <item x="359"/>
        <item x="351"/>
        <item x="339"/>
        <item x="334"/>
        <item x="53"/>
        <item x="709"/>
        <item x="102"/>
        <item x="205"/>
        <item x="197"/>
        <item x="114"/>
        <item x="721"/>
        <item x="345"/>
        <item x="720"/>
        <item x="211"/>
        <item x="349"/>
        <item x="346"/>
        <item x="16"/>
        <item x="26"/>
        <item x="697"/>
        <item x="547"/>
        <item x="477"/>
        <item x="33"/>
        <item x="590"/>
        <item x="646"/>
        <item x="542"/>
        <item x="471"/>
        <item x="689"/>
        <item x="690"/>
        <item x="438"/>
        <item x="656"/>
        <item x="430"/>
        <item x="532"/>
        <item x="696"/>
        <item x="534"/>
        <item x="714"/>
        <item x="707"/>
        <item x="701"/>
        <item x="700"/>
        <item x="78"/>
        <item x="364"/>
        <item x="552"/>
        <item x="88"/>
        <item x="597"/>
        <item x="352"/>
        <item x="104"/>
        <item x="103"/>
        <item x="295"/>
        <item x="575"/>
        <item x="567"/>
        <item x="576"/>
        <item x="713"/>
        <item x="536"/>
        <item x="83"/>
        <item x="387"/>
        <item x="97"/>
        <item x="113"/>
        <item x="206"/>
        <item x="19"/>
        <item x="55"/>
        <item x="112"/>
        <item x="648"/>
        <item x="350"/>
        <item x="52"/>
        <item x="49"/>
        <item x="30"/>
        <item x="728"/>
        <item x="543"/>
        <item x="347"/>
        <item x="723"/>
        <item x="431"/>
        <item x="591"/>
        <item x="586"/>
        <item x="592"/>
        <item x="551"/>
        <item x="363"/>
        <item x="533"/>
        <item x="353"/>
        <item x="528"/>
        <item x="437"/>
        <item x="655"/>
        <item x="31"/>
        <item x="540"/>
        <item x="470"/>
        <item x="18"/>
        <item x="647"/>
        <item x="577"/>
        <item x="572"/>
        <item x="578"/>
        <item x="198"/>
        <item x="199"/>
        <item x="381"/>
        <item x="386"/>
        <item x="433"/>
        <item x="544"/>
        <item x="395"/>
        <item x="478"/>
        <item x="50"/>
        <item x="209"/>
        <item x="583"/>
        <item x="584"/>
        <item x="702"/>
        <item x="719"/>
        <item x="59"/>
        <item x="595"/>
        <item x="712"/>
        <item x="596"/>
        <item x="355"/>
        <item x="390"/>
        <item x="29"/>
        <item x="210"/>
        <item x="297"/>
        <item x="84"/>
        <item x="541"/>
        <item x="20"/>
        <item x="80"/>
        <item x="527"/>
        <item x="361"/>
        <item x="436"/>
        <item x="568"/>
        <item x="569"/>
        <item x="432"/>
        <item x="201"/>
        <item x="581"/>
        <item x="207"/>
        <item x="710"/>
        <item x="546"/>
        <item x="394"/>
        <item x="382"/>
        <item x="703"/>
        <item x="704"/>
        <item x="354"/>
        <item x="582"/>
        <item x="549"/>
        <item x="726"/>
        <item x="362"/>
        <item x="711"/>
        <item x="716"/>
        <item x="715"/>
        <item x="54"/>
        <item x="593"/>
        <item x="348"/>
        <item x="727"/>
        <item x="550"/>
        <item x="571"/>
        <item x="60"/>
        <item x="545"/>
        <item x="298"/>
        <item x="293"/>
        <item x="393"/>
        <item x="383"/>
        <item x="299"/>
        <item x="579"/>
        <item x="718"/>
        <item x="529"/>
        <item x="530"/>
        <item x="82"/>
        <item x="200"/>
        <item x="208"/>
        <item x="538"/>
        <item x="724"/>
        <item x="585"/>
        <item x="539"/>
        <item x="385"/>
        <item x="391"/>
        <item x="57"/>
        <item x="594"/>
        <item x="531"/>
        <item x="289"/>
        <item x="296"/>
        <item x="570"/>
        <item x="537"/>
        <item x="58"/>
        <item x="303"/>
        <item x="384"/>
        <item x="580"/>
        <item x="717"/>
        <item x="392"/>
        <item x="725"/>
        <item x="56"/>
        <item x="294"/>
        <item x="606"/>
        <item x="605"/>
        <item x="288"/>
        <item x="304"/>
        <item x="607"/>
        <item x="604"/>
        <item x="291"/>
        <item x="301"/>
        <item x="418"/>
        <item x="290"/>
        <item x="302"/>
        <item x="608"/>
        <item x="603"/>
        <item x="609"/>
        <item x="598"/>
        <item x="610"/>
        <item x="300"/>
        <item x="292"/>
        <item x="615"/>
        <item x="614"/>
        <item x="599"/>
        <item x="420"/>
        <item x="613"/>
        <item x="600"/>
        <item x="488"/>
        <item x="423"/>
        <item x="422"/>
        <item x="416"/>
        <item x="602"/>
        <item x="611"/>
        <item x="601"/>
        <item x="612"/>
        <item x="427"/>
        <item x="412"/>
        <item x="419"/>
        <item x="490"/>
        <item x="417"/>
        <item x="491"/>
        <item x="486"/>
        <item x="492"/>
        <item x="421"/>
        <item x="411"/>
        <item x="428"/>
        <item x="496"/>
        <item x="414"/>
        <item x="489"/>
        <item x="425"/>
        <item x="426"/>
        <item x="413"/>
        <item x="487"/>
        <item x="218"/>
        <item x="219"/>
        <item x="267"/>
        <item x="424"/>
        <item x="415"/>
        <item x="69"/>
        <item x="482"/>
        <item x="497"/>
        <item x="217"/>
        <item x="172"/>
        <item x="220"/>
        <item x="266"/>
        <item x="265"/>
        <item x="320"/>
        <item x="319"/>
        <item x="494"/>
        <item x="484"/>
        <item x="67"/>
        <item x="495"/>
        <item x="221"/>
        <item x="216"/>
        <item x="212"/>
        <item x="483"/>
        <item x="259"/>
        <item x="268"/>
        <item x="222"/>
        <item x="275"/>
        <item x="321"/>
        <item x="227"/>
        <item x="171"/>
        <item x="485"/>
        <item x="504"/>
        <item x="155"/>
        <item x="156"/>
        <item x="77"/>
        <item x="68"/>
        <item x="61"/>
        <item x="71"/>
        <item x="493"/>
        <item x="269"/>
        <item x="264"/>
        <item x="226"/>
        <item x="323"/>
        <item x="322"/>
        <item x="317"/>
        <item x="324"/>
        <item x="165"/>
        <item x="174"/>
        <item x="270"/>
        <item x="225"/>
        <item x="181"/>
        <item x="213"/>
        <item x="636"/>
        <item x="329"/>
        <item x="70"/>
        <item x="505"/>
        <item x="261"/>
        <item x="260"/>
        <item x="154"/>
        <item x="157"/>
        <item x="273"/>
        <item x="274"/>
        <item x="249"/>
        <item x="248"/>
        <item x="223"/>
        <item x="735"/>
        <item x="215"/>
        <item x="173"/>
        <item x="328"/>
        <item x="271"/>
        <item x="263"/>
        <item x="63"/>
        <item x="66"/>
        <item x="224"/>
        <item x="214"/>
        <item x="502"/>
        <item x="503"/>
        <item x="153"/>
        <item x="148"/>
        <item x="158"/>
        <item x="75"/>
        <item x="72"/>
        <item x="506"/>
        <item x="327"/>
        <item x="175"/>
        <item x="167"/>
        <item x="164"/>
        <item x="159"/>
        <item x="170"/>
        <item x="250"/>
        <item x="179"/>
        <item x="65"/>
        <item x="62"/>
        <item x="176"/>
        <item x="736"/>
        <item x="318"/>
        <item x="163"/>
        <item x="149"/>
        <item x="73"/>
        <item x="325"/>
        <item x="498"/>
        <item x="499"/>
        <item x="76"/>
        <item x="262"/>
        <item x="180"/>
        <item x="166"/>
        <item x="169"/>
        <item x="630"/>
        <item x="635"/>
        <item x="510"/>
        <item x="326"/>
        <item x="177"/>
        <item x="511"/>
        <item x="272"/>
        <item x="258"/>
        <item x="253"/>
        <item x="251"/>
        <item x="459"/>
        <item x="252"/>
        <item x="247"/>
        <item x="242"/>
        <item x="150"/>
        <item x="733"/>
        <item x="162"/>
        <item x="738"/>
        <item x="637"/>
        <item x="257"/>
        <item x="243"/>
        <item x="160"/>
        <item x="152"/>
        <item x="509"/>
        <item x="74"/>
        <item x="460"/>
        <item x="456"/>
        <item x="458"/>
        <item x="64"/>
        <item x="461"/>
        <item x="742"/>
        <item x="734"/>
        <item x="730"/>
        <item x="638"/>
        <item x="151"/>
        <item x="244"/>
        <item x="632"/>
        <item x="642"/>
        <item x="168"/>
        <item x="500"/>
        <item x="501"/>
        <item x="161"/>
        <item x="639"/>
        <item x="256"/>
        <item x="507"/>
        <item x="508"/>
        <item x="465"/>
        <item x="178"/>
        <item x="452"/>
        <item x="457"/>
        <item x="729"/>
        <item x="737"/>
        <item x="246"/>
        <item x="640"/>
        <item x="634"/>
        <item x="631"/>
        <item x="643"/>
        <item x="743"/>
        <item x="254"/>
        <item x="451"/>
        <item x="245"/>
        <item x="466"/>
        <item x="255"/>
        <item x="740"/>
        <item x="731"/>
        <item x="741"/>
        <item x="633"/>
        <item x="641"/>
        <item x="454"/>
        <item x="732"/>
        <item x="453"/>
        <item x="739"/>
        <item x="463"/>
        <item x="464"/>
        <item x="455"/>
        <item x="462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 sortType="descending">
      <items count="5">
        <item x="3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Col"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compact="0" outline="0" showAll="0">
      <items count="5">
        <item sd="0" x="0"/>
        <item n="2024" x="1"/>
        <item n="2025" x="2"/>
        <item sd="0" x="3"/>
        <item t="default"/>
      </items>
    </pivotField>
  </pivotFields>
  <rowFields count="1">
    <field x="6"/>
  </rowFields>
  <rowItems count="5">
    <i>
      <x v="3"/>
    </i>
    <i>
      <x v="1"/>
    </i>
    <i>
      <x/>
    </i>
    <i>
      <x v="2"/>
    </i>
    <i t="grand">
      <x/>
    </i>
  </rowItems>
  <colFields count="3">
    <field x="11"/>
    <field x="10"/>
    <field x="1"/>
  </colFields>
  <colItems count="8">
    <i>
      <x v="1"/>
      <x v="1"/>
    </i>
    <i r="1">
      <x v="2"/>
    </i>
    <i r="1">
      <x v="3"/>
    </i>
    <i r="1">
      <x v="4"/>
    </i>
    <i t="default">
      <x v="1"/>
    </i>
    <i>
      <x v="2"/>
      <x v="1"/>
    </i>
    <i r="1">
      <x v="2"/>
    </i>
    <i t="default">
      <x v="2"/>
    </i>
  </colItems>
  <dataFields count="1">
    <dataField name="Sum of Vol" fld="2" baseField="6" baseItem="0" numFmtId="164"/>
  </dataFields>
  <formats count="7">
    <format dxfId="49">
      <pivotArea type="all" dataOnly="0" outline="0" fieldPosition="0"/>
    </format>
    <format dxfId="48">
      <pivotArea field="11" type="button" dataOnly="0" labelOnly="1" outline="0" axis="axisCol" fieldPosition="0"/>
    </format>
    <format dxfId="47">
      <pivotArea field="2" type="button" dataOnly="0" labelOnly="1" outline="0"/>
    </format>
    <format dxfId="46">
      <pivotArea field="10" type="button" dataOnly="0" labelOnly="1" outline="0" axis="axisCol" fieldPosition="1"/>
    </format>
    <format dxfId="45">
      <pivotArea dataOnly="0" labelOnly="1" fieldPosition="0">
        <references count="1">
          <reference field="11" count="2">
            <x v="1"/>
            <x v="2"/>
          </reference>
        </references>
      </pivotArea>
    </format>
    <format dxfId="44">
      <pivotArea dataOnly="0" labelOnly="1" grandCol="1" outline="0" fieldPosition="0"/>
    </format>
    <format dxfId="43">
      <pivotArea outline="0" fieldPosition="0">
        <references count="1">
          <reference field="4294967294" count="1">
            <x v="0"/>
          </reference>
        </references>
      </pivotArea>
    </format>
  </formats>
  <chartFormats count="13">
    <chartFormat chart="0" format="0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1" count="1" selected="0">
            <x v="1"/>
          </reference>
        </references>
      </pivotArea>
    </chartFormat>
    <chartFormat chart="0" format="1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1" count="1" selected="0">
            <x v="1"/>
          </reference>
        </references>
      </pivotArea>
    </chartFormat>
    <chartFormat chart="0" format="2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1" count="1" selected="0">
            <x v="1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1" count="1" selected="0">
            <x v="2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1" count="1" selected="0">
            <x v="2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1" count="1" selected="0">
            <x v="1"/>
          </reference>
        </references>
      </pivotArea>
    </chartFormat>
    <chartFormat chart="2" format="1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1" count="1" selected="0">
            <x v="1"/>
          </reference>
        </references>
      </pivotArea>
    </chartFormat>
    <chartFormat chart="2" format="2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</references>
      </pivotArea>
    </chartFormat>
    <chartFormat chart="2" format="3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1" count="1" selected="0">
            <x v="1"/>
          </reference>
        </references>
      </pivotArea>
    </chartFormat>
    <chartFormat chart="2" format="4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1" count="1" selected="0">
            <x v="2"/>
          </reference>
        </references>
      </pivotArea>
    </chartFormat>
    <chartFormat chart="2" format="5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6AFD37-A2B3-4ABB-9E95-1A704F1B5E29}" name="SamplePivot" cacheId="24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2">
  <location ref="A20:I78" firstHeaderRow="1" firstDataRow="5" firstDataCol="2"/>
  <pivotFields count="12">
    <pivotField axis="axisRow" compact="0" outline="0" subtotalTop="0" showAll="0" sortType="descending" defaultSubtota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numFmtId="14" outline="0" subtotalTop="0" showAll="0" defaultSubtotal="0">
      <items count="18">
        <item x="16"/>
        <item x="17"/>
        <item x="0"/>
        <item x="1"/>
        <item x="2"/>
        <item x="3"/>
        <item x="4"/>
        <item x="5"/>
        <item x="6"/>
        <item x="7"/>
        <item x="8"/>
        <item x="9"/>
        <item x="15"/>
        <item x="14"/>
        <item x="13"/>
        <item x="12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ubtotalTop="0" showAll="0" defaultSubtotal="0">
      <items count="765">
        <item x="559"/>
        <item x="561"/>
        <item x="557"/>
        <item x="563"/>
        <item x="554"/>
        <item x="560"/>
        <item x="566"/>
        <item x="558"/>
        <item x="553"/>
        <item x="562"/>
        <item x="556"/>
        <item x="666"/>
        <item x="565"/>
        <item x="555"/>
        <item x="664"/>
        <item x="665"/>
        <item x="564"/>
        <item x="667"/>
        <item x="674"/>
        <item x="746"/>
        <item x="668"/>
        <item x="659"/>
        <item x="663"/>
        <item x="669"/>
        <item x="748"/>
        <item x="673"/>
        <item x="123"/>
        <item x="660"/>
        <item x="672"/>
        <item x="750"/>
        <item x="662"/>
        <item x="670"/>
        <item x="747"/>
        <item x="124"/>
        <item x="744"/>
        <item x="661"/>
        <item x="671"/>
        <item x="749"/>
        <item x="751"/>
        <item x="121"/>
        <item x="757"/>
        <item x="126"/>
        <item x="127"/>
        <item x="518"/>
        <item x="122"/>
        <item x="117"/>
        <item x="758"/>
        <item x="745"/>
        <item x="130"/>
        <item x="520"/>
        <item x="125"/>
        <item x="116"/>
        <item x="131"/>
        <item x="756"/>
        <item x="760"/>
        <item x="446"/>
        <item x="277"/>
        <item x="516"/>
        <item x="759"/>
        <item x="519"/>
        <item x="752"/>
        <item x="522"/>
        <item x="764"/>
        <item x="119"/>
        <item x="763"/>
        <item x="118"/>
        <item x="129"/>
        <item x="447"/>
        <item x="372"/>
        <item x="279"/>
        <item x="128"/>
        <item x="120"/>
        <item x="517"/>
        <item x="525"/>
        <item x="235"/>
        <item x="449"/>
        <item x="445"/>
        <item x="753"/>
        <item x="444"/>
        <item x="762"/>
        <item x="370"/>
        <item x="521"/>
        <item x="512"/>
        <item x="139"/>
        <item x="278"/>
        <item x="281"/>
        <item x="526"/>
        <item x="761"/>
        <item x="282"/>
        <item x="754"/>
        <item x="755"/>
        <item x="621"/>
        <item x="450"/>
        <item x="440"/>
        <item x="441"/>
        <item x="448"/>
        <item x="233"/>
        <item x="380"/>
        <item x="371"/>
        <item x="365"/>
        <item x="286"/>
        <item x="374"/>
        <item x="276"/>
        <item x="524"/>
        <item x="514"/>
        <item x="513"/>
        <item x="138"/>
        <item x="237"/>
        <item x="234"/>
        <item x="228"/>
        <item x="287"/>
        <item x="515"/>
        <item x="623"/>
        <item x="312"/>
        <item x="311"/>
        <item x="373"/>
        <item x="280"/>
        <item x="523"/>
        <item x="442"/>
        <item x="41"/>
        <item x="141"/>
        <item x="132"/>
        <item x="236"/>
        <item x="147"/>
        <item x="443"/>
        <item x="5"/>
        <item x="375"/>
        <item x="376"/>
        <item x="369"/>
        <item x="367"/>
        <item x="378"/>
        <item x="310"/>
        <item x="680"/>
        <item x="619"/>
        <item x="313"/>
        <item x="624"/>
        <item x="625"/>
        <item x="140"/>
        <item x="285"/>
        <item x="366"/>
        <item x="379"/>
        <item x="39"/>
        <item x="230"/>
        <item x="240"/>
        <item x="284"/>
        <item x="238"/>
        <item x="403"/>
        <item x="336"/>
        <item x="316"/>
        <item x="305"/>
        <item x="314"/>
        <item x="7"/>
        <item x="315"/>
        <item x="309"/>
        <item x="622"/>
        <item x="283"/>
        <item x="134"/>
        <item x="137"/>
        <item x="142"/>
        <item x="628"/>
        <item x="143"/>
        <item x="232"/>
        <item x="229"/>
        <item x="146"/>
        <item x="241"/>
        <item x="40"/>
        <item x="34"/>
        <item x="43"/>
        <item x="188"/>
        <item x="189"/>
        <item x="306"/>
        <item x="133"/>
        <item x="48"/>
        <item x="136"/>
        <item x="402"/>
        <item x="620"/>
        <item x="401"/>
        <item x="10"/>
        <item x="682"/>
        <item x="3"/>
        <item x="9"/>
        <item x="679"/>
        <item x="681"/>
        <item x="675"/>
        <item x="6"/>
        <item x="23"/>
        <item x="144"/>
        <item x="338"/>
        <item x="693"/>
        <item x="368"/>
        <item x="377"/>
        <item x="42"/>
        <item x="307"/>
        <item x="107"/>
        <item x="629"/>
        <item x="616"/>
        <item x="187"/>
        <item x="676"/>
        <item x="190"/>
        <item x="474"/>
        <item x="405"/>
        <item x="396"/>
        <item x="404"/>
        <item x="4"/>
        <item x="686"/>
        <item x="91"/>
        <item x="231"/>
        <item x="92"/>
        <item x="308"/>
        <item x="239"/>
        <item x="14"/>
        <item x="337"/>
        <item x="335"/>
        <item x="38"/>
        <item x="36"/>
        <item x="46"/>
        <item x="617"/>
        <item x="694"/>
        <item x="25"/>
        <item x="685"/>
        <item x="677"/>
        <item x="135"/>
        <item x="108"/>
        <item x="191"/>
        <item x="15"/>
        <item x="406"/>
        <item x="186"/>
        <item x="651"/>
        <item x="8"/>
        <item x="400"/>
        <item x="196"/>
        <item x="145"/>
        <item x="99"/>
        <item x="47"/>
        <item x="473"/>
        <item x="407"/>
        <item x="85"/>
        <item x="93"/>
        <item x="35"/>
        <item x="44"/>
        <item x="331"/>
        <item x="627"/>
        <item x="678"/>
        <item x="683"/>
        <item x="695"/>
        <item x="692"/>
        <item x="691"/>
        <item x="342"/>
        <item x="706"/>
        <item x="626"/>
        <item x="397"/>
        <item x="182"/>
        <item x="618"/>
        <item x="434"/>
        <item x="21"/>
        <item x="27"/>
        <item x="410"/>
        <item x="110"/>
        <item x="106"/>
        <item x="105"/>
        <item x="650"/>
        <item x="28"/>
        <item x="111"/>
        <item x="652"/>
        <item x="357"/>
        <item x="195"/>
        <item x="90"/>
        <item x="94"/>
        <item x="343"/>
        <item x="204"/>
        <item x="684"/>
        <item x="330"/>
        <item x="95"/>
        <item x="467"/>
        <item x="475"/>
        <item x="12"/>
        <item x="481"/>
        <item x="0"/>
        <item x="1"/>
        <item x="589"/>
        <item x="408"/>
        <item x="194"/>
        <item x="688"/>
        <item x="399"/>
        <item x="687"/>
        <item x="183"/>
        <item x="79"/>
        <item x="344"/>
        <item x="13"/>
        <item x="115"/>
        <item x="699"/>
        <item x="109"/>
        <item x="101"/>
        <item x="17"/>
        <item x="100"/>
        <item x="24"/>
        <item x="98"/>
        <item x="86"/>
        <item x="87"/>
        <item x="51"/>
        <item x="649"/>
        <item x="653"/>
        <item x="644"/>
        <item x="2"/>
        <item x="32"/>
        <item x="45"/>
        <item x="37"/>
        <item x="654"/>
        <item x="358"/>
        <item x="472"/>
        <item x="185"/>
        <item x="476"/>
        <item x="658"/>
        <item x="722"/>
        <item x="202"/>
        <item x="11"/>
        <item x="203"/>
        <item x="192"/>
        <item x="341"/>
        <item x="587"/>
        <item x="588"/>
        <item x="332"/>
        <item x="333"/>
        <item x="89"/>
        <item x="535"/>
        <item x="548"/>
        <item x="398"/>
        <item x="22"/>
        <item x="657"/>
        <item x="96"/>
        <item x="81"/>
        <item x="435"/>
        <item x="429"/>
        <item x="645"/>
        <item x="184"/>
        <item x="708"/>
        <item x="705"/>
        <item x="340"/>
        <item x="479"/>
        <item x="468"/>
        <item x="469"/>
        <item x="480"/>
        <item x="573"/>
        <item x="439"/>
        <item x="574"/>
        <item x="389"/>
        <item x="388"/>
        <item x="360"/>
        <item x="698"/>
        <item x="193"/>
        <item x="409"/>
        <item x="356"/>
        <item x="359"/>
        <item x="351"/>
        <item x="339"/>
        <item x="334"/>
        <item x="53"/>
        <item x="709"/>
        <item x="102"/>
        <item x="205"/>
        <item x="197"/>
        <item x="114"/>
        <item x="721"/>
        <item x="345"/>
        <item x="720"/>
        <item x="211"/>
        <item x="349"/>
        <item x="346"/>
        <item x="16"/>
        <item x="26"/>
        <item x="697"/>
        <item x="547"/>
        <item x="477"/>
        <item x="33"/>
        <item x="590"/>
        <item x="646"/>
        <item x="542"/>
        <item x="471"/>
        <item x="689"/>
        <item x="690"/>
        <item x="438"/>
        <item x="656"/>
        <item x="430"/>
        <item x="532"/>
        <item x="696"/>
        <item x="534"/>
        <item x="714"/>
        <item x="707"/>
        <item x="701"/>
        <item x="700"/>
        <item x="78"/>
        <item x="364"/>
        <item x="552"/>
        <item x="88"/>
        <item x="597"/>
        <item x="352"/>
        <item x="104"/>
        <item x="103"/>
        <item x="295"/>
        <item x="575"/>
        <item x="567"/>
        <item x="576"/>
        <item x="713"/>
        <item x="536"/>
        <item x="83"/>
        <item x="387"/>
        <item x="97"/>
        <item x="113"/>
        <item x="206"/>
        <item x="19"/>
        <item x="55"/>
        <item x="112"/>
        <item x="648"/>
        <item x="350"/>
        <item x="52"/>
        <item x="49"/>
        <item x="30"/>
        <item x="728"/>
        <item x="543"/>
        <item x="347"/>
        <item x="723"/>
        <item x="431"/>
        <item x="591"/>
        <item x="586"/>
        <item x="592"/>
        <item x="551"/>
        <item x="363"/>
        <item x="533"/>
        <item x="353"/>
        <item x="528"/>
        <item x="437"/>
        <item x="655"/>
        <item x="31"/>
        <item x="540"/>
        <item x="470"/>
        <item x="18"/>
        <item x="647"/>
        <item x="577"/>
        <item x="572"/>
        <item x="578"/>
        <item x="198"/>
        <item x="199"/>
        <item x="381"/>
        <item x="386"/>
        <item x="433"/>
        <item x="544"/>
        <item x="395"/>
        <item x="478"/>
        <item x="50"/>
        <item x="209"/>
        <item x="583"/>
        <item x="584"/>
        <item x="702"/>
        <item x="719"/>
        <item x="59"/>
        <item x="595"/>
        <item x="712"/>
        <item x="596"/>
        <item x="355"/>
        <item x="390"/>
        <item x="29"/>
        <item x="210"/>
        <item x="297"/>
        <item x="84"/>
        <item x="541"/>
        <item x="20"/>
        <item x="80"/>
        <item x="527"/>
        <item x="361"/>
        <item x="436"/>
        <item x="568"/>
        <item x="569"/>
        <item x="432"/>
        <item x="201"/>
        <item x="581"/>
        <item x="207"/>
        <item x="710"/>
        <item x="546"/>
        <item x="394"/>
        <item x="382"/>
        <item x="703"/>
        <item x="704"/>
        <item x="354"/>
        <item x="582"/>
        <item x="549"/>
        <item x="726"/>
        <item x="362"/>
        <item x="711"/>
        <item x="716"/>
        <item x="715"/>
        <item x="54"/>
        <item x="593"/>
        <item x="348"/>
        <item x="727"/>
        <item x="550"/>
        <item x="571"/>
        <item x="60"/>
        <item x="545"/>
        <item x="298"/>
        <item x="293"/>
        <item x="393"/>
        <item x="383"/>
        <item x="299"/>
        <item x="579"/>
        <item x="718"/>
        <item x="529"/>
        <item x="530"/>
        <item x="82"/>
        <item x="200"/>
        <item x="208"/>
        <item x="538"/>
        <item x="724"/>
        <item x="585"/>
        <item x="539"/>
        <item x="385"/>
        <item x="391"/>
        <item x="57"/>
        <item x="594"/>
        <item x="531"/>
        <item x="289"/>
        <item x="296"/>
        <item x="570"/>
        <item x="537"/>
        <item x="58"/>
        <item x="303"/>
        <item x="384"/>
        <item x="580"/>
        <item x="717"/>
        <item x="392"/>
        <item x="725"/>
        <item x="56"/>
        <item x="294"/>
        <item x="606"/>
        <item x="605"/>
        <item x="288"/>
        <item x="304"/>
        <item x="607"/>
        <item x="604"/>
        <item x="291"/>
        <item x="301"/>
        <item x="418"/>
        <item x="290"/>
        <item x="302"/>
        <item x="608"/>
        <item x="603"/>
        <item x="609"/>
        <item x="598"/>
        <item x="610"/>
        <item x="300"/>
        <item x="292"/>
        <item x="615"/>
        <item x="614"/>
        <item x="599"/>
        <item x="420"/>
        <item x="613"/>
        <item x="600"/>
        <item x="488"/>
        <item x="423"/>
        <item x="422"/>
        <item x="416"/>
        <item x="602"/>
        <item x="611"/>
        <item x="601"/>
        <item x="612"/>
        <item x="427"/>
        <item x="412"/>
        <item x="419"/>
        <item x="490"/>
        <item x="417"/>
        <item x="491"/>
        <item x="486"/>
        <item x="492"/>
        <item x="421"/>
        <item x="411"/>
        <item x="428"/>
        <item x="496"/>
        <item x="414"/>
        <item x="489"/>
        <item x="425"/>
        <item x="426"/>
        <item x="413"/>
        <item x="487"/>
        <item x="218"/>
        <item x="219"/>
        <item x="267"/>
        <item x="424"/>
        <item x="415"/>
        <item x="69"/>
        <item x="482"/>
        <item x="497"/>
        <item x="217"/>
        <item x="172"/>
        <item x="220"/>
        <item x="266"/>
        <item x="265"/>
        <item x="320"/>
        <item x="319"/>
        <item x="494"/>
        <item x="484"/>
        <item x="67"/>
        <item x="495"/>
        <item x="221"/>
        <item x="216"/>
        <item x="212"/>
        <item x="483"/>
        <item x="259"/>
        <item x="268"/>
        <item x="222"/>
        <item x="275"/>
        <item x="321"/>
        <item x="227"/>
        <item x="171"/>
        <item x="485"/>
        <item x="504"/>
        <item x="155"/>
        <item x="156"/>
        <item x="77"/>
        <item x="68"/>
        <item x="61"/>
        <item x="71"/>
        <item x="493"/>
        <item x="269"/>
        <item x="264"/>
        <item x="226"/>
        <item x="323"/>
        <item x="322"/>
        <item x="317"/>
        <item x="324"/>
        <item x="165"/>
        <item x="174"/>
        <item x="270"/>
        <item x="225"/>
        <item x="181"/>
        <item x="213"/>
        <item x="636"/>
        <item x="329"/>
        <item x="70"/>
        <item x="505"/>
        <item x="261"/>
        <item x="260"/>
        <item x="154"/>
        <item x="157"/>
        <item x="273"/>
        <item x="274"/>
        <item x="249"/>
        <item x="248"/>
        <item x="223"/>
        <item x="735"/>
        <item x="215"/>
        <item x="173"/>
        <item x="328"/>
        <item x="271"/>
        <item x="263"/>
        <item x="63"/>
        <item x="66"/>
        <item x="224"/>
        <item x="214"/>
        <item x="502"/>
        <item x="503"/>
        <item x="153"/>
        <item x="148"/>
        <item x="158"/>
        <item x="75"/>
        <item x="72"/>
        <item x="506"/>
        <item x="327"/>
        <item x="175"/>
        <item x="167"/>
        <item x="164"/>
        <item x="159"/>
        <item x="170"/>
        <item x="250"/>
        <item x="179"/>
        <item x="65"/>
        <item x="62"/>
        <item x="176"/>
        <item x="736"/>
        <item x="318"/>
        <item x="163"/>
        <item x="149"/>
        <item x="73"/>
        <item x="325"/>
        <item x="498"/>
        <item x="499"/>
        <item x="76"/>
        <item x="262"/>
        <item x="180"/>
        <item x="166"/>
        <item x="169"/>
        <item x="630"/>
        <item x="635"/>
        <item x="510"/>
        <item x="326"/>
        <item x="177"/>
        <item x="511"/>
        <item x="272"/>
        <item x="258"/>
        <item x="253"/>
        <item x="251"/>
        <item x="459"/>
        <item x="252"/>
        <item x="247"/>
        <item x="242"/>
        <item x="150"/>
        <item x="733"/>
        <item x="162"/>
        <item x="738"/>
        <item x="637"/>
        <item x="257"/>
        <item x="243"/>
        <item x="160"/>
        <item x="152"/>
        <item x="509"/>
        <item x="74"/>
        <item x="460"/>
        <item x="456"/>
        <item x="458"/>
        <item x="64"/>
        <item x="461"/>
        <item x="742"/>
        <item x="734"/>
        <item x="730"/>
        <item x="638"/>
        <item x="151"/>
        <item x="244"/>
        <item x="632"/>
        <item x="642"/>
        <item x="168"/>
        <item x="500"/>
        <item x="501"/>
        <item x="161"/>
        <item x="639"/>
        <item x="256"/>
        <item x="507"/>
        <item x="508"/>
        <item x="465"/>
        <item x="178"/>
        <item x="452"/>
        <item x="457"/>
        <item x="729"/>
        <item x="737"/>
        <item x="246"/>
        <item x="640"/>
        <item x="634"/>
        <item x="631"/>
        <item x="643"/>
        <item x="743"/>
        <item x="254"/>
        <item x="451"/>
        <item x="245"/>
        <item x="466"/>
        <item x="255"/>
        <item x="740"/>
        <item x="731"/>
        <item x="741"/>
        <item x="633"/>
        <item x="641"/>
        <item x="454"/>
        <item x="732"/>
        <item x="453"/>
        <item x="739"/>
        <item x="463"/>
        <item x="464"/>
        <item x="455"/>
        <item x="46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descending" defaultSubtotal="0">
      <items count="4">
        <item x="3"/>
        <item x="2"/>
        <item x="0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ubtotalTop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ubtotalTop="0" showAll="0" defaultSubtotal="0">
      <items count="6">
        <item sd="0" x="0"/>
        <item sd="0" x="1"/>
        <item sd="0" x="2"/>
        <item sd="0" x="3"/>
        <item sd="0" x="4"/>
        <item sd="0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ubtotalTop="0" showAll="0" defaultSubtotal="0">
      <items count="4">
        <item sd="0" x="0"/>
        <item n="2024" x="1"/>
        <item n="2025" x="2"/>
        <item sd="0" x="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6"/>
    <field x="0"/>
  </rowFields>
  <rowItems count="54">
    <i>
      <x v="3"/>
      <x v="31"/>
    </i>
    <i r="1">
      <x v="50"/>
    </i>
    <i r="1">
      <x v="16"/>
    </i>
    <i r="1">
      <x v="10"/>
    </i>
    <i r="1">
      <x v="11"/>
    </i>
    <i r="1">
      <x v="4"/>
    </i>
    <i r="1">
      <x v="14"/>
    </i>
    <i r="1">
      <x v="28"/>
    </i>
    <i r="1">
      <x v="19"/>
    </i>
    <i r="1">
      <x v="26"/>
    </i>
    <i r="1">
      <x v="49"/>
    </i>
    <i r="1">
      <x v="36"/>
    </i>
    <i r="1">
      <x v="39"/>
    </i>
    <i r="1">
      <x v="24"/>
    </i>
    <i r="1">
      <x v="3"/>
    </i>
    <i r="1">
      <x v="1"/>
    </i>
    <i r="1">
      <x v="29"/>
    </i>
    <i r="1">
      <x v="22"/>
    </i>
    <i r="1">
      <x v="46"/>
    </i>
    <i r="1">
      <x v="23"/>
    </i>
    <i>
      <x v="1"/>
      <x v="43"/>
    </i>
    <i r="1">
      <x v="34"/>
    </i>
    <i r="1">
      <x v="44"/>
    </i>
    <i r="1">
      <x v="32"/>
    </i>
    <i r="1">
      <x v="2"/>
    </i>
    <i r="1">
      <x v="42"/>
    </i>
    <i r="1">
      <x v="9"/>
    </i>
    <i r="1">
      <x v="45"/>
    </i>
    <i>
      <x/>
      <x v="21"/>
    </i>
    <i r="1">
      <x v="33"/>
    </i>
    <i r="1">
      <x v="40"/>
    </i>
    <i r="1">
      <x v="48"/>
    </i>
    <i r="1">
      <x v="7"/>
    </i>
    <i r="1">
      <x v="47"/>
    </i>
    <i r="1">
      <x v="12"/>
    </i>
    <i r="1">
      <x v="27"/>
    </i>
    <i r="1">
      <x v="25"/>
    </i>
    <i r="1">
      <x v="35"/>
    </i>
    <i r="1">
      <x v="18"/>
    </i>
    <i r="1">
      <x v="52"/>
    </i>
    <i r="1">
      <x v="51"/>
    </i>
    <i r="1">
      <x v="38"/>
    </i>
    <i>
      <x v="2"/>
      <x v="17"/>
    </i>
    <i r="1">
      <x v="41"/>
    </i>
    <i r="1">
      <x v="13"/>
    </i>
    <i r="1">
      <x v="37"/>
    </i>
    <i r="1">
      <x v="6"/>
    </i>
    <i r="1">
      <x/>
    </i>
    <i r="1">
      <x v="5"/>
    </i>
    <i r="1">
      <x v="15"/>
    </i>
    <i r="1">
      <x v="20"/>
    </i>
    <i r="1">
      <x v="30"/>
    </i>
    <i r="1">
      <x v="8"/>
    </i>
    <i t="grand">
      <x/>
    </i>
  </rowItems>
  <colFields count="4">
    <field x="11"/>
    <field x="10"/>
    <field x="9"/>
    <field x="1"/>
  </colFields>
  <colItems count="7">
    <i>
      <x v="1"/>
      <x v="1"/>
    </i>
    <i r="1">
      <x v="2"/>
    </i>
    <i r="1">
      <x v="3"/>
    </i>
    <i r="1">
      <x v="4"/>
    </i>
    <i>
      <x v="2"/>
      <x v="1"/>
    </i>
    <i r="1">
      <x v="2"/>
    </i>
    <i t="grand">
      <x/>
    </i>
  </colItems>
  <dataFields count="1">
    <dataField name="Sum of Vol" fld="2" baseField="6" baseItem="0" numFmtId="164"/>
  </dataFields>
  <formats count="7">
    <format dxfId="56">
      <pivotArea type="all" dataOnly="0" outline="0" fieldPosition="0"/>
    </format>
    <format dxfId="55">
      <pivotArea field="11" type="button" dataOnly="0" labelOnly="1" outline="0" axis="axisCol" fieldPosition="0"/>
    </format>
    <format dxfId="54">
      <pivotArea field="2" type="button" dataOnly="0" labelOnly="1" outline="0"/>
    </format>
    <format dxfId="53">
      <pivotArea field="10" type="button" dataOnly="0" labelOnly="1" outline="0" axis="axisCol" fieldPosition="1"/>
    </format>
    <format dxfId="52">
      <pivotArea dataOnly="0" labelOnly="1" fieldPosition="0">
        <references count="1">
          <reference field="11" count="2">
            <x v="1"/>
            <x v="2"/>
          </reference>
        </references>
      </pivotArea>
    </format>
    <format dxfId="51">
      <pivotArea dataOnly="0" labelOnly="1" grandCol="1" outline="0" fieldPosition="0"/>
    </format>
    <format dxfId="5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81A144-C56F-4782-821E-F83228048C1D}" name="PivotTable2" cacheId="24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3">
  <location ref="A37:G44" firstHeaderRow="1" firstDataRow="3" firstDataCol="1"/>
  <pivotFields count="12">
    <pivotField showAll="0" defaultSubtotal="0"/>
    <pivotField numFmtId="14" showAll="0" defaultSubtotal="0">
      <items count="18">
        <item x="16"/>
        <item x="17"/>
        <item x="0"/>
        <item x="1"/>
        <item x="2"/>
        <item x="3"/>
        <item x="4"/>
        <item x="5"/>
        <item x="6"/>
        <item x="7"/>
        <item x="8"/>
        <item x="9"/>
        <item x="15"/>
        <item x="14"/>
        <item x="13"/>
        <item x="12"/>
        <item x="11"/>
        <item x="10"/>
      </items>
    </pivotField>
    <pivotField dataField="1" numFmtId="164" showAll="0" defaultSubtotal="0">
      <items count="765">
        <item x="559"/>
        <item x="561"/>
        <item x="557"/>
        <item x="563"/>
        <item x="554"/>
        <item x="560"/>
        <item x="566"/>
        <item x="558"/>
        <item x="553"/>
        <item x="562"/>
        <item x="556"/>
        <item x="666"/>
        <item x="565"/>
        <item x="555"/>
        <item x="664"/>
        <item x="665"/>
        <item x="564"/>
        <item x="667"/>
        <item x="674"/>
        <item x="746"/>
        <item x="668"/>
        <item x="659"/>
        <item x="663"/>
        <item x="669"/>
        <item x="748"/>
        <item x="673"/>
        <item x="123"/>
        <item x="660"/>
        <item x="672"/>
        <item x="750"/>
        <item x="662"/>
        <item x="670"/>
        <item x="747"/>
        <item x="124"/>
        <item x="744"/>
        <item x="661"/>
        <item x="671"/>
        <item x="749"/>
        <item x="751"/>
        <item x="121"/>
        <item x="757"/>
        <item x="126"/>
        <item x="127"/>
        <item x="518"/>
        <item x="122"/>
        <item x="117"/>
        <item x="758"/>
        <item x="745"/>
        <item x="130"/>
        <item x="520"/>
        <item x="125"/>
        <item x="116"/>
        <item x="131"/>
        <item x="756"/>
        <item x="760"/>
        <item x="446"/>
        <item x="277"/>
        <item x="516"/>
        <item x="759"/>
        <item x="519"/>
        <item x="752"/>
        <item x="522"/>
        <item x="764"/>
        <item x="119"/>
        <item x="763"/>
        <item x="118"/>
        <item x="129"/>
        <item x="447"/>
        <item x="372"/>
        <item x="279"/>
        <item x="128"/>
        <item x="120"/>
        <item x="517"/>
        <item x="525"/>
        <item x="235"/>
        <item x="449"/>
        <item x="445"/>
        <item x="753"/>
        <item x="444"/>
        <item x="762"/>
        <item x="370"/>
        <item x="521"/>
        <item x="512"/>
        <item x="139"/>
        <item x="278"/>
        <item x="281"/>
        <item x="526"/>
        <item x="761"/>
        <item x="282"/>
        <item x="754"/>
        <item x="755"/>
        <item x="621"/>
        <item x="450"/>
        <item x="440"/>
        <item x="441"/>
        <item x="448"/>
        <item x="233"/>
        <item x="380"/>
        <item x="371"/>
        <item x="365"/>
        <item x="286"/>
        <item x="374"/>
        <item x="276"/>
        <item x="524"/>
        <item x="514"/>
        <item x="513"/>
        <item x="138"/>
        <item x="237"/>
        <item x="234"/>
        <item x="228"/>
        <item x="287"/>
        <item x="515"/>
        <item x="623"/>
        <item x="312"/>
        <item x="311"/>
        <item x="373"/>
        <item x="280"/>
        <item x="523"/>
        <item x="442"/>
        <item x="41"/>
        <item x="141"/>
        <item x="132"/>
        <item x="236"/>
        <item x="147"/>
        <item x="443"/>
        <item x="5"/>
        <item x="375"/>
        <item x="376"/>
        <item x="369"/>
        <item x="367"/>
        <item x="378"/>
        <item x="310"/>
        <item x="680"/>
        <item x="619"/>
        <item x="313"/>
        <item x="624"/>
        <item x="625"/>
        <item x="140"/>
        <item x="285"/>
        <item x="366"/>
        <item x="379"/>
        <item x="39"/>
        <item x="230"/>
        <item x="240"/>
        <item x="284"/>
        <item x="238"/>
        <item x="403"/>
        <item x="336"/>
        <item x="316"/>
        <item x="305"/>
        <item x="314"/>
        <item x="7"/>
        <item x="315"/>
        <item x="309"/>
        <item x="622"/>
        <item x="283"/>
        <item x="134"/>
        <item x="137"/>
        <item x="142"/>
        <item x="628"/>
        <item x="143"/>
        <item x="232"/>
        <item x="229"/>
        <item x="146"/>
        <item x="241"/>
        <item x="40"/>
        <item x="34"/>
        <item x="43"/>
        <item x="188"/>
        <item x="189"/>
        <item x="306"/>
        <item x="133"/>
        <item x="48"/>
        <item x="136"/>
        <item x="402"/>
        <item x="620"/>
        <item x="401"/>
        <item x="10"/>
        <item x="682"/>
        <item x="3"/>
        <item x="9"/>
        <item x="679"/>
        <item x="681"/>
        <item x="675"/>
        <item x="6"/>
        <item x="23"/>
        <item x="144"/>
        <item x="338"/>
        <item x="693"/>
        <item x="368"/>
        <item x="377"/>
        <item x="42"/>
        <item x="307"/>
        <item x="107"/>
        <item x="629"/>
        <item x="616"/>
        <item x="187"/>
        <item x="676"/>
        <item x="190"/>
        <item x="474"/>
        <item x="405"/>
        <item x="396"/>
        <item x="404"/>
        <item x="4"/>
        <item x="686"/>
        <item x="91"/>
        <item x="231"/>
        <item x="92"/>
        <item x="308"/>
        <item x="239"/>
        <item x="14"/>
        <item x="337"/>
        <item x="335"/>
        <item x="38"/>
        <item x="36"/>
        <item x="46"/>
        <item x="617"/>
        <item x="694"/>
        <item x="25"/>
        <item x="685"/>
        <item x="677"/>
        <item x="135"/>
        <item x="108"/>
        <item x="191"/>
        <item x="15"/>
        <item x="406"/>
        <item x="186"/>
        <item x="651"/>
        <item x="8"/>
        <item x="400"/>
        <item x="196"/>
        <item x="145"/>
        <item x="99"/>
        <item x="47"/>
        <item x="473"/>
        <item x="407"/>
        <item x="85"/>
        <item x="93"/>
        <item x="35"/>
        <item x="44"/>
        <item x="331"/>
        <item x="627"/>
        <item x="678"/>
        <item x="683"/>
        <item x="695"/>
        <item x="692"/>
        <item x="691"/>
        <item x="342"/>
        <item x="706"/>
        <item x="626"/>
        <item x="397"/>
        <item x="182"/>
        <item x="618"/>
        <item x="434"/>
        <item x="21"/>
        <item x="27"/>
        <item x="410"/>
        <item x="110"/>
        <item x="106"/>
        <item x="105"/>
        <item x="650"/>
        <item x="28"/>
        <item x="111"/>
        <item x="652"/>
        <item x="357"/>
        <item x="195"/>
        <item x="90"/>
        <item x="94"/>
        <item x="343"/>
        <item x="204"/>
        <item x="684"/>
        <item x="330"/>
        <item x="95"/>
        <item x="467"/>
        <item x="475"/>
        <item x="12"/>
        <item x="481"/>
        <item x="0"/>
        <item x="1"/>
        <item x="589"/>
        <item x="408"/>
        <item x="194"/>
        <item x="688"/>
        <item x="399"/>
        <item x="687"/>
        <item x="183"/>
        <item x="79"/>
        <item x="344"/>
        <item x="13"/>
        <item x="115"/>
        <item x="699"/>
        <item x="109"/>
        <item x="101"/>
        <item x="17"/>
        <item x="100"/>
        <item x="24"/>
        <item x="98"/>
        <item x="86"/>
        <item x="87"/>
        <item x="51"/>
        <item x="649"/>
        <item x="653"/>
        <item x="644"/>
        <item x="2"/>
        <item x="32"/>
        <item x="45"/>
        <item x="37"/>
        <item x="654"/>
        <item x="358"/>
        <item x="472"/>
        <item x="185"/>
        <item x="476"/>
        <item x="658"/>
        <item x="722"/>
        <item x="202"/>
        <item x="11"/>
        <item x="203"/>
        <item x="192"/>
        <item x="341"/>
        <item x="587"/>
        <item x="588"/>
        <item x="332"/>
        <item x="333"/>
        <item x="89"/>
        <item x="535"/>
        <item x="548"/>
        <item x="398"/>
        <item x="22"/>
        <item x="657"/>
        <item x="96"/>
        <item x="81"/>
        <item x="435"/>
        <item x="429"/>
        <item x="645"/>
        <item x="184"/>
        <item x="708"/>
        <item x="705"/>
        <item x="340"/>
        <item x="479"/>
        <item x="468"/>
        <item x="469"/>
        <item x="480"/>
        <item x="573"/>
        <item x="439"/>
        <item x="574"/>
        <item x="389"/>
        <item x="388"/>
        <item x="360"/>
        <item x="698"/>
        <item x="193"/>
        <item x="409"/>
        <item x="356"/>
        <item x="359"/>
        <item x="351"/>
        <item x="339"/>
        <item x="334"/>
        <item x="53"/>
        <item x="709"/>
        <item x="102"/>
        <item x="205"/>
        <item x="197"/>
        <item x="114"/>
        <item x="721"/>
        <item x="345"/>
        <item x="720"/>
        <item x="211"/>
        <item x="349"/>
        <item x="346"/>
        <item x="16"/>
        <item x="26"/>
        <item x="697"/>
        <item x="547"/>
        <item x="477"/>
        <item x="33"/>
        <item x="590"/>
        <item x="646"/>
        <item x="542"/>
        <item x="471"/>
        <item x="689"/>
        <item x="690"/>
        <item x="438"/>
        <item x="656"/>
        <item x="430"/>
        <item x="532"/>
        <item x="696"/>
        <item x="534"/>
        <item x="714"/>
        <item x="707"/>
        <item x="701"/>
        <item x="700"/>
        <item x="78"/>
        <item x="364"/>
        <item x="552"/>
        <item x="88"/>
        <item x="597"/>
        <item x="352"/>
        <item x="104"/>
        <item x="103"/>
        <item x="295"/>
        <item x="575"/>
        <item x="567"/>
        <item x="576"/>
        <item x="713"/>
        <item x="536"/>
        <item x="83"/>
        <item x="387"/>
        <item x="97"/>
        <item x="113"/>
        <item x="206"/>
        <item x="19"/>
        <item x="55"/>
        <item x="112"/>
        <item x="648"/>
        <item x="350"/>
        <item x="52"/>
        <item x="49"/>
        <item x="30"/>
        <item x="728"/>
        <item x="543"/>
        <item x="347"/>
        <item x="723"/>
        <item x="431"/>
        <item x="591"/>
        <item x="586"/>
        <item x="592"/>
        <item x="551"/>
        <item x="363"/>
        <item x="533"/>
        <item x="353"/>
        <item x="528"/>
        <item x="437"/>
        <item x="655"/>
        <item x="31"/>
        <item x="540"/>
        <item x="470"/>
        <item x="18"/>
        <item x="647"/>
        <item x="577"/>
        <item x="572"/>
        <item x="578"/>
        <item x="198"/>
        <item x="199"/>
        <item x="381"/>
        <item x="386"/>
        <item x="433"/>
        <item x="544"/>
        <item x="395"/>
        <item x="478"/>
        <item x="50"/>
        <item x="209"/>
        <item x="583"/>
        <item x="584"/>
        <item x="702"/>
        <item x="719"/>
        <item x="59"/>
        <item x="595"/>
        <item x="712"/>
        <item x="596"/>
        <item x="355"/>
        <item x="390"/>
        <item x="29"/>
        <item x="210"/>
        <item x="297"/>
        <item x="84"/>
        <item x="541"/>
        <item x="20"/>
        <item x="80"/>
        <item x="527"/>
        <item x="361"/>
        <item x="436"/>
        <item x="568"/>
        <item x="569"/>
        <item x="432"/>
        <item x="201"/>
        <item x="581"/>
        <item x="207"/>
        <item x="710"/>
        <item x="546"/>
        <item x="394"/>
        <item x="382"/>
        <item x="703"/>
        <item x="704"/>
        <item x="354"/>
        <item x="582"/>
        <item x="549"/>
        <item x="726"/>
        <item x="362"/>
        <item x="711"/>
        <item x="716"/>
        <item x="715"/>
        <item x="54"/>
        <item x="593"/>
        <item x="348"/>
        <item x="727"/>
        <item x="550"/>
        <item x="571"/>
        <item x="60"/>
        <item x="545"/>
        <item x="298"/>
        <item x="293"/>
        <item x="393"/>
        <item x="383"/>
        <item x="299"/>
        <item x="579"/>
        <item x="718"/>
        <item x="529"/>
        <item x="530"/>
        <item x="82"/>
        <item x="200"/>
        <item x="208"/>
        <item x="538"/>
        <item x="724"/>
        <item x="585"/>
        <item x="539"/>
        <item x="385"/>
        <item x="391"/>
        <item x="57"/>
        <item x="594"/>
        <item x="531"/>
        <item x="289"/>
        <item x="296"/>
        <item x="570"/>
        <item x="537"/>
        <item x="58"/>
        <item x="303"/>
        <item x="384"/>
        <item x="580"/>
        <item x="717"/>
        <item x="392"/>
        <item x="725"/>
        <item x="56"/>
        <item x="294"/>
        <item x="606"/>
        <item x="605"/>
        <item x="288"/>
        <item x="304"/>
        <item x="607"/>
        <item x="604"/>
        <item x="291"/>
        <item x="301"/>
        <item x="418"/>
        <item x="290"/>
        <item x="302"/>
        <item x="608"/>
        <item x="603"/>
        <item x="609"/>
        <item x="598"/>
        <item x="610"/>
        <item x="300"/>
        <item x="292"/>
        <item x="615"/>
        <item x="614"/>
        <item x="599"/>
        <item x="420"/>
        <item x="613"/>
        <item x="600"/>
        <item x="488"/>
        <item x="423"/>
        <item x="422"/>
        <item x="416"/>
        <item x="602"/>
        <item x="611"/>
        <item x="601"/>
        <item x="612"/>
        <item x="427"/>
        <item x="412"/>
        <item x="419"/>
        <item x="490"/>
        <item x="417"/>
        <item x="491"/>
        <item x="486"/>
        <item x="492"/>
        <item x="421"/>
        <item x="411"/>
        <item x="428"/>
        <item x="496"/>
        <item x="414"/>
        <item x="489"/>
        <item x="425"/>
        <item x="426"/>
        <item x="413"/>
        <item x="487"/>
        <item x="218"/>
        <item x="219"/>
        <item x="267"/>
        <item x="424"/>
        <item x="415"/>
        <item x="69"/>
        <item x="482"/>
        <item x="497"/>
        <item x="217"/>
        <item x="172"/>
        <item x="220"/>
        <item x="266"/>
        <item x="265"/>
        <item x="320"/>
        <item x="319"/>
        <item x="494"/>
        <item x="484"/>
        <item x="67"/>
        <item x="495"/>
        <item x="221"/>
        <item x="216"/>
        <item x="212"/>
        <item x="483"/>
        <item x="259"/>
        <item x="268"/>
        <item x="222"/>
        <item x="275"/>
        <item x="321"/>
        <item x="227"/>
        <item x="171"/>
        <item x="485"/>
        <item x="504"/>
        <item x="155"/>
        <item x="156"/>
        <item x="77"/>
        <item x="68"/>
        <item x="61"/>
        <item x="71"/>
        <item x="493"/>
        <item x="269"/>
        <item x="264"/>
        <item x="226"/>
        <item x="323"/>
        <item x="322"/>
        <item x="317"/>
        <item x="324"/>
        <item x="165"/>
        <item x="174"/>
        <item x="270"/>
        <item x="225"/>
        <item x="181"/>
        <item x="213"/>
        <item x="636"/>
        <item x="329"/>
        <item x="70"/>
        <item x="505"/>
        <item x="261"/>
        <item x="260"/>
        <item x="154"/>
        <item x="157"/>
        <item x="273"/>
        <item x="274"/>
        <item x="249"/>
        <item x="248"/>
        <item x="223"/>
        <item x="735"/>
        <item x="215"/>
        <item x="173"/>
        <item x="328"/>
        <item x="271"/>
        <item x="263"/>
        <item x="63"/>
        <item x="66"/>
        <item x="224"/>
        <item x="214"/>
        <item x="502"/>
        <item x="503"/>
        <item x="153"/>
        <item x="148"/>
        <item x="158"/>
        <item x="75"/>
        <item x="72"/>
        <item x="506"/>
        <item x="327"/>
        <item x="175"/>
        <item x="167"/>
        <item x="164"/>
        <item x="159"/>
        <item x="170"/>
        <item x="250"/>
        <item x="179"/>
        <item x="65"/>
        <item x="62"/>
        <item x="176"/>
        <item x="736"/>
        <item x="318"/>
        <item x="163"/>
        <item x="149"/>
        <item x="73"/>
        <item x="325"/>
        <item x="498"/>
        <item x="499"/>
        <item x="76"/>
        <item x="262"/>
        <item x="180"/>
        <item x="166"/>
        <item x="169"/>
        <item x="630"/>
        <item x="635"/>
        <item x="510"/>
        <item x="326"/>
        <item x="177"/>
        <item x="511"/>
        <item x="272"/>
        <item x="258"/>
        <item x="253"/>
        <item x="251"/>
        <item x="459"/>
        <item x="252"/>
        <item x="247"/>
        <item x="242"/>
        <item x="150"/>
        <item x="733"/>
        <item x="162"/>
        <item x="738"/>
        <item x="637"/>
        <item x="257"/>
        <item x="243"/>
        <item x="160"/>
        <item x="152"/>
        <item x="509"/>
        <item x="74"/>
        <item x="460"/>
        <item x="456"/>
        <item x="458"/>
        <item x="64"/>
        <item x="461"/>
        <item x="742"/>
        <item x="734"/>
        <item x="730"/>
        <item x="638"/>
        <item x="151"/>
        <item x="244"/>
        <item x="632"/>
        <item x="642"/>
        <item x="168"/>
        <item x="500"/>
        <item x="501"/>
        <item x="161"/>
        <item x="639"/>
        <item x="256"/>
        <item x="507"/>
        <item x="508"/>
        <item x="465"/>
        <item x="178"/>
        <item x="452"/>
        <item x="457"/>
        <item x="729"/>
        <item x="737"/>
        <item x="246"/>
        <item x="640"/>
        <item x="634"/>
        <item x="631"/>
        <item x="643"/>
        <item x="743"/>
        <item x="254"/>
        <item x="451"/>
        <item x="245"/>
        <item x="466"/>
        <item x="255"/>
        <item x="740"/>
        <item x="731"/>
        <item x="741"/>
        <item x="633"/>
        <item x="641"/>
        <item x="454"/>
        <item x="732"/>
        <item x="453"/>
        <item x="739"/>
        <item x="463"/>
        <item x="464"/>
        <item x="455"/>
        <item x="462"/>
      </items>
    </pivotField>
    <pivotField showAll="0" defaultSubtotal="0"/>
    <pivotField showAll="0" defaultSubtotal="0"/>
    <pivotField showAll="0" defaultSubtotal="0"/>
    <pivotField axis="axisRow" showAll="0" sortType="descending" defaultSubtotal="0">
      <items count="4">
        <item x="3"/>
        <item x="2"/>
        <item x="0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>
      <items count="6">
        <item x="0"/>
        <item x="5"/>
        <item x="1"/>
        <item x="4"/>
        <item x="2"/>
        <item x="3"/>
      </items>
    </pivotField>
    <pivotField showAll="0" defaultSubtota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Col" showAll="0" defaultSubtotal="0">
      <items count="6">
        <item x="0"/>
        <item x="1"/>
        <item x="2"/>
        <item x="3"/>
        <item x="4"/>
        <item x="5"/>
      </items>
    </pivotField>
    <pivotField axis="axisCol" showAll="0" defaultSubtotal="0">
      <items count="4">
        <item sd="0" x="0"/>
        <item n="2024" x="1"/>
        <item n="2025" x="2"/>
        <item sd="0" x="3"/>
      </items>
    </pivotField>
  </pivotFields>
  <rowFields count="1">
    <field x="6"/>
  </rowFields>
  <rowItems count="5">
    <i>
      <x v="3"/>
    </i>
    <i>
      <x v="1"/>
    </i>
    <i>
      <x/>
    </i>
    <i>
      <x v="2"/>
    </i>
    <i t="grand">
      <x/>
    </i>
  </rowItems>
  <colFields count="2">
    <field x="10"/>
    <field x="11"/>
  </colFields>
  <colItems count="6">
    <i>
      <x v="1"/>
      <x v="1"/>
    </i>
    <i r="1">
      <x v="2"/>
    </i>
    <i>
      <x v="2"/>
      <x v="1"/>
    </i>
    <i r="1">
      <x v="2"/>
    </i>
    <i>
      <x v="3"/>
      <x v="1"/>
    </i>
    <i>
      <x v="4"/>
      <x v="1"/>
    </i>
  </colItems>
  <dataFields count="1">
    <dataField name="Sum of Vol" fld="2" baseField="0" baseItem="0" numFmtId="164"/>
  </dataFields>
  <formats count="12">
    <format dxfId="30">
      <pivotArea type="all" dataOnly="0" outline="0" fieldPosition="0"/>
    </format>
    <format dxfId="29">
      <pivotArea outline="0" collapsedLevelsAreSubtotals="1" fieldPosition="0"/>
    </format>
    <format dxfId="28">
      <pivotArea type="origin" dataOnly="0" labelOnly="1" outline="0" fieldPosition="0"/>
    </format>
    <format dxfId="27">
      <pivotArea field="11" type="button" dataOnly="0" labelOnly="1" outline="0" axis="axisCol" fieldPosition="1"/>
    </format>
    <format dxfId="26">
      <pivotArea field="10" type="button" dataOnly="0" labelOnly="1" outline="0" axis="axisCol" fieldPosition="0"/>
    </format>
    <format dxfId="25">
      <pivotArea field="9" type="button" dataOnly="0" labelOnly="1" outline="0"/>
    </format>
    <format dxfId="24">
      <pivotArea field="6" type="button" dataOnly="0" labelOnly="1" outline="0" axis="axisRow" fieldPosition="0"/>
    </format>
    <format dxfId="23">
      <pivotArea dataOnly="0" labelOnly="1" fieldPosition="0">
        <references count="1">
          <reference field="6" count="0"/>
        </references>
      </pivotArea>
    </format>
    <format dxfId="22">
      <pivotArea dataOnly="0" labelOnly="1" grandRow="1" outline="0" fieldPosition="0"/>
    </format>
    <format dxfId="21">
      <pivotArea dataOnly="0" labelOnly="1" fieldPosition="0">
        <references count="1">
          <reference field="11" count="2">
            <x v="1"/>
            <x v="2"/>
          </reference>
        </references>
      </pivotArea>
    </format>
    <format dxfId="20">
      <pivotArea dataOnly="0" labelOnly="1" grandCol="1" outline="0" fieldPosition="0"/>
    </format>
    <format dxfId="19">
      <pivotArea outline="0" collapsedLevelsAreSubtotals="1" fieldPosition="0"/>
    </format>
  </formats>
  <chartFormats count="10">
    <chartFormat chart="0" format="0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1" count="1" selected="0">
            <x v="1"/>
          </reference>
        </references>
      </pivotArea>
    </chartFormat>
    <chartFormat chart="0" format="1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1" count="1" selected="0">
            <x v="1"/>
          </reference>
        </references>
      </pivotArea>
    </chartFormat>
    <chartFormat chart="0" format="2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1" count="1" selected="0">
            <x v="1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1" count="1" selected="0">
            <x v="2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1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31111F-58AB-482D-8D7A-2B505DB8DE16}" name="PivotTable1" cacheId="24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3">
  <location ref="A3:E13" firstHeaderRow="1" firstDataRow="2" firstDataCol="1"/>
  <pivotFields count="12">
    <pivotField showAll="0" defaultSubtotal="0"/>
    <pivotField axis="axisRow" numFmtId="14" showAll="0" defaultSubtotal="0">
      <items count="18">
        <item x="16"/>
        <item x="17"/>
        <item x="0"/>
        <item x="1"/>
        <item x="2"/>
        <item x="3"/>
        <item x="4"/>
        <item x="5"/>
        <item x="6"/>
        <item x="7"/>
        <item x="8"/>
        <item x="9"/>
        <item x="15"/>
        <item x="14"/>
        <item x="13"/>
        <item x="12"/>
        <item x="11"/>
        <item x="10"/>
      </items>
    </pivotField>
    <pivotField dataField="1" numFmtId="164" showAll="0" defaultSubtotal="0">
      <items count="765">
        <item x="559"/>
        <item x="561"/>
        <item x="557"/>
        <item x="563"/>
        <item x="554"/>
        <item x="560"/>
        <item x="566"/>
        <item x="558"/>
        <item x="553"/>
        <item x="562"/>
        <item x="556"/>
        <item x="666"/>
        <item x="565"/>
        <item x="555"/>
        <item x="664"/>
        <item x="665"/>
        <item x="564"/>
        <item x="667"/>
        <item x="674"/>
        <item x="746"/>
        <item x="668"/>
        <item x="659"/>
        <item x="663"/>
        <item x="669"/>
        <item x="748"/>
        <item x="673"/>
        <item x="123"/>
        <item x="660"/>
        <item x="672"/>
        <item x="750"/>
        <item x="662"/>
        <item x="670"/>
        <item x="747"/>
        <item x="124"/>
        <item x="744"/>
        <item x="661"/>
        <item x="671"/>
        <item x="749"/>
        <item x="751"/>
        <item x="121"/>
        <item x="757"/>
        <item x="126"/>
        <item x="127"/>
        <item x="518"/>
        <item x="122"/>
        <item x="117"/>
        <item x="758"/>
        <item x="745"/>
        <item x="130"/>
        <item x="520"/>
        <item x="125"/>
        <item x="116"/>
        <item x="131"/>
        <item x="756"/>
        <item x="760"/>
        <item x="446"/>
        <item x="277"/>
        <item x="516"/>
        <item x="759"/>
        <item x="519"/>
        <item x="752"/>
        <item x="522"/>
        <item x="764"/>
        <item x="119"/>
        <item x="763"/>
        <item x="118"/>
        <item x="129"/>
        <item x="447"/>
        <item x="372"/>
        <item x="279"/>
        <item x="128"/>
        <item x="120"/>
        <item x="517"/>
        <item x="525"/>
        <item x="235"/>
        <item x="449"/>
        <item x="445"/>
        <item x="753"/>
        <item x="444"/>
        <item x="762"/>
        <item x="370"/>
        <item x="521"/>
        <item x="512"/>
        <item x="139"/>
        <item x="278"/>
        <item x="281"/>
        <item x="526"/>
        <item x="761"/>
        <item x="282"/>
        <item x="754"/>
        <item x="755"/>
        <item x="621"/>
        <item x="450"/>
        <item x="440"/>
        <item x="441"/>
        <item x="448"/>
        <item x="233"/>
        <item x="380"/>
        <item x="371"/>
        <item x="365"/>
        <item x="286"/>
        <item x="374"/>
        <item x="276"/>
        <item x="524"/>
        <item x="514"/>
        <item x="513"/>
        <item x="138"/>
        <item x="237"/>
        <item x="234"/>
        <item x="228"/>
        <item x="287"/>
        <item x="515"/>
        <item x="623"/>
        <item x="312"/>
        <item x="311"/>
        <item x="373"/>
        <item x="280"/>
        <item x="523"/>
        <item x="442"/>
        <item x="41"/>
        <item x="141"/>
        <item x="132"/>
        <item x="236"/>
        <item x="147"/>
        <item x="443"/>
        <item x="5"/>
        <item x="375"/>
        <item x="376"/>
        <item x="369"/>
        <item x="367"/>
        <item x="378"/>
        <item x="310"/>
        <item x="680"/>
        <item x="619"/>
        <item x="313"/>
        <item x="624"/>
        <item x="625"/>
        <item x="140"/>
        <item x="285"/>
        <item x="366"/>
        <item x="379"/>
        <item x="39"/>
        <item x="230"/>
        <item x="240"/>
        <item x="284"/>
        <item x="238"/>
        <item x="403"/>
        <item x="336"/>
        <item x="316"/>
        <item x="305"/>
        <item x="314"/>
        <item x="7"/>
        <item x="315"/>
        <item x="309"/>
        <item x="622"/>
        <item x="283"/>
        <item x="134"/>
        <item x="137"/>
        <item x="142"/>
        <item x="628"/>
        <item x="143"/>
        <item x="232"/>
        <item x="229"/>
        <item x="146"/>
        <item x="241"/>
        <item x="40"/>
        <item x="34"/>
        <item x="43"/>
        <item x="188"/>
        <item x="189"/>
        <item x="306"/>
        <item x="133"/>
        <item x="48"/>
        <item x="136"/>
        <item x="402"/>
        <item x="620"/>
        <item x="401"/>
        <item x="10"/>
        <item x="682"/>
        <item x="3"/>
        <item x="9"/>
        <item x="679"/>
        <item x="681"/>
        <item x="675"/>
        <item x="6"/>
        <item x="23"/>
        <item x="144"/>
        <item x="338"/>
        <item x="693"/>
        <item x="368"/>
        <item x="377"/>
        <item x="42"/>
        <item x="307"/>
        <item x="107"/>
        <item x="629"/>
        <item x="616"/>
        <item x="187"/>
        <item x="676"/>
        <item x="190"/>
        <item x="474"/>
        <item x="405"/>
        <item x="396"/>
        <item x="404"/>
        <item x="4"/>
        <item x="686"/>
        <item x="91"/>
        <item x="231"/>
        <item x="92"/>
        <item x="308"/>
        <item x="239"/>
        <item x="14"/>
        <item x="337"/>
        <item x="335"/>
        <item x="38"/>
        <item x="36"/>
        <item x="46"/>
        <item x="617"/>
        <item x="694"/>
        <item x="25"/>
        <item x="685"/>
        <item x="677"/>
        <item x="135"/>
        <item x="108"/>
        <item x="191"/>
        <item x="15"/>
        <item x="406"/>
        <item x="186"/>
        <item x="651"/>
        <item x="8"/>
        <item x="400"/>
        <item x="196"/>
        <item x="145"/>
        <item x="99"/>
        <item x="47"/>
        <item x="473"/>
        <item x="407"/>
        <item x="85"/>
        <item x="93"/>
        <item x="35"/>
        <item x="44"/>
        <item x="331"/>
        <item x="627"/>
        <item x="678"/>
        <item x="683"/>
        <item x="695"/>
        <item x="692"/>
        <item x="691"/>
        <item x="342"/>
        <item x="706"/>
        <item x="626"/>
        <item x="397"/>
        <item x="182"/>
        <item x="618"/>
        <item x="434"/>
        <item x="21"/>
        <item x="27"/>
        <item x="410"/>
        <item x="110"/>
        <item x="106"/>
        <item x="105"/>
        <item x="650"/>
        <item x="28"/>
        <item x="111"/>
        <item x="652"/>
        <item x="357"/>
        <item x="195"/>
        <item x="90"/>
        <item x="94"/>
        <item x="343"/>
        <item x="204"/>
        <item x="684"/>
        <item x="330"/>
        <item x="95"/>
        <item x="467"/>
        <item x="475"/>
        <item x="12"/>
        <item x="481"/>
        <item x="0"/>
        <item x="1"/>
        <item x="589"/>
        <item x="408"/>
        <item x="194"/>
        <item x="688"/>
        <item x="399"/>
        <item x="687"/>
        <item x="183"/>
        <item x="79"/>
        <item x="344"/>
        <item x="13"/>
        <item x="115"/>
        <item x="699"/>
        <item x="109"/>
        <item x="101"/>
        <item x="17"/>
        <item x="100"/>
        <item x="24"/>
        <item x="98"/>
        <item x="86"/>
        <item x="87"/>
        <item x="51"/>
        <item x="649"/>
        <item x="653"/>
        <item x="644"/>
        <item x="2"/>
        <item x="32"/>
        <item x="45"/>
        <item x="37"/>
        <item x="654"/>
        <item x="358"/>
        <item x="472"/>
        <item x="185"/>
        <item x="476"/>
        <item x="658"/>
        <item x="722"/>
        <item x="202"/>
        <item x="11"/>
        <item x="203"/>
        <item x="192"/>
        <item x="341"/>
        <item x="587"/>
        <item x="588"/>
        <item x="332"/>
        <item x="333"/>
        <item x="89"/>
        <item x="535"/>
        <item x="548"/>
        <item x="398"/>
        <item x="22"/>
        <item x="657"/>
        <item x="96"/>
        <item x="81"/>
        <item x="435"/>
        <item x="429"/>
        <item x="645"/>
        <item x="184"/>
        <item x="708"/>
        <item x="705"/>
        <item x="340"/>
        <item x="479"/>
        <item x="468"/>
        <item x="469"/>
        <item x="480"/>
        <item x="573"/>
        <item x="439"/>
        <item x="574"/>
        <item x="389"/>
        <item x="388"/>
        <item x="360"/>
        <item x="698"/>
        <item x="193"/>
        <item x="409"/>
        <item x="356"/>
        <item x="359"/>
        <item x="351"/>
        <item x="339"/>
        <item x="334"/>
        <item x="53"/>
        <item x="709"/>
        <item x="102"/>
        <item x="205"/>
        <item x="197"/>
        <item x="114"/>
        <item x="721"/>
        <item x="345"/>
        <item x="720"/>
        <item x="211"/>
        <item x="349"/>
        <item x="346"/>
        <item x="16"/>
        <item x="26"/>
        <item x="697"/>
        <item x="547"/>
        <item x="477"/>
        <item x="33"/>
        <item x="590"/>
        <item x="646"/>
        <item x="542"/>
        <item x="471"/>
        <item x="689"/>
        <item x="690"/>
        <item x="438"/>
        <item x="656"/>
        <item x="430"/>
        <item x="532"/>
        <item x="696"/>
        <item x="534"/>
        <item x="714"/>
        <item x="707"/>
        <item x="701"/>
        <item x="700"/>
        <item x="78"/>
        <item x="364"/>
        <item x="552"/>
        <item x="88"/>
        <item x="597"/>
        <item x="352"/>
        <item x="104"/>
        <item x="103"/>
        <item x="295"/>
        <item x="575"/>
        <item x="567"/>
        <item x="576"/>
        <item x="713"/>
        <item x="536"/>
        <item x="83"/>
        <item x="387"/>
        <item x="97"/>
        <item x="113"/>
        <item x="206"/>
        <item x="19"/>
        <item x="55"/>
        <item x="112"/>
        <item x="648"/>
        <item x="350"/>
        <item x="52"/>
        <item x="49"/>
        <item x="30"/>
        <item x="728"/>
        <item x="543"/>
        <item x="347"/>
        <item x="723"/>
        <item x="431"/>
        <item x="591"/>
        <item x="586"/>
        <item x="592"/>
        <item x="551"/>
        <item x="363"/>
        <item x="533"/>
        <item x="353"/>
        <item x="528"/>
        <item x="437"/>
        <item x="655"/>
        <item x="31"/>
        <item x="540"/>
        <item x="470"/>
        <item x="18"/>
        <item x="647"/>
        <item x="577"/>
        <item x="572"/>
        <item x="578"/>
        <item x="198"/>
        <item x="199"/>
        <item x="381"/>
        <item x="386"/>
        <item x="433"/>
        <item x="544"/>
        <item x="395"/>
        <item x="478"/>
        <item x="50"/>
        <item x="209"/>
        <item x="583"/>
        <item x="584"/>
        <item x="702"/>
        <item x="719"/>
        <item x="59"/>
        <item x="595"/>
        <item x="712"/>
        <item x="596"/>
        <item x="355"/>
        <item x="390"/>
        <item x="29"/>
        <item x="210"/>
        <item x="297"/>
        <item x="84"/>
        <item x="541"/>
        <item x="20"/>
        <item x="80"/>
        <item x="527"/>
        <item x="361"/>
        <item x="436"/>
        <item x="568"/>
        <item x="569"/>
        <item x="432"/>
        <item x="201"/>
        <item x="581"/>
        <item x="207"/>
        <item x="710"/>
        <item x="546"/>
        <item x="394"/>
        <item x="382"/>
        <item x="703"/>
        <item x="704"/>
        <item x="354"/>
        <item x="582"/>
        <item x="549"/>
        <item x="726"/>
        <item x="362"/>
        <item x="711"/>
        <item x="716"/>
        <item x="715"/>
        <item x="54"/>
        <item x="593"/>
        <item x="348"/>
        <item x="727"/>
        <item x="550"/>
        <item x="571"/>
        <item x="60"/>
        <item x="545"/>
        <item x="298"/>
        <item x="293"/>
        <item x="393"/>
        <item x="383"/>
        <item x="299"/>
        <item x="579"/>
        <item x="718"/>
        <item x="529"/>
        <item x="530"/>
        <item x="82"/>
        <item x="200"/>
        <item x="208"/>
        <item x="538"/>
        <item x="724"/>
        <item x="585"/>
        <item x="539"/>
        <item x="385"/>
        <item x="391"/>
        <item x="57"/>
        <item x="594"/>
        <item x="531"/>
        <item x="289"/>
        <item x="296"/>
        <item x="570"/>
        <item x="537"/>
        <item x="58"/>
        <item x="303"/>
        <item x="384"/>
        <item x="580"/>
        <item x="717"/>
        <item x="392"/>
        <item x="725"/>
        <item x="56"/>
        <item x="294"/>
        <item x="606"/>
        <item x="605"/>
        <item x="288"/>
        <item x="304"/>
        <item x="607"/>
        <item x="604"/>
        <item x="291"/>
        <item x="301"/>
        <item x="418"/>
        <item x="290"/>
        <item x="302"/>
        <item x="608"/>
        <item x="603"/>
        <item x="609"/>
        <item x="598"/>
        <item x="610"/>
        <item x="300"/>
        <item x="292"/>
        <item x="615"/>
        <item x="614"/>
        <item x="599"/>
        <item x="420"/>
        <item x="613"/>
        <item x="600"/>
        <item x="488"/>
        <item x="423"/>
        <item x="422"/>
        <item x="416"/>
        <item x="602"/>
        <item x="611"/>
        <item x="601"/>
        <item x="612"/>
        <item x="427"/>
        <item x="412"/>
        <item x="419"/>
        <item x="490"/>
        <item x="417"/>
        <item x="491"/>
        <item x="486"/>
        <item x="492"/>
        <item x="421"/>
        <item x="411"/>
        <item x="428"/>
        <item x="496"/>
        <item x="414"/>
        <item x="489"/>
        <item x="425"/>
        <item x="426"/>
        <item x="413"/>
        <item x="487"/>
        <item x="218"/>
        <item x="219"/>
        <item x="267"/>
        <item x="424"/>
        <item x="415"/>
        <item x="69"/>
        <item x="482"/>
        <item x="497"/>
        <item x="217"/>
        <item x="172"/>
        <item x="220"/>
        <item x="266"/>
        <item x="265"/>
        <item x="320"/>
        <item x="319"/>
        <item x="494"/>
        <item x="484"/>
        <item x="67"/>
        <item x="495"/>
        <item x="221"/>
        <item x="216"/>
        <item x="212"/>
        <item x="483"/>
        <item x="259"/>
        <item x="268"/>
        <item x="222"/>
        <item x="275"/>
        <item x="321"/>
        <item x="227"/>
        <item x="171"/>
        <item x="485"/>
        <item x="504"/>
        <item x="155"/>
        <item x="156"/>
        <item x="77"/>
        <item x="68"/>
        <item x="61"/>
        <item x="71"/>
        <item x="493"/>
        <item x="269"/>
        <item x="264"/>
        <item x="226"/>
        <item x="323"/>
        <item x="322"/>
        <item x="317"/>
        <item x="324"/>
        <item x="165"/>
        <item x="174"/>
        <item x="270"/>
        <item x="225"/>
        <item x="181"/>
        <item x="213"/>
        <item x="636"/>
        <item x="329"/>
        <item x="70"/>
        <item x="505"/>
        <item x="261"/>
        <item x="260"/>
        <item x="154"/>
        <item x="157"/>
        <item x="273"/>
        <item x="274"/>
        <item x="249"/>
        <item x="248"/>
        <item x="223"/>
        <item x="735"/>
        <item x="215"/>
        <item x="173"/>
        <item x="328"/>
        <item x="271"/>
        <item x="263"/>
        <item x="63"/>
        <item x="66"/>
        <item x="224"/>
        <item x="214"/>
        <item x="502"/>
        <item x="503"/>
        <item x="153"/>
        <item x="148"/>
        <item x="158"/>
        <item x="75"/>
        <item x="72"/>
        <item x="506"/>
        <item x="327"/>
        <item x="175"/>
        <item x="167"/>
        <item x="164"/>
        <item x="159"/>
        <item x="170"/>
        <item x="250"/>
        <item x="179"/>
        <item x="65"/>
        <item x="62"/>
        <item x="176"/>
        <item x="736"/>
        <item x="318"/>
        <item x="163"/>
        <item x="149"/>
        <item x="73"/>
        <item x="325"/>
        <item x="498"/>
        <item x="499"/>
        <item x="76"/>
        <item x="262"/>
        <item x="180"/>
        <item x="166"/>
        <item x="169"/>
        <item x="630"/>
        <item x="635"/>
        <item x="510"/>
        <item x="326"/>
        <item x="177"/>
        <item x="511"/>
        <item x="272"/>
        <item x="258"/>
        <item x="253"/>
        <item x="251"/>
        <item x="459"/>
        <item x="252"/>
        <item x="247"/>
        <item x="242"/>
        <item x="150"/>
        <item x="733"/>
        <item x="162"/>
        <item x="738"/>
        <item x="637"/>
        <item x="257"/>
        <item x="243"/>
        <item x="160"/>
        <item x="152"/>
        <item x="509"/>
        <item x="74"/>
        <item x="460"/>
        <item x="456"/>
        <item x="458"/>
        <item x="64"/>
        <item x="461"/>
        <item x="742"/>
        <item x="734"/>
        <item x="730"/>
        <item x="638"/>
        <item x="151"/>
        <item x="244"/>
        <item x="632"/>
        <item x="642"/>
        <item x="168"/>
        <item x="500"/>
        <item x="501"/>
        <item x="161"/>
        <item x="639"/>
        <item x="256"/>
        <item x="507"/>
        <item x="508"/>
        <item x="465"/>
        <item x="178"/>
        <item x="452"/>
        <item x="457"/>
        <item x="729"/>
        <item x="737"/>
        <item x="246"/>
        <item x="640"/>
        <item x="634"/>
        <item x="631"/>
        <item x="643"/>
        <item x="743"/>
        <item x="254"/>
        <item x="451"/>
        <item x="245"/>
        <item x="466"/>
        <item x="255"/>
        <item x="740"/>
        <item x="731"/>
        <item x="741"/>
        <item x="633"/>
        <item x="641"/>
        <item x="454"/>
        <item x="732"/>
        <item x="453"/>
        <item x="739"/>
        <item x="463"/>
        <item x="464"/>
        <item x="455"/>
        <item x="462"/>
      </items>
    </pivotField>
    <pivotField showAll="0" defaultSubtotal="0"/>
    <pivotField showAll="0" defaultSubtotal="0"/>
    <pivotField showAll="0" defaultSubtotal="0"/>
    <pivotField axis="axisCol" showAll="0" sortType="descending" defaultSubtotal="0">
      <items count="4">
        <item x="3"/>
        <item x="2"/>
        <item x="0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>
      <items count="6">
        <item x="0"/>
        <item x="5"/>
        <item x="1"/>
        <item x="4"/>
        <item x="2"/>
        <item x="3"/>
      </items>
    </pivotField>
    <pivotField showAll="0" defaultSubtota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4">
        <item sd="0" x="0"/>
        <item n="2024" x="1"/>
        <item n="2025" x="2"/>
        <item sd="0" x="3"/>
      </items>
    </pivotField>
  </pivotFields>
  <rowFields count="4">
    <field x="11"/>
    <field x="10"/>
    <field x="9"/>
    <field x="1"/>
  </rowFields>
  <rowItems count="9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t="grand">
      <x/>
    </i>
  </rowItems>
  <colFields count="1">
    <field x="6"/>
  </colFields>
  <colItems count="4">
    <i>
      <x v="3"/>
    </i>
    <i>
      <x v="1"/>
    </i>
    <i>
      <x/>
    </i>
    <i>
      <x v="2"/>
    </i>
  </colItems>
  <dataFields count="1">
    <dataField name="Sum of Vol" fld="2" baseField="0" baseItem="0" numFmtId="164"/>
  </dataFields>
  <formats count="12">
    <format dxfId="42">
      <pivotArea type="all" dataOnly="0" outline="0" fieldPosition="0"/>
    </format>
    <format dxfId="41">
      <pivotArea outline="0" collapsedLevelsAreSubtotals="1" fieldPosition="0"/>
    </format>
    <format dxfId="40">
      <pivotArea type="origin" dataOnly="0" labelOnly="1" outline="0" fieldPosition="0"/>
    </format>
    <format dxfId="39">
      <pivotArea field="11" type="button" dataOnly="0" labelOnly="1" outline="0" axis="axisRow" fieldPosition="0"/>
    </format>
    <format dxfId="38">
      <pivotArea field="10" type="button" dataOnly="0" labelOnly="1" outline="0" axis="axisRow" fieldPosition="1"/>
    </format>
    <format dxfId="37">
      <pivotArea field="9" type="button" dataOnly="0" labelOnly="1" outline="0" axis="axisRow" fieldPosition="2"/>
    </format>
    <format dxfId="36">
      <pivotArea field="6" type="button" dataOnly="0" labelOnly="1" outline="0" axis="axisCol" fieldPosition="0"/>
    </format>
    <format dxfId="35">
      <pivotArea dataOnly="0" labelOnly="1" fieldPosition="0">
        <references count="1">
          <reference field="6" count="0"/>
        </references>
      </pivotArea>
    </format>
    <format dxfId="34">
      <pivotArea dataOnly="0" labelOnly="1" grandRow="1" outline="0" fieldPosition="0"/>
    </format>
    <format dxfId="33">
      <pivotArea dataOnly="0" labelOnly="1" fieldPosition="0">
        <references count="1">
          <reference field="11" count="2">
            <x v="1"/>
            <x v="2"/>
          </reference>
        </references>
      </pivotArea>
    </format>
    <format dxfId="32">
      <pivotArea dataOnly="0" labelOnly="1" grandCol="1" outline="0" fieldPosition="0"/>
    </format>
    <format dxfId="31">
      <pivotArea outline="0" collapsedLevelsAreSubtotals="1" fieldPosition="0"/>
    </format>
  </formats>
  <chartFormats count="10">
    <chartFormat chart="0" format="0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1" count="1" selected="0">
            <x v="1"/>
          </reference>
        </references>
      </pivotArea>
    </chartFormat>
    <chartFormat chart="0" format="1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1" count="1" selected="0">
            <x v="1"/>
          </reference>
        </references>
      </pivotArea>
    </chartFormat>
    <chartFormat chart="0" format="2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1" count="1" selected="0">
            <x v="1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1" count="1" selected="0">
            <x v="2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1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4159F3-1B85-47D4-92B8-6F3A3952336F}" name="Table2" displayName="Table2" ref="A1:I908" totalsRowShown="0" headerRowDxfId="18">
  <autoFilter ref="A1:I908" xr:uid="{024159F3-1B85-47D4-92B8-6F3A3952336F}"/>
  <tableColumns count="9">
    <tableColumn id="1" xr3:uid="{F3459304-BAF7-4BB9-A6C8-767699EBE652}" name="CLID" dataDxfId="17"/>
    <tableColumn id="2" xr3:uid="{322783AE-96DB-4D5F-A250-09E733C218FD}" name="Date" dataDxfId="16"/>
    <tableColumn id="3" xr3:uid="{9D016862-0ED8-4962-88A0-FC078DE06688}" name="Vol" dataDxfId="15" dataCellStyle="Comma"/>
    <tableColumn id="4" xr3:uid="{72C9E46A-A38A-4E66-870E-D01B11D35282}" name="LEN" dataDxfId="14">
      <calculatedColumnFormula>LEN(Table2[[#This Row],[CLID]])</calculatedColumnFormula>
    </tableColumn>
    <tableColumn id="5" xr3:uid="{08896A34-C233-4868-957D-EED3177676FD}" name="Xlookup Region ID" dataDxfId="13">
      <calculatedColumnFormula>_xlfn.XLOOKUP('Volume Data'!A:A,'Geo Data'!D:D,'Geo Data'!B:B)</calculatedColumnFormula>
    </tableColumn>
    <tableColumn id="6" xr3:uid="{888C518A-3971-47CC-A982-248AC47FA957}" name="Index Region ID" dataDxfId="12">
      <calculatedColumnFormula>INDEX(GeoByClient[GEOID],MATCH(Table2[[#This Row],[CLID]],GeoByClient[Right],0))</calculatedColumnFormula>
    </tableColumn>
    <tableColumn id="8" xr3:uid="{B29C9FA7-B981-4C85-92E0-458F144890D5}" name="Region Name" dataDxfId="11">
      <calculatedColumnFormula>_xlfn.XLOOKUP(Table2[[#This Row],[Xlookup Region ID]],GEONames[GEOID],GEONames[GEO Name])</calculatedColumnFormula>
    </tableColumn>
    <tableColumn id="13" xr3:uid="{288F7634-3279-40F5-9B94-702775FB5D65}" name="Quart" dataDxfId="10">
      <calculatedColumnFormula>"Q"&amp;ROUNDUP(MONTH(Table2[[#This Row],[Date]])/3,0)&amp;" "&amp;YEAR(Table2[[#This Row],[Date]])</calculatedColumnFormula>
    </tableColumn>
    <tableColumn id="15" xr3:uid="{E7DB1598-3793-42E6-AF38-192611EEE910}" name="Quarter by Vlookup" dataDxfId="9">
      <calculatedColumnFormula>VLOOKUP(Table2[[#This Row],[Date]],Table7[],3)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0E9A0B9-398A-4A0F-B22E-CBB2314903D1}" name="Table7" displayName="Table7" ref="N1:P7" totalsRowShown="0" headerRowDxfId="8">
  <autoFilter ref="N1:P7" xr:uid="{90E9A0B9-398A-4A0F-B22E-CBB2314903D1}"/>
  <tableColumns count="3">
    <tableColumn id="1" xr3:uid="{EEF8F76C-9E47-4E84-BDD0-10708C565591}" name="Date Start" dataDxfId="7">
      <calculatedColumnFormula>O1+1</calculatedColumnFormula>
    </tableColumn>
    <tableColumn id="2" xr3:uid="{E859C409-608F-4B69-8625-A3920FB24B76}" name="Date End" dataDxfId="6"/>
    <tableColumn id="3" xr3:uid="{672FA9F4-B326-4856-91D6-9B334B8FC1D8}" name="name" dataDxfId="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7A98537-5266-4591-B64B-0C9C8C791987}" name="GeoByClient" displayName="GeoByClient" ref="A1:E54" totalsRowShown="0" headerRowDxfId="68" dataDxfId="67">
  <autoFilter ref="A1:E54" xr:uid="{E7A98537-5266-4591-B64B-0C9C8C791987}"/>
  <tableColumns count="5">
    <tableColumn id="1" xr3:uid="{BEAFD9E6-FF7D-4D18-A29F-4C67117A2162}" name="CLID" dataDxfId="66"/>
    <tableColumn id="2" xr3:uid="{488534E3-1038-45A8-B392-F95C6E65CCBC}" name="GEOID" dataDxfId="65"/>
    <tableColumn id="3" xr3:uid="{4BF15D4F-E86D-46EB-B6F8-92A23BFD1A9B}" name="LEN" dataDxfId="64">
      <calculatedColumnFormula>LEN(GeoByClient[[#This Row],[CLID]])</calculatedColumnFormula>
    </tableColumn>
    <tableColumn id="4" xr3:uid="{D04F4B10-062C-47A1-ADAA-C3289B589C00}" name="Mid" dataDxfId="63">
      <calculatedColumnFormula>MID(GeoByClient[[#This Row],[CLID]],3,7)</calculatedColumnFormula>
    </tableColumn>
    <tableColumn id="5" xr3:uid="{87478870-0115-43BB-95B1-7D5DDD01A431}" name="Right" dataDxfId="62">
      <calculatedColumnFormula>RIGHT(GeoByClient[[#This Row],[CLID]],7)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194343E-A4AC-4642-97E2-6FC55C6C91A2}" name="GEONames" displayName="GEONames" ref="H1:J6" totalsRowCount="1">
  <autoFilter ref="H1:J5" xr:uid="{4194343E-A4AC-4642-97E2-6FC55C6C91A2}"/>
  <tableColumns count="3">
    <tableColumn id="1" xr3:uid="{19BD1BEF-037C-4C91-A3DC-AFF8F0AD2D8F}" name="GEOID" dataDxfId="61" totalsRowDxfId="60"/>
    <tableColumn id="2" xr3:uid="{A249D32E-979F-4335-A6EC-41C90CC2AB9A}" name="GEO Name" totalsRowDxfId="59"/>
    <tableColumn id="3" xr3:uid="{432239BF-50A9-413B-9407-D142B2435CC0}" name="Volume" totalsRowFunction="sum" dataDxfId="58" totalsRowDxfId="57" dataCellStyle="Comma" totalsRowCellStyle="Comma">
      <calculatedColumnFormula>SUMIFS(Table2[Vol],Table2[Xlookup Region ID],GEONames[[#This Row],[GEOID]])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A73B57-7ED1-4295-803D-83A89D525745}" name="Table3" displayName="Table3" ref="A1:D908" totalsRowShown="0" headerRowDxfId="4">
  <autoFilter ref="A1:D908" xr:uid="{93A73B57-7ED1-4295-803D-83A89D525745}"/>
  <tableColumns count="4">
    <tableColumn id="1" xr3:uid="{8B5F66FA-1288-458F-B721-203EE0475203}" name="CLID" dataDxfId="3"/>
    <tableColumn id="2" xr3:uid="{852F7494-D77A-48EE-9A25-C145A6BF88CF}" name="Date" dataDxfId="2"/>
    <tableColumn id="3" xr3:uid="{D7E78ED9-361D-4FB2-8A56-C21949191AB3}" name="Vol" dataDxfId="1" dataCellStyle="Comma"/>
    <tableColumn id="4" xr3:uid="{A9668A48-7DA3-4DBC-92B1-343680A001CD}" name="Len" dataDxfId="0">
      <calculatedColumnFormula>LEN(Table3[[#This Row],[CLID]])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61CE0-160B-4811-BD1F-09EEE39C23DB}">
  <dimension ref="A1:G28"/>
  <sheetViews>
    <sheetView showGridLines="0" tabSelected="1" zoomScale="75" workbookViewId="0">
      <selection activeCell="A38" sqref="A38"/>
    </sheetView>
  </sheetViews>
  <sheetFormatPr defaultRowHeight="13.25" customHeight="1" x14ac:dyDescent="0.25"/>
  <cols>
    <col min="1" max="1" width="75.08984375" style="46" bestFit="1" customWidth="1"/>
    <col min="2" max="4" width="8.7265625" style="46"/>
    <col min="5" max="16384" width="8.7265625" style="47"/>
  </cols>
  <sheetData>
    <row r="1" spans="1:7" ht="13.25" customHeight="1" x14ac:dyDescent="0.4">
      <c r="A1" s="45"/>
    </row>
    <row r="2" spans="1:7" ht="13.25" customHeight="1" x14ac:dyDescent="0.25">
      <c r="A2" s="48"/>
    </row>
    <row r="3" spans="1:7" ht="13.25" customHeight="1" x14ac:dyDescent="0.25">
      <c r="A3" s="48"/>
    </row>
    <row r="4" spans="1:7" ht="13.25" customHeight="1" x14ac:dyDescent="0.25">
      <c r="A4" s="48"/>
    </row>
    <row r="5" spans="1:7" ht="13.25" customHeight="1" x14ac:dyDescent="0.25">
      <c r="A5" s="48"/>
    </row>
    <row r="13" spans="1:7" ht="13.25" customHeight="1" x14ac:dyDescent="0.25">
      <c r="A13" s="49"/>
      <c r="B13" s="49"/>
      <c r="C13" s="49"/>
      <c r="D13" s="49"/>
      <c r="E13" s="49"/>
      <c r="F13" s="49"/>
      <c r="G13" s="49"/>
    </row>
    <row r="14" spans="1:7" ht="13.25" customHeight="1" x14ac:dyDescent="0.25">
      <c r="A14" s="49"/>
      <c r="B14" s="49"/>
      <c r="C14" s="49"/>
      <c r="D14" s="49"/>
      <c r="E14" s="49"/>
      <c r="F14" s="49"/>
      <c r="G14" s="49"/>
    </row>
    <row r="15" spans="1:7" ht="13.25" customHeight="1" x14ac:dyDescent="0.25">
      <c r="A15" s="49"/>
      <c r="B15" s="49"/>
      <c r="C15" s="49"/>
      <c r="D15" s="49"/>
      <c r="E15" s="49"/>
      <c r="F15" s="49"/>
      <c r="G15" s="49"/>
    </row>
    <row r="16" spans="1:7" ht="13.25" customHeight="1" x14ac:dyDescent="0.25">
      <c r="A16" s="49"/>
      <c r="B16" s="49"/>
      <c r="C16" s="49"/>
      <c r="D16" s="49"/>
      <c r="E16" s="49"/>
      <c r="F16" s="49"/>
      <c r="G16" s="49"/>
    </row>
    <row r="17" spans="1:7" ht="13.25" customHeight="1" x14ac:dyDescent="0.25">
      <c r="A17" s="49"/>
      <c r="B17" s="49"/>
      <c r="C17" s="49"/>
      <c r="D17" s="49"/>
      <c r="E17" s="49"/>
      <c r="F17" s="49"/>
      <c r="G17" s="49"/>
    </row>
    <row r="18" spans="1:7" ht="13.25" customHeight="1" x14ac:dyDescent="0.25">
      <c r="A18" s="49"/>
      <c r="B18" s="49"/>
      <c r="C18" s="49"/>
      <c r="D18" s="49"/>
      <c r="E18" s="49"/>
      <c r="F18" s="49"/>
      <c r="G18" s="49"/>
    </row>
    <row r="19" spans="1:7" ht="13.25" customHeight="1" x14ac:dyDescent="0.25">
      <c r="A19" s="49"/>
      <c r="B19" s="49"/>
      <c r="C19" s="49"/>
      <c r="D19" s="49"/>
      <c r="E19" s="49"/>
      <c r="F19" s="49"/>
      <c r="G19" s="49"/>
    </row>
    <row r="20" spans="1:7" ht="13.25" customHeight="1" x14ac:dyDescent="0.25">
      <c r="A20" s="49"/>
      <c r="B20" s="49"/>
      <c r="C20" s="49"/>
      <c r="D20" s="49"/>
      <c r="E20" s="49"/>
      <c r="F20" s="49"/>
      <c r="G20" s="49"/>
    </row>
    <row r="21" spans="1:7" ht="13.25" customHeight="1" x14ac:dyDescent="0.25">
      <c r="A21" s="49"/>
      <c r="B21" s="49"/>
      <c r="C21" s="49"/>
      <c r="D21" s="49"/>
      <c r="E21" s="49"/>
      <c r="F21" s="49"/>
      <c r="G21" s="49"/>
    </row>
    <row r="22" spans="1:7" ht="13.25" customHeight="1" x14ac:dyDescent="0.25">
      <c r="A22" s="49"/>
      <c r="B22" s="49"/>
      <c r="C22" s="49"/>
      <c r="D22" s="49"/>
      <c r="E22" s="49"/>
      <c r="F22" s="49"/>
      <c r="G22" s="49"/>
    </row>
    <row r="23" spans="1:7" ht="13.25" customHeight="1" x14ac:dyDescent="0.25">
      <c r="A23" s="49"/>
      <c r="B23" s="49"/>
      <c r="C23" s="49"/>
      <c r="D23" s="49"/>
      <c r="E23" s="49"/>
      <c r="F23" s="49"/>
      <c r="G23" s="49"/>
    </row>
    <row r="24" spans="1:7" ht="13.25" customHeight="1" x14ac:dyDescent="0.25">
      <c r="A24" s="49"/>
      <c r="B24" s="49"/>
      <c r="C24" s="49"/>
      <c r="D24" s="49"/>
      <c r="E24" s="49"/>
      <c r="F24" s="49"/>
      <c r="G24" s="49"/>
    </row>
    <row r="25" spans="1:7" ht="13.25" customHeight="1" x14ac:dyDescent="0.25">
      <c r="A25" s="49"/>
      <c r="B25" s="49"/>
      <c r="C25" s="49"/>
      <c r="D25" s="49"/>
      <c r="E25" s="49"/>
      <c r="F25" s="49"/>
      <c r="G25" s="49"/>
    </row>
    <row r="26" spans="1:7" ht="13.25" customHeight="1" x14ac:dyDescent="0.25">
      <c r="A26" s="49"/>
      <c r="B26" s="49"/>
      <c r="C26" s="49"/>
      <c r="D26" s="49"/>
      <c r="E26" s="49"/>
      <c r="F26" s="49"/>
      <c r="G26" s="49"/>
    </row>
    <row r="27" spans="1:7" ht="13.25" customHeight="1" x14ac:dyDescent="0.25">
      <c r="A27" s="49"/>
      <c r="B27" s="49"/>
      <c r="C27" s="49"/>
      <c r="D27" s="49"/>
      <c r="E27" s="49"/>
      <c r="F27" s="49"/>
      <c r="G27" s="49"/>
    </row>
    <row r="28" spans="1:7" ht="13.25" customHeight="1" x14ac:dyDescent="0.25">
      <c r="A28" s="49"/>
      <c r="B28" s="49"/>
      <c r="C28" s="49"/>
      <c r="D28" s="49"/>
      <c r="E28" s="49"/>
      <c r="F28" s="49"/>
      <c r="G28" s="49"/>
    </row>
  </sheetData>
  <mergeCells count="1">
    <mergeCell ref="A13:G2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EF340-377D-43B0-A32D-A2F3BF14766B}">
  <dimension ref="A1:P34"/>
  <sheetViews>
    <sheetView showGridLines="0" zoomScale="75" workbookViewId="0">
      <selection activeCell="G15" sqref="G15"/>
    </sheetView>
  </sheetViews>
  <sheetFormatPr defaultRowHeight="13.25" customHeight="1" x14ac:dyDescent="0.25"/>
  <cols>
    <col min="1" max="1" width="75.08984375" style="42" bestFit="1" customWidth="1"/>
    <col min="2" max="4" width="8.7265625" style="42"/>
  </cols>
  <sheetData>
    <row r="1" spans="1:1" ht="13.25" customHeight="1" x14ac:dyDescent="0.4">
      <c r="A1" s="44"/>
    </row>
    <row r="2" spans="1:1" ht="13.25" customHeight="1" x14ac:dyDescent="0.25">
      <c r="A2" s="43"/>
    </row>
    <row r="3" spans="1:1" ht="13.25" customHeight="1" x14ac:dyDescent="0.25">
      <c r="A3" s="43"/>
    </row>
    <row r="4" spans="1:1" ht="13.25" customHeight="1" x14ac:dyDescent="0.25">
      <c r="A4" s="43"/>
    </row>
    <row r="5" spans="1:1" ht="13.25" customHeight="1" x14ac:dyDescent="0.25">
      <c r="A5" s="43"/>
    </row>
    <row r="19" spans="10:16" ht="13.25" customHeight="1" x14ac:dyDescent="0.25">
      <c r="J19" s="50"/>
      <c r="K19" s="50"/>
      <c r="L19" s="50"/>
      <c r="M19" s="50"/>
      <c r="N19" s="50"/>
      <c r="O19" s="50"/>
      <c r="P19" s="50"/>
    </row>
    <row r="20" spans="10:16" ht="13.25" customHeight="1" x14ac:dyDescent="0.25">
      <c r="J20" s="50"/>
      <c r="K20" s="50"/>
      <c r="L20" s="50"/>
      <c r="M20" s="50"/>
      <c r="N20" s="50"/>
      <c r="O20" s="50"/>
      <c r="P20" s="50"/>
    </row>
    <row r="21" spans="10:16" ht="13.25" customHeight="1" x14ac:dyDescent="0.25">
      <c r="J21" s="50"/>
      <c r="K21" s="50"/>
      <c r="L21" s="50"/>
      <c r="M21" s="50"/>
      <c r="N21" s="50"/>
      <c r="O21" s="50"/>
      <c r="P21" s="50"/>
    </row>
    <row r="22" spans="10:16" ht="13.25" customHeight="1" x14ac:dyDescent="0.25">
      <c r="J22" s="50"/>
      <c r="K22" s="50"/>
      <c r="L22" s="50"/>
      <c r="M22" s="50"/>
      <c r="N22" s="50"/>
      <c r="O22" s="50"/>
      <c r="P22" s="50"/>
    </row>
    <row r="23" spans="10:16" ht="13.25" customHeight="1" x14ac:dyDescent="0.25">
      <c r="J23" s="50"/>
      <c r="K23" s="50"/>
      <c r="L23" s="50"/>
      <c r="M23" s="50"/>
      <c r="N23" s="50"/>
      <c r="O23" s="50"/>
      <c r="P23" s="50"/>
    </row>
    <row r="24" spans="10:16" ht="13.25" customHeight="1" x14ac:dyDescent="0.25">
      <c r="J24" s="50"/>
      <c r="K24" s="50"/>
      <c r="L24" s="50"/>
      <c r="M24" s="50"/>
      <c r="N24" s="50"/>
      <c r="O24" s="50"/>
      <c r="P24" s="50"/>
    </row>
    <row r="25" spans="10:16" ht="13.25" customHeight="1" x14ac:dyDescent="0.25">
      <c r="J25" s="50"/>
      <c r="K25" s="50"/>
      <c r="L25" s="50"/>
      <c r="M25" s="50"/>
      <c r="N25" s="50"/>
      <c r="O25" s="50"/>
      <c r="P25" s="50"/>
    </row>
    <row r="26" spans="10:16" ht="13.25" customHeight="1" x14ac:dyDescent="0.25">
      <c r="J26" s="50"/>
      <c r="K26" s="50"/>
      <c r="L26" s="50"/>
      <c r="M26" s="50"/>
      <c r="N26" s="50"/>
      <c r="O26" s="50"/>
      <c r="P26" s="50"/>
    </row>
    <row r="27" spans="10:16" ht="13.25" customHeight="1" x14ac:dyDescent="0.25">
      <c r="J27" s="50"/>
      <c r="K27" s="50"/>
      <c r="L27" s="50"/>
      <c r="M27" s="50"/>
      <c r="N27" s="50"/>
      <c r="O27" s="50"/>
      <c r="P27" s="50"/>
    </row>
    <row r="28" spans="10:16" ht="13.25" customHeight="1" x14ac:dyDescent="0.25">
      <c r="J28" s="50"/>
      <c r="K28" s="50"/>
      <c r="L28" s="50"/>
      <c r="M28" s="50"/>
      <c r="N28" s="50"/>
      <c r="O28" s="50"/>
      <c r="P28" s="50"/>
    </row>
    <row r="29" spans="10:16" ht="13.25" customHeight="1" x14ac:dyDescent="0.25">
      <c r="J29" s="50"/>
      <c r="K29" s="50"/>
      <c r="L29" s="50"/>
      <c r="M29" s="50"/>
      <c r="N29" s="50"/>
      <c r="O29" s="50"/>
      <c r="P29" s="50"/>
    </row>
    <row r="30" spans="10:16" ht="13.25" customHeight="1" x14ac:dyDescent="0.25">
      <c r="J30" s="50"/>
      <c r="K30" s="50"/>
      <c r="L30" s="50"/>
      <c r="M30" s="50"/>
      <c r="N30" s="50"/>
      <c r="O30" s="50"/>
      <c r="P30" s="50"/>
    </row>
    <row r="31" spans="10:16" ht="13.25" customHeight="1" x14ac:dyDescent="0.25">
      <c r="J31" s="50"/>
      <c r="K31" s="50"/>
      <c r="L31" s="50"/>
      <c r="M31" s="50"/>
      <c r="N31" s="50"/>
      <c r="O31" s="50"/>
      <c r="P31" s="50"/>
    </row>
    <row r="32" spans="10:16" ht="13.25" customHeight="1" x14ac:dyDescent="0.25">
      <c r="J32" s="50"/>
      <c r="K32" s="50"/>
      <c r="L32" s="50"/>
      <c r="M32" s="50"/>
      <c r="N32" s="50"/>
      <c r="O32" s="50"/>
      <c r="P32" s="50"/>
    </row>
    <row r="33" spans="10:16" ht="13.25" customHeight="1" x14ac:dyDescent="0.25">
      <c r="J33" s="50"/>
      <c r="K33" s="50"/>
      <c r="L33" s="50"/>
      <c r="M33" s="50"/>
      <c r="N33" s="50"/>
      <c r="O33" s="50"/>
      <c r="P33" s="50"/>
    </row>
    <row r="34" spans="10:16" ht="13.25" customHeight="1" x14ac:dyDescent="0.25">
      <c r="J34" s="50"/>
      <c r="K34" s="50"/>
      <c r="L34" s="50"/>
      <c r="M34" s="50"/>
      <c r="N34" s="50"/>
      <c r="O34" s="50"/>
      <c r="P34" s="50"/>
    </row>
  </sheetData>
  <mergeCells count="1">
    <mergeCell ref="J19:P34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70126-B7F2-4CDB-9EC5-CB822FEABABF}">
  <sheetPr>
    <pageSetUpPr fitToPage="1"/>
  </sheetPr>
  <dimension ref="B1:R67"/>
  <sheetViews>
    <sheetView showGridLines="0" zoomScale="76" workbookViewId="0">
      <selection activeCell="C1" sqref="C1"/>
    </sheetView>
  </sheetViews>
  <sheetFormatPr defaultRowHeight="12.5" x14ac:dyDescent="0.25"/>
  <cols>
    <col min="1" max="1" width="8.7265625" style="2"/>
    <col min="2" max="2" width="9.453125" style="2" bestFit="1" customWidth="1"/>
    <col min="3" max="3" width="11.1796875" style="2" bestFit="1" customWidth="1"/>
    <col min="4" max="6" width="8.7265625" style="2"/>
    <col min="7" max="7" width="9.453125" style="2" bestFit="1" customWidth="1"/>
    <col min="8" max="8" width="8.7265625" style="2"/>
    <col min="9" max="9" width="1.90625" style="2" customWidth="1"/>
    <col min="10" max="10" width="2.6328125" style="2" customWidth="1"/>
    <col min="11" max="11" width="8.6328125" style="2" bestFit="1" customWidth="1"/>
    <col min="12" max="12" width="3.6328125" style="2" customWidth="1"/>
    <col min="13" max="13" width="2.6328125" style="2" customWidth="1"/>
    <col min="14" max="15" width="8.7265625" style="2"/>
    <col min="16" max="16" width="2.6328125" style="2" customWidth="1"/>
    <col min="17" max="16384" width="8.7265625" style="2"/>
  </cols>
  <sheetData>
    <row r="1" spans="2:8" ht="29.5" x14ac:dyDescent="0.55000000000000004">
      <c r="C1" s="21" t="s">
        <v>958</v>
      </c>
      <c r="D1" s="21"/>
      <c r="E1" s="21"/>
    </row>
    <row r="2" spans="2:8" ht="13" x14ac:dyDescent="0.3">
      <c r="C2" s="20" t="s">
        <v>934</v>
      </c>
      <c r="D2" s="20"/>
      <c r="E2" s="20"/>
    </row>
    <row r="4" spans="2:8" ht="13" x14ac:dyDescent="0.3">
      <c r="F4" s="20"/>
    </row>
    <row r="5" spans="2:8" ht="15.5" x14ac:dyDescent="0.25">
      <c r="B5" s="51" t="s">
        <v>943</v>
      </c>
      <c r="C5" s="51"/>
      <c r="G5" s="51" t="s">
        <v>942</v>
      </c>
      <c r="H5" s="51"/>
    </row>
    <row r="6" spans="2:8" ht="28" x14ac:dyDescent="0.25">
      <c r="B6" s="53" t="e">
        <f>GETPIVOTDATA("Vol",Forecast!$A$5,"Quarters (Date)",2,"Years (Date)",2025)</f>
        <v>#REF!</v>
      </c>
      <c r="C6" s="53"/>
      <c r="G6" s="52">
        <f>Forecast!$S$50</f>
        <v>50</v>
      </c>
      <c r="H6" s="52"/>
    </row>
    <row r="7" spans="2:8" ht="13" x14ac:dyDescent="0.25">
      <c r="B7" s="24" t="s">
        <v>936</v>
      </c>
      <c r="C7" s="24" t="s">
        <v>937</v>
      </c>
      <c r="G7" s="24" t="s">
        <v>936</v>
      </c>
      <c r="H7" s="24" t="s">
        <v>937</v>
      </c>
    </row>
    <row r="8" spans="2:8" ht="13" x14ac:dyDescent="0.25">
      <c r="B8" s="27" t="e">
        <f>GETPIVOTDATA("Vol",Forecast!$A$5,"Quarters (Date)",2,"Years (Date)",2024)</f>
        <v>#REF!</v>
      </c>
      <c r="C8" s="28">
        <f>Forecast!Q12</f>
        <v>2.6742825536622206E-2</v>
      </c>
      <c r="G8" s="26">
        <f>Forecast!$O$50</f>
        <v>50</v>
      </c>
      <c r="H8" s="25">
        <f>G6/G8-1</f>
        <v>0</v>
      </c>
    </row>
    <row r="9" spans="2:8" ht="13" x14ac:dyDescent="0.25">
      <c r="B9" s="27"/>
      <c r="C9" s="28"/>
      <c r="G9" s="26"/>
      <c r="H9" s="25"/>
    </row>
    <row r="10" spans="2:8" ht="13" x14ac:dyDescent="0.25">
      <c r="B10" s="27"/>
      <c r="C10" s="28"/>
      <c r="G10" s="26"/>
      <c r="H10" s="25"/>
    </row>
    <row r="11" spans="2:8" ht="13" x14ac:dyDescent="0.25">
      <c r="B11" s="36"/>
      <c r="C11" s="37"/>
      <c r="G11" s="38"/>
      <c r="H11" s="38"/>
    </row>
    <row r="12" spans="2:8" ht="13" x14ac:dyDescent="0.25">
      <c r="B12" s="36"/>
      <c r="C12" s="37"/>
      <c r="G12" s="38"/>
      <c r="H12" s="38"/>
    </row>
    <row r="27" spans="2:18" ht="15.5" x14ac:dyDescent="0.35">
      <c r="B27" s="31" t="s">
        <v>906</v>
      </c>
      <c r="C27" s="23"/>
      <c r="D27" s="23"/>
      <c r="E27" s="23"/>
      <c r="F27" s="23"/>
      <c r="G27" s="23"/>
      <c r="H27" s="23"/>
      <c r="K27" s="22" t="s">
        <v>946</v>
      </c>
      <c r="L27" s="22"/>
      <c r="N27" s="22" t="s">
        <v>927</v>
      </c>
      <c r="O27" s="22"/>
      <c r="Q27" s="22" t="s">
        <v>940</v>
      </c>
      <c r="R27" s="22"/>
    </row>
    <row r="28" spans="2:18" ht="13" x14ac:dyDescent="0.3">
      <c r="B28" s="32" t="s">
        <v>938</v>
      </c>
      <c r="C28" s="33" t="s">
        <v>948</v>
      </c>
      <c r="D28" s="33" t="s">
        <v>949</v>
      </c>
      <c r="E28" s="33" t="s">
        <v>950</v>
      </c>
      <c r="F28" s="33" t="s">
        <v>951</v>
      </c>
      <c r="G28" s="33" t="s">
        <v>952</v>
      </c>
      <c r="H28" s="33" t="s">
        <v>953</v>
      </c>
      <c r="K28" s="34" t="s">
        <v>925</v>
      </c>
      <c r="L28" s="34" t="s">
        <v>926</v>
      </c>
      <c r="N28" s="34" t="s">
        <v>925</v>
      </c>
      <c r="O28" s="34" t="s">
        <v>926</v>
      </c>
      <c r="Q28" s="34" t="s">
        <v>925</v>
      </c>
      <c r="R28" s="34" t="s">
        <v>926</v>
      </c>
    </row>
    <row r="29" spans="2:18" ht="13" x14ac:dyDescent="0.3">
      <c r="B29" s="20" t="s">
        <v>897</v>
      </c>
      <c r="C29" s="6">
        <f>SUMIFS(Table2[Vol],Table2[Region Name],$B29,Table2[Quart],C$28)</f>
        <v>509419</v>
      </c>
      <c r="D29" s="6">
        <f>SUMIFS(Table2[Vol],Table2[Region Name],$B29,Table2[Quart],D$28)</f>
        <v>576618</v>
      </c>
      <c r="E29" s="6">
        <f>SUMIFS(Table2[Vol],Table2[Region Name],$B29,Table2[Quart],E$28)</f>
        <v>363694</v>
      </c>
      <c r="F29" s="6">
        <f>SUMIFS(Table2[Vol],Table2[Region Name],$B29,Table2[Quart],F$28)</f>
        <v>432034</v>
      </c>
      <c r="G29" s="6">
        <f>SUMIFS(Table2[Vol],Table2[Region Name],$B29,Table2[Quart],G$28)</f>
        <v>530019</v>
      </c>
      <c r="H29" s="6">
        <f>SUMIFS(Table2[Vol],Table2[Region Name],$B29,Table2[Quart],H$28)</f>
        <v>596502</v>
      </c>
      <c r="K29" s="9">
        <f>G29-C29</f>
        <v>20600</v>
      </c>
      <c r="L29" s="35">
        <f>(G29-C29)/C29</f>
        <v>4.0438224722674262E-2</v>
      </c>
      <c r="N29" s="9">
        <f>H29-D29</f>
        <v>19884</v>
      </c>
      <c r="O29" s="35">
        <f>(H29-D29)/D29</f>
        <v>3.4483835051975484E-2</v>
      </c>
      <c r="Q29" s="9" cm="1">
        <f t="array" ref="Q29">SUM(G29:H29-C29:D29)</f>
        <v>40484</v>
      </c>
      <c r="R29" s="35" cm="1">
        <f t="array" ref="R29">(SUM(G29:H29-C29:D29)/SUM(C29:D29))</f>
        <v>3.7276814694158673E-2</v>
      </c>
    </row>
    <row r="30" spans="2:18" ht="13" x14ac:dyDescent="0.3">
      <c r="B30" s="20" t="s">
        <v>898</v>
      </c>
      <c r="C30" s="6">
        <f>SUMIFS(Table2[Vol],Table2[Region Name],$B30,Table2[Quart],C$28)</f>
        <v>147852</v>
      </c>
      <c r="D30" s="6">
        <f>SUMIFS(Table2[Vol],Table2[Region Name],$B30,Table2[Quart],D$28)</f>
        <v>173566</v>
      </c>
      <c r="E30" s="6">
        <f>SUMIFS(Table2[Vol],Table2[Region Name],$B30,Table2[Quart],E$28)</f>
        <v>103536</v>
      </c>
      <c r="F30" s="6">
        <f>SUMIFS(Table2[Vol],Table2[Region Name],$B30,Table2[Quart],F$28)</f>
        <v>129264</v>
      </c>
      <c r="G30" s="6">
        <f>SUMIFS(Table2[Vol],Table2[Region Name],$B30,Table2[Quart],G$28)</f>
        <v>150204</v>
      </c>
      <c r="H30" s="6">
        <f>SUMIFS(Table2[Vol],Table2[Region Name],$B30,Table2[Quart],H$28)</f>
        <v>176338</v>
      </c>
      <c r="K30" s="9">
        <f t="shared" ref="K30:K32" si="0">G30-C30</f>
        <v>2352</v>
      </c>
      <c r="L30" s="35">
        <f t="shared" ref="L30:L33" si="1">(G30-C30)/C30</f>
        <v>1.5907799691583475E-2</v>
      </c>
      <c r="N30" s="9">
        <f>H30-D30</f>
        <v>2772</v>
      </c>
      <c r="O30" s="35">
        <f>(H30-D30)/D30</f>
        <v>1.5970869870827235E-2</v>
      </c>
      <c r="Q30" s="9" cm="1">
        <f t="array" ref="Q30">SUM(G30:H30-C30:D30)</f>
        <v>5124</v>
      </c>
      <c r="R30" s="35" cm="1">
        <f t="array" ref="R30">(SUM(G30:H30-C30:D30)/SUM(C30:D30))</f>
        <v>1.5941857643318048E-2</v>
      </c>
    </row>
    <row r="31" spans="2:18" ht="13" x14ac:dyDescent="0.3">
      <c r="B31" s="20" t="s">
        <v>907</v>
      </c>
      <c r="C31" s="6">
        <f>SUMIFS(Table2[Vol],Table2[Region Name],$B31,Table2[Quart],C$28)</f>
        <v>95736</v>
      </c>
      <c r="D31" s="6">
        <f>SUMIFS(Table2[Vol],Table2[Region Name],$B31,Table2[Quart],D$28)</f>
        <v>107338</v>
      </c>
      <c r="E31" s="6">
        <f>SUMIFS(Table2[Vol],Table2[Region Name],$B31,Table2[Quart],E$28)</f>
        <v>69198</v>
      </c>
      <c r="F31" s="6">
        <f>SUMIFS(Table2[Vol],Table2[Region Name],$B31,Table2[Quart],F$28)</f>
        <v>80144</v>
      </c>
      <c r="G31" s="6">
        <f>SUMIFS(Table2[Vol],Table2[Region Name],$B31,Table2[Quart],G$28)</f>
        <v>99778</v>
      </c>
      <c r="H31" s="6">
        <f>SUMIFS(Table2[Vol],Table2[Region Name],$B31,Table2[Quart],H$28)</f>
        <v>109811</v>
      </c>
      <c r="K31" s="9">
        <f t="shared" si="0"/>
        <v>4042</v>
      </c>
      <c r="L31" s="35">
        <f t="shared" si="1"/>
        <v>4.2220272415810146E-2</v>
      </c>
      <c r="N31" s="9">
        <f>H31-D31</f>
        <v>2473</v>
      </c>
      <c r="O31" s="35">
        <f>(H31-D31)/D31</f>
        <v>2.3039370959026625E-2</v>
      </c>
      <c r="Q31" s="9" cm="1">
        <f t="array" ref="Q31">SUM(G31:H31-C31:D31)</f>
        <v>6515</v>
      </c>
      <c r="R31" s="35" cm="1">
        <f t="array" ref="R31">(SUM(G31:H31-C31:D31)/SUM(C31:D31))</f>
        <v>3.2081901178880608E-2</v>
      </c>
    </row>
    <row r="32" spans="2:18" ht="13" x14ac:dyDescent="0.3">
      <c r="B32" s="20" t="s">
        <v>909</v>
      </c>
      <c r="C32" s="6">
        <f>SUMIFS(Table2[Vol],Table2[Region Name],$B32,Table2[Quart],C$28)</f>
        <v>69053</v>
      </c>
      <c r="D32" s="6">
        <f>SUMIFS(Table2[Vol],Table2[Region Name],$B32,Table2[Quart],D$28)</f>
        <v>82618</v>
      </c>
      <c r="E32" s="6">
        <f>SUMIFS(Table2[Vol],Table2[Region Name],$B32,Table2[Quart],E$28)</f>
        <v>50574</v>
      </c>
      <c r="F32" s="6">
        <f>SUMIFS(Table2[Vol],Table2[Region Name],$B32,Table2[Quart],F$28)</f>
        <v>65121</v>
      </c>
      <c r="G32" s="6">
        <f>SUMIFS(Table2[Vol],Table2[Region Name],$B32,Table2[Quart],G$28)</f>
        <v>75265</v>
      </c>
      <c r="H32" s="6">
        <f>SUMIFS(Table2[Vol],Table2[Region Name],$B32,Table2[Quart],H$28)</f>
        <v>82631</v>
      </c>
      <c r="K32" s="9">
        <f t="shared" si="0"/>
        <v>6212</v>
      </c>
      <c r="L32" s="35">
        <f t="shared" si="1"/>
        <v>8.9959885884755189E-2</v>
      </c>
      <c r="N32" s="9">
        <f>H32-D32</f>
        <v>13</v>
      </c>
      <c r="O32" s="35">
        <f>(H32-D32)/D32</f>
        <v>1.5735069839502289E-4</v>
      </c>
      <c r="Q32" s="9" cm="1">
        <f t="array" ref="Q32">SUM(G32:H32-C32:D32)</f>
        <v>6225</v>
      </c>
      <c r="R32" s="35" cm="1">
        <f t="array" ref="R32">(SUM(G32:H32-C32:D32)/SUM(C32:D32))</f>
        <v>4.1042783393001957E-2</v>
      </c>
    </row>
    <row r="33" spans="2:18" ht="13" x14ac:dyDescent="0.3">
      <c r="B33" s="29" t="s">
        <v>939</v>
      </c>
      <c r="C33" s="30">
        <f>SUM(C29:C32)</f>
        <v>822060</v>
      </c>
      <c r="D33" s="30">
        <f t="shared" ref="D33:H33" si="2">SUM(D29:D32)</f>
        <v>940140</v>
      </c>
      <c r="E33" s="30">
        <f t="shared" si="2"/>
        <v>587002</v>
      </c>
      <c r="F33" s="30">
        <f t="shared" si="2"/>
        <v>706563</v>
      </c>
      <c r="G33" s="30">
        <f t="shared" si="2"/>
        <v>855266</v>
      </c>
      <c r="H33" s="30">
        <f t="shared" si="2"/>
        <v>965282</v>
      </c>
      <c r="K33" s="30">
        <f>SUM(K29:K32)</f>
        <v>33206</v>
      </c>
      <c r="L33" s="35">
        <f t="shared" si="1"/>
        <v>4.0393645232708074E-2</v>
      </c>
      <c r="N33" s="30">
        <f>H33-D33</f>
        <v>25142</v>
      </c>
      <c r="O33" s="40">
        <f>(H33-D33)/D33</f>
        <v>2.6742825536622206E-2</v>
      </c>
      <c r="Q33" s="30">
        <f>SUM(Q29:Q32)</f>
        <v>58348</v>
      </c>
      <c r="R33" s="35" cm="1">
        <f t="array" ref="R33">(SUM(G33:H33-C33:D33)/SUM(C33:D33))</f>
        <v>3.3110884122120078E-2</v>
      </c>
    </row>
    <row r="35" spans="2:18" ht="15.5" x14ac:dyDescent="0.35">
      <c r="B35" s="31" t="s">
        <v>935</v>
      </c>
      <c r="C35" s="23"/>
      <c r="D35" s="23"/>
      <c r="E35" s="23"/>
      <c r="F35" s="23"/>
      <c r="G35" s="23"/>
      <c r="H35" s="23"/>
      <c r="K35" s="22" t="s">
        <v>927</v>
      </c>
      <c r="L35" s="22"/>
      <c r="N35" s="22" t="s">
        <v>927</v>
      </c>
      <c r="O35" s="22"/>
      <c r="Q35" s="22" t="s">
        <v>940</v>
      </c>
      <c r="R35" s="22"/>
    </row>
    <row r="36" spans="2:18" ht="13" x14ac:dyDescent="0.3">
      <c r="B36" s="32" t="s">
        <v>938</v>
      </c>
      <c r="C36" s="33" t="s">
        <v>948</v>
      </c>
      <c r="D36" s="33" t="s">
        <v>949</v>
      </c>
      <c r="E36" s="33" t="s">
        <v>950</v>
      </c>
      <c r="F36" s="33" t="s">
        <v>951</v>
      </c>
      <c r="G36" s="33" t="s">
        <v>952</v>
      </c>
      <c r="H36" s="33" t="s">
        <v>953</v>
      </c>
      <c r="K36" s="34" t="s">
        <v>925</v>
      </c>
      <c r="L36" s="34" t="s">
        <v>926</v>
      </c>
      <c r="N36" s="34" t="s">
        <v>925</v>
      </c>
      <c r="O36" s="34" t="s">
        <v>926</v>
      </c>
      <c r="Q36" s="34" t="s">
        <v>925</v>
      </c>
      <c r="R36" s="34" t="s">
        <v>926</v>
      </c>
    </row>
    <row r="37" spans="2:18" ht="13" x14ac:dyDescent="0.3">
      <c r="B37" s="20" t="s">
        <v>897</v>
      </c>
      <c r="C37" s="6">
        <f>ROUNDUP(COUNTIFS(Table2[Region Name],$B37,Table2[Quart],C$36)/3,0)</f>
        <v>18</v>
      </c>
      <c r="D37" s="6">
        <f>ROUNDUP(COUNTIFS(Table2[Region Name],$B37,Table2[Quart],D$36)/3,0)</f>
        <v>19</v>
      </c>
      <c r="E37" s="6">
        <f>ROUNDUP(COUNTIFS(Table2[Region Name],$B37,Table2[Quart],E$36)/3,0)</f>
        <v>19</v>
      </c>
      <c r="F37" s="6">
        <f>ROUNDUP(COUNTIFS(Table2[Region Name],$B37,Table2[Quart],F$36)/3,0)</f>
        <v>20</v>
      </c>
      <c r="G37" s="6">
        <f>ROUNDUP(COUNTIFS(Table2[Region Name],$B37,Table2[Quart],G$36)/3,0)</f>
        <v>20</v>
      </c>
      <c r="H37" s="6">
        <f>ROUNDUP(COUNTIFS(Table2[Region Name],$B37,Table2[Quart],H$36)/3,0)</f>
        <v>20</v>
      </c>
      <c r="K37" s="9">
        <f>G37-C37</f>
        <v>2</v>
      </c>
      <c r="L37" s="41">
        <f>(G37-C37)/C37</f>
        <v>0.1111111111111111</v>
      </c>
      <c r="N37" s="9">
        <f>H37-D37</f>
        <v>1</v>
      </c>
      <c r="O37" s="35">
        <f>(H37-D37)/D37</f>
        <v>5.2631578947368418E-2</v>
      </c>
      <c r="Q37" s="9" cm="1">
        <f t="array" ref="Q37">SUM(G37:H37-C37:D37)</f>
        <v>3</v>
      </c>
      <c r="R37" s="35" cm="1">
        <f t="array" ref="R37">(SUM(G37:H37-C37:D37)/SUM(C37:D37))</f>
        <v>8.1081081081081086E-2</v>
      </c>
    </row>
    <row r="38" spans="2:18" ht="13" x14ac:dyDescent="0.3">
      <c r="B38" s="20" t="s">
        <v>898</v>
      </c>
      <c r="C38" s="6">
        <f>ROUNDUP(COUNTIFS(Table2[Region Name],$B38,Table2[Quart],C$36)/3,0)</f>
        <v>8</v>
      </c>
      <c r="D38" s="6">
        <f>ROUNDUP(COUNTIFS(Table2[Region Name],$B38,Table2[Quart],D$36)/3,0)</f>
        <v>8</v>
      </c>
      <c r="E38" s="6">
        <f>ROUNDUP(COUNTIFS(Table2[Region Name],$B38,Table2[Quart],E$36)/3,0)</f>
        <v>8</v>
      </c>
      <c r="F38" s="6">
        <f>ROUNDUP(COUNTIFS(Table2[Region Name],$B38,Table2[Quart],F$36)/3,0)</f>
        <v>8</v>
      </c>
      <c r="G38" s="6">
        <f>ROUNDUP(COUNTIFS(Table2[Region Name],$B38,Table2[Quart],G$36)/3,0)</f>
        <v>8</v>
      </c>
      <c r="H38" s="6">
        <f>ROUNDUP(COUNTIFS(Table2[Region Name],$B38,Table2[Quart],H$36)/3,0)</f>
        <v>8</v>
      </c>
      <c r="K38" s="9">
        <f t="shared" ref="K38:K41" si="3">G38-C38</f>
        <v>0</v>
      </c>
      <c r="L38" s="41">
        <f t="shared" ref="L38:L41" si="4">(G38-C38)/C38</f>
        <v>0</v>
      </c>
      <c r="N38" s="9">
        <f>H38-D38</f>
        <v>0</v>
      </c>
      <c r="O38" s="35">
        <f>(H38-D38)/D38</f>
        <v>0</v>
      </c>
      <c r="Q38" s="9" cm="1">
        <f t="array" ref="Q38">SUM(G38:H38-C38:D38)</f>
        <v>0</v>
      </c>
      <c r="R38" s="35" cm="1">
        <f t="array" ref="R38">(SUM(G38:H38-C38:D38)/SUM(C38:D38))</f>
        <v>0</v>
      </c>
    </row>
    <row r="39" spans="2:18" ht="13" x14ac:dyDescent="0.3">
      <c r="B39" s="20" t="s">
        <v>907</v>
      </c>
      <c r="C39" s="6">
        <f>ROUNDUP(COUNTIFS(Table2[Region Name],$B39,Table2[Quart],C$36)/3,0)</f>
        <v>13</v>
      </c>
      <c r="D39" s="6">
        <f>ROUNDUP(COUNTIFS(Table2[Region Name],$B39,Table2[Quart],D$36)/3,0)</f>
        <v>13</v>
      </c>
      <c r="E39" s="6">
        <f>ROUNDUP(COUNTIFS(Table2[Region Name],$B39,Table2[Quart],E$36)/3,0)</f>
        <v>14</v>
      </c>
      <c r="F39" s="6">
        <f>ROUNDUP(COUNTIFS(Table2[Region Name],$B39,Table2[Quart],F$36)/3,0)</f>
        <v>14</v>
      </c>
      <c r="G39" s="6">
        <f>ROUNDUP(COUNTIFS(Table2[Region Name],$B39,Table2[Quart],G$36)/3,0)</f>
        <v>14</v>
      </c>
      <c r="H39" s="6">
        <f>ROUNDUP(COUNTIFS(Table2[Region Name],$B39,Table2[Quart],H$36)/3,0)</f>
        <v>13</v>
      </c>
      <c r="K39" s="9">
        <f t="shared" si="3"/>
        <v>1</v>
      </c>
      <c r="L39" s="41">
        <f t="shared" si="4"/>
        <v>7.6923076923076927E-2</v>
      </c>
      <c r="N39" s="9">
        <f>H39-D39</f>
        <v>0</v>
      </c>
      <c r="O39" s="35">
        <f>(H39-D39)/D39</f>
        <v>0</v>
      </c>
      <c r="Q39" s="9" cm="1">
        <f t="array" ref="Q39">SUM(G39:H39-C39:D39)</f>
        <v>1</v>
      </c>
      <c r="R39" s="35" cm="1">
        <f t="array" ref="R39">(SUM(G39:H39-C39:D39)/SUM(C39:D39))</f>
        <v>3.8461538461538464E-2</v>
      </c>
    </row>
    <row r="40" spans="2:18" ht="13" x14ac:dyDescent="0.3">
      <c r="B40" s="20" t="s">
        <v>909</v>
      </c>
      <c r="C40" s="6">
        <f>ROUNDUP(COUNTIFS(Table2[Region Name],$B40,Table2[Quart],C$36)/3,0)</f>
        <v>10</v>
      </c>
      <c r="D40" s="6">
        <f>ROUNDUP(COUNTIFS(Table2[Region Name],$B40,Table2[Quart],D$36)/3,0)</f>
        <v>10</v>
      </c>
      <c r="E40" s="6">
        <f>ROUNDUP(COUNTIFS(Table2[Region Name],$B40,Table2[Quart],E$36)/3,0)</f>
        <v>11</v>
      </c>
      <c r="F40" s="6">
        <f>ROUNDUP(COUNTIFS(Table2[Region Name],$B40,Table2[Quart],F$36)/3,0)</f>
        <v>11</v>
      </c>
      <c r="G40" s="6">
        <f>ROUNDUP(COUNTIFS(Table2[Region Name],$B40,Table2[Quart],G$36)/3,0)</f>
        <v>11</v>
      </c>
      <c r="H40" s="6">
        <f>ROUNDUP(COUNTIFS(Table2[Region Name],$B40,Table2[Quart],H$36)/3,0)</f>
        <v>9</v>
      </c>
      <c r="K40" s="9">
        <f t="shared" si="3"/>
        <v>1</v>
      </c>
      <c r="L40" s="41">
        <f t="shared" si="4"/>
        <v>0.1</v>
      </c>
      <c r="N40" s="9">
        <f>H40-D40</f>
        <v>-1</v>
      </c>
      <c r="O40" s="35">
        <f>(H40-D40)/D40</f>
        <v>-0.1</v>
      </c>
      <c r="Q40" s="9" cm="1">
        <f t="array" ref="Q40">SUM(G40:H40-C40:D40)</f>
        <v>0</v>
      </c>
      <c r="R40" s="35" cm="1">
        <f t="array" ref="R40">(SUM(G40:H40-C40:D40)/SUM(C40:D40))</f>
        <v>0</v>
      </c>
    </row>
    <row r="41" spans="2:18" ht="13" x14ac:dyDescent="0.3">
      <c r="B41" s="29" t="s">
        <v>939</v>
      </c>
      <c r="C41" s="30">
        <f>SUM(C37:C40)</f>
        <v>49</v>
      </c>
      <c r="D41" s="30">
        <f t="shared" ref="D41" si="5">SUM(D37:D40)</f>
        <v>50</v>
      </c>
      <c r="E41" s="30">
        <f t="shared" ref="E41" si="6">SUM(E37:E40)</f>
        <v>52</v>
      </c>
      <c r="F41" s="30">
        <f t="shared" ref="F41" si="7">SUM(F37:F40)</f>
        <v>53</v>
      </c>
      <c r="G41" s="30">
        <f t="shared" ref="G41" si="8">SUM(G37:G40)</f>
        <v>53</v>
      </c>
      <c r="H41" s="30">
        <f t="shared" ref="H41" si="9">SUM(H37:H40)</f>
        <v>50</v>
      </c>
      <c r="K41" s="9">
        <f t="shared" si="3"/>
        <v>4</v>
      </c>
      <c r="L41" s="41">
        <f t="shared" si="4"/>
        <v>8.1632653061224483E-2</v>
      </c>
      <c r="N41" s="30">
        <f>H41-D41</f>
        <v>0</v>
      </c>
      <c r="O41" s="40">
        <f>(H41-D41)/D41</f>
        <v>0</v>
      </c>
      <c r="Q41" s="30">
        <f>SUM(Q37:Q40)</f>
        <v>4</v>
      </c>
      <c r="R41" s="35" cm="1">
        <f t="array" ref="R41">(SUM(G41:H41-C41:D41)/SUM(C41:D41))</f>
        <v>4.0404040404040407E-2</v>
      </c>
    </row>
    <row r="44" spans="2:18" ht="15.5" x14ac:dyDescent="0.35">
      <c r="B44" s="31" t="s">
        <v>941</v>
      </c>
      <c r="C44" s="23"/>
      <c r="D44" s="23"/>
      <c r="E44" s="23"/>
      <c r="F44" s="23"/>
      <c r="G44" s="23"/>
      <c r="H44" s="23"/>
      <c r="K44" s="22" t="s">
        <v>927</v>
      </c>
      <c r="L44" s="22"/>
      <c r="N44" s="22" t="s">
        <v>927</v>
      </c>
      <c r="O44" s="22"/>
      <c r="Q44" s="22" t="s">
        <v>940</v>
      </c>
      <c r="R44" s="22"/>
    </row>
    <row r="45" spans="2:18" ht="13" x14ac:dyDescent="0.3">
      <c r="B45" s="32" t="s">
        <v>938</v>
      </c>
      <c r="C45" s="33" t="s">
        <v>948</v>
      </c>
      <c r="D45" s="33" t="s">
        <v>949</v>
      </c>
      <c r="E45" s="33" t="s">
        <v>950</v>
      </c>
      <c r="F45" s="33" t="s">
        <v>951</v>
      </c>
      <c r="G45" s="33" t="s">
        <v>952</v>
      </c>
      <c r="H45" s="33" t="s">
        <v>953</v>
      </c>
      <c r="K45" s="34" t="s">
        <v>925</v>
      </c>
      <c r="L45" s="34" t="s">
        <v>926</v>
      </c>
      <c r="N45" s="34" t="s">
        <v>925</v>
      </c>
      <c r="O45" s="34" t="s">
        <v>926</v>
      </c>
      <c r="Q45" s="34" t="s">
        <v>925</v>
      </c>
      <c r="R45" s="34" t="s">
        <v>926</v>
      </c>
    </row>
    <row r="46" spans="2:18" ht="13" x14ac:dyDescent="0.3">
      <c r="B46" s="20" t="s">
        <v>897</v>
      </c>
      <c r="C46" s="6">
        <f>C29/C37</f>
        <v>28301.055555555555</v>
      </c>
      <c r="D46" s="6">
        <f t="shared" ref="D46:H46" si="10">D29/D37</f>
        <v>30348.315789473683</v>
      </c>
      <c r="E46" s="6">
        <f t="shared" si="10"/>
        <v>19141.78947368421</v>
      </c>
      <c r="F46" s="6">
        <f t="shared" si="10"/>
        <v>21601.7</v>
      </c>
      <c r="G46" s="6">
        <f t="shared" si="10"/>
        <v>26500.95</v>
      </c>
      <c r="H46" s="6">
        <f t="shared" si="10"/>
        <v>29825.1</v>
      </c>
      <c r="K46" s="9">
        <f>G46-C46</f>
        <v>-1800.105555555554</v>
      </c>
      <c r="L46" s="35">
        <f>(G46-C46)/C46</f>
        <v>-6.360559774959311E-2</v>
      </c>
      <c r="N46" s="9">
        <f>H46-D46</f>
        <v>-523.21578947368471</v>
      </c>
      <c r="O46" s="35">
        <f>(H46-D46)/D46</f>
        <v>-1.7240356700623308E-2</v>
      </c>
      <c r="Q46" s="9" cm="1">
        <f t="array" ref="Q46">SUM(G46:H46-C46:D46)</f>
        <v>-2323.3213450292387</v>
      </c>
      <c r="R46" s="35" cm="1">
        <f t="array" ref="R46">(SUM(G46:H46-C46:D46)/SUM(C46:D46))</f>
        <v>-3.9613746775925995E-2</v>
      </c>
    </row>
    <row r="47" spans="2:18" ht="13" x14ac:dyDescent="0.3">
      <c r="B47" s="20" t="s">
        <v>898</v>
      </c>
      <c r="C47" s="6">
        <f t="shared" ref="C47:H47" si="11">C30/C38</f>
        <v>18481.5</v>
      </c>
      <c r="D47" s="6">
        <f t="shared" si="11"/>
        <v>21695.75</v>
      </c>
      <c r="E47" s="6">
        <f t="shared" si="11"/>
        <v>12942</v>
      </c>
      <c r="F47" s="6">
        <f t="shared" si="11"/>
        <v>16158</v>
      </c>
      <c r="G47" s="6">
        <f t="shared" si="11"/>
        <v>18775.5</v>
      </c>
      <c r="H47" s="6">
        <f t="shared" si="11"/>
        <v>22042.25</v>
      </c>
      <c r="K47" s="9">
        <f t="shared" ref="K47:K50" si="12">G47-C47</f>
        <v>294</v>
      </c>
      <c r="L47" s="35">
        <f t="shared" ref="L47:L50" si="13">(G47-C47)/C47</f>
        <v>1.5907799691583475E-2</v>
      </c>
      <c r="N47" s="9">
        <f>H47-D47</f>
        <v>346.5</v>
      </c>
      <c r="O47" s="35">
        <f>(H47-D47)/D47</f>
        <v>1.5970869870827235E-2</v>
      </c>
      <c r="Q47" s="9" cm="1">
        <f t="array" ref="Q47">SUM(G47:H47-C47:D47)</f>
        <v>640.5</v>
      </c>
      <c r="R47" s="35" cm="1">
        <f t="array" ref="R47">(SUM(G47:H47-C47:D47)/SUM(C47:D47))</f>
        <v>1.5941857643318048E-2</v>
      </c>
    </row>
    <row r="48" spans="2:18" ht="13" x14ac:dyDescent="0.3">
      <c r="B48" s="20" t="s">
        <v>907</v>
      </c>
      <c r="C48" s="6">
        <f t="shared" ref="C48:H48" si="14">C31/C39</f>
        <v>7364.3076923076924</v>
      </c>
      <c r="D48" s="6">
        <f t="shared" si="14"/>
        <v>8256.7692307692305</v>
      </c>
      <c r="E48" s="6">
        <f t="shared" si="14"/>
        <v>4942.7142857142853</v>
      </c>
      <c r="F48" s="6">
        <f t="shared" si="14"/>
        <v>5724.5714285714284</v>
      </c>
      <c r="G48" s="6">
        <f t="shared" si="14"/>
        <v>7127</v>
      </c>
      <c r="H48" s="6">
        <f t="shared" si="14"/>
        <v>8447</v>
      </c>
      <c r="K48" s="9">
        <f t="shared" si="12"/>
        <v>-237.30769230769238</v>
      </c>
      <c r="L48" s="35">
        <f t="shared" si="13"/>
        <v>-3.2224032756747734E-2</v>
      </c>
      <c r="N48" s="9">
        <f>H48-D48</f>
        <v>190.23076923076951</v>
      </c>
      <c r="O48" s="35">
        <f>(H48-D48)/D48</f>
        <v>2.303937095902666E-2</v>
      </c>
      <c r="Q48" s="9" cm="1">
        <f t="array" ref="Q48">SUM(G48:H48-C48:D48)</f>
        <v>-47.076923076922867</v>
      </c>
      <c r="R48" s="35" cm="1">
        <f t="array" ref="R48">(SUM(G48:H48-C48:D48)/SUM(C48:D48))</f>
        <v>-3.0136797423599149E-3</v>
      </c>
    </row>
    <row r="49" spans="2:18" ht="13" x14ac:dyDescent="0.3">
      <c r="B49" s="20" t="s">
        <v>909</v>
      </c>
      <c r="C49" s="6">
        <f t="shared" ref="C49:H49" si="15">C32/C40</f>
        <v>6905.3</v>
      </c>
      <c r="D49" s="6">
        <f t="shared" si="15"/>
        <v>8261.7999999999993</v>
      </c>
      <c r="E49" s="6">
        <f t="shared" si="15"/>
        <v>4597.636363636364</v>
      </c>
      <c r="F49" s="6">
        <f t="shared" si="15"/>
        <v>5920.090909090909</v>
      </c>
      <c r="G49" s="6">
        <f t="shared" si="15"/>
        <v>6842.272727272727</v>
      </c>
      <c r="H49" s="6">
        <f t="shared" si="15"/>
        <v>9181.2222222222226</v>
      </c>
      <c r="K49" s="9">
        <f t="shared" si="12"/>
        <v>-63.027272727273157</v>
      </c>
      <c r="L49" s="35">
        <f t="shared" si="13"/>
        <v>-9.1273764684044363E-3</v>
      </c>
      <c r="N49" s="9">
        <f>H49-D49</f>
        <v>919.42222222222335</v>
      </c>
      <c r="O49" s="35">
        <f>(H49-D49)/D49</f>
        <v>0.11128594522043907</v>
      </c>
      <c r="Q49" s="9" cm="1">
        <f t="array" ref="Q49">SUM(G49:H49-C49:D49)</f>
        <v>856.3949494949502</v>
      </c>
      <c r="R49" s="35" cm="1">
        <f t="array" ref="R49">(SUM(G49:H49-C49:D49)/SUM(C49:D49))</f>
        <v>5.6463987808806577E-2</v>
      </c>
    </row>
    <row r="50" spans="2:18" ht="13" x14ac:dyDescent="0.3">
      <c r="B50" s="29" t="s">
        <v>939</v>
      </c>
      <c r="C50" s="30">
        <f t="shared" ref="C50:H50" si="16">C33/C41</f>
        <v>16776.734693877552</v>
      </c>
      <c r="D50" s="30">
        <f t="shared" si="16"/>
        <v>18802.8</v>
      </c>
      <c r="E50" s="30">
        <f t="shared" si="16"/>
        <v>11288.5</v>
      </c>
      <c r="F50" s="30">
        <f t="shared" si="16"/>
        <v>13331.377358490567</v>
      </c>
      <c r="G50" s="30">
        <f t="shared" si="16"/>
        <v>16137.094339622641</v>
      </c>
      <c r="H50" s="30">
        <f t="shared" si="16"/>
        <v>19305.64</v>
      </c>
      <c r="K50" s="9">
        <f t="shared" si="12"/>
        <v>-639.64035425491056</v>
      </c>
      <c r="L50" s="35">
        <f t="shared" si="13"/>
        <v>-3.8126629879194483E-2</v>
      </c>
      <c r="N50" s="30">
        <f>H50-D50</f>
        <v>502.84000000000015</v>
      </c>
      <c r="O50" s="40">
        <f>(H50-D50)/D50</f>
        <v>2.6742825536622213E-2</v>
      </c>
      <c r="Q50" s="30">
        <f>SUM(Q46:Q49)</f>
        <v>-873.5033186112114</v>
      </c>
      <c r="R50" s="35" cm="1">
        <f t="array" ref="R50">(SUM(G50:H50-C50:D50)/SUM(C50:D50))</f>
        <v>-3.8449169004576875E-3</v>
      </c>
    </row>
    <row r="54" spans="2:18" ht="13" x14ac:dyDescent="0.3">
      <c r="C54" s="20" t="s">
        <v>944</v>
      </c>
    </row>
    <row r="55" spans="2:18" x14ac:dyDescent="0.25">
      <c r="C55" s="7" t="s">
        <v>945</v>
      </c>
    </row>
    <row r="56" spans="2:18" x14ac:dyDescent="0.25">
      <c r="C56" s="39" t="s">
        <v>947</v>
      </c>
    </row>
    <row r="57" spans="2:18" x14ac:dyDescent="0.25">
      <c r="C57" s="7" t="s">
        <v>959</v>
      </c>
    </row>
    <row r="62" spans="2:18" x14ac:dyDescent="0.25">
      <c r="C62" s="7"/>
    </row>
    <row r="63" spans="2:18" x14ac:dyDescent="0.25">
      <c r="C63" s="7"/>
    </row>
    <row r="65" spans="3:3" x14ac:dyDescent="0.25">
      <c r="C65" s="7"/>
    </row>
    <row r="67" spans="3:3" x14ac:dyDescent="0.25">
      <c r="C67" s="7"/>
    </row>
  </sheetData>
  <sortState xmlns:xlrd2="http://schemas.microsoft.com/office/spreadsheetml/2017/richdata2" ref="N29:O33">
    <sortCondition ref="O29:O33"/>
  </sortState>
  <mergeCells count="4">
    <mergeCell ref="G5:H5"/>
    <mergeCell ref="G6:H6"/>
    <mergeCell ref="B5:C5"/>
    <mergeCell ref="B6:C6"/>
  </mergeCells>
  <printOptions horizontalCentered="1"/>
  <pageMargins left="0.25" right="0.25" top="0.75" bottom="0.75" header="0.3" footer="0.3"/>
  <pageSetup scale="74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1" id="{7709C8DA-1BBC-4C4E-B802-97E5F4270875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C8:C12</xm:sqref>
        </x14:conditionalFormatting>
        <x14:conditionalFormatting xmlns:xm="http://schemas.microsoft.com/office/excel/2006/main">
          <x14:cfRule type="iconSet" priority="12" id="{E4E7DA69-A445-4329-86B8-938DED36F898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H8:H10</xm:sqref>
        </x14:conditionalFormatting>
        <x14:conditionalFormatting xmlns:xm="http://schemas.microsoft.com/office/excel/2006/main">
          <x14:cfRule type="iconSet" priority="4" id="{D543CD43-E5BA-4547-B7A2-B4F78DD93527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L29:L33</xm:sqref>
        </x14:conditionalFormatting>
        <x14:conditionalFormatting xmlns:xm="http://schemas.microsoft.com/office/excel/2006/main">
          <x14:cfRule type="iconSet" priority="1" id="{428CA046-3F2E-40D6-8AB0-A5F686B57ECA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L37:L41</xm:sqref>
        </x14:conditionalFormatting>
        <x14:conditionalFormatting xmlns:xm="http://schemas.microsoft.com/office/excel/2006/main">
          <x14:cfRule type="iconSet" priority="2" id="{56B80D8D-3040-4096-A90F-819E99215475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L46:L50</xm:sqref>
        </x14:conditionalFormatting>
        <x14:conditionalFormatting xmlns:xm="http://schemas.microsoft.com/office/excel/2006/main">
          <x14:cfRule type="iconSet" priority="10" id="{88EC8CEC-98DA-4FDE-BDD4-264D3F4EB58F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O29:O33</xm:sqref>
        </x14:conditionalFormatting>
        <x14:conditionalFormatting xmlns:xm="http://schemas.microsoft.com/office/excel/2006/main">
          <x14:cfRule type="iconSet" priority="8" id="{C145C8C4-E4E3-4F61-BB56-890106CB9471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O37:O41</xm:sqref>
        </x14:conditionalFormatting>
        <x14:conditionalFormatting xmlns:xm="http://schemas.microsoft.com/office/excel/2006/main">
          <x14:cfRule type="iconSet" priority="6" id="{35D8A182-34BD-4075-A9B7-EBF4A844F7B3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O46:O50</xm:sqref>
        </x14:conditionalFormatting>
        <x14:conditionalFormatting xmlns:xm="http://schemas.microsoft.com/office/excel/2006/main">
          <x14:cfRule type="iconSet" priority="9" id="{A2E72AD7-A9EE-4082-8B11-4A47A4F16631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R29:R33</xm:sqref>
        </x14:conditionalFormatting>
        <x14:conditionalFormatting xmlns:xm="http://schemas.microsoft.com/office/excel/2006/main">
          <x14:cfRule type="iconSet" priority="7" id="{6E2B8C1A-7B6C-4CEC-AE3A-88C9D5656EDF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R37:R41</xm:sqref>
        </x14:conditionalFormatting>
        <x14:conditionalFormatting xmlns:xm="http://schemas.microsoft.com/office/excel/2006/main">
          <x14:cfRule type="iconSet" priority="5" id="{70E1FFA8-A590-4037-A016-AB17B9F8AB8B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R46:R50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49E17-331D-4E38-B0CE-313E883D6DCA}">
  <dimension ref="A1:AE78"/>
  <sheetViews>
    <sheetView zoomScale="65" workbookViewId="0">
      <selection activeCell="D28" sqref="D28"/>
    </sheetView>
  </sheetViews>
  <sheetFormatPr defaultRowHeight="12.5" x14ac:dyDescent="0.25"/>
  <cols>
    <col min="1" max="1" width="13" bestFit="1" customWidth="1"/>
    <col min="2" max="2" width="8.7265625" bestFit="1" customWidth="1"/>
    <col min="3" max="6" width="16.6328125" bestFit="1" customWidth="1"/>
    <col min="7" max="7" width="17.1796875" bestFit="1" customWidth="1"/>
    <col min="8" max="8" width="16.6328125" bestFit="1" customWidth="1"/>
    <col min="9" max="9" width="14.54296875" bestFit="1" customWidth="1"/>
    <col min="10" max="11" width="17.1796875" bestFit="1" customWidth="1"/>
    <col min="12" max="12" width="10.08984375" bestFit="1" customWidth="1"/>
    <col min="13" max="13" width="9.1796875" bestFit="1" customWidth="1"/>
    <col min="14" max="14" width="12.26953125" bestFit="1" customWidth="1"/>
    <col min="15" max="15" width="8.6328125" customWidth="1"/>
    <col min="16" max="16" width="11.08984375" bestFit="1" customWidth="1"/>
    <col min="17" max="17" width="10" bestFit="1" customWidth="1"/>
    <col min="18" max="18" width="11.36328125" bestFit="1" customWidth="1"/>
    <col min="19" max="19" width="15.453125" bestFit="1" customWidth="1"/>
    <col min="20" max="21" width="13.453125" bestFit="1" customWidth="1"/>
    <col min="22" max="22" width="14" bestFit="1" customWidth="1"/>
    <col min="23" max="23" width="16.6328125" bestFit="1" customWidth="1"/>
    <col min="24" max="25" width="14.54296875" bestFit="1" customWidth="1"/>
    <col min="26" max="26" width="16.6328125" bestFit="1" customWidth="1"/>
    <col min="27" max="27" width="17.1796875" bestFit="1" customWidth="1"/>
    <col min="28" max="28" width="9.1796875" bestFit="1" customWidth="1"/>
    <col min="29" max="29" width="10.1796875" bestFit="1" customWidth="1"/>
    <col min="30" max="31" width="9.1796875" bestFit="1" customWidth="1"/>
    <col min="32" max="32" width="10.08984375" bestFit="1" customWidth="1"/>
    <col min="33" max="33" width="6.453125" bestFit="1" customWidth="1"/>
    <col min="34" max="34" width="10.08984375" bestFit="1" customWidth="1"/>
    <col min="35" max="35" width="6.453125" bestFit="1" customWidth="1"/>
    <col min="36" max="36" width="10.08984375" bestFit="1" customWidth="1"/>
    <col min="37" max="37" width="6.453125" bestFit="1" customWidth="1"/>
    <col min="38" max="38" width="10.08984375" bestFit="1" customWidth="1"/>
    <col min="39" max="39" width="6.453125" bestFit="1" customWidth="1"/>
    <col min="40" max="40" width="10.08984375" bestFit="1" customWidth="1"/>
    <col min="41" max="41" width="6.453125" bestFit="1" customWidth="1"/>
    <col min="42" max="42" width="10.08984375" bestFit="1" customWidth="1"/>
    <col min="43" max="43" width="6.453125" bestFit="1" customWidth="1"/>
    <col min="44" max="44" width="10.08984375" bestFit="1" customWidth="1"/>
    <col min="45" max="45" width="6.453125" bestFit="1" customWidth="1"/>
    <col min="46" max="46" width="10.08984375" bestFit="1" customWidth="1"/>
    <col min="47" max="47" width="6.453125" bestFit="1" customWidth="1"/>
    <col min="48" max="48" width="10.08984375" bestFit="1" customWidth="1"/>
    <col min="49" max="49" width="6.453125" bestFit="1" customWidth="1"/>
    <col min="50" max="50" width="10.08984375" bestFit="1" customWidth="1"/>
    <col min="51" max="51" width="6.453125" bestFit="1" customWidth="1"/>
    <col min="52" max="52" width="10.08984375" bestFit="1" customWidth="1"/>
    <col min="53" max="53" width="6.453125" bestFit="1" customWidth="1"/>
    <col min="54" max="54" width="10.08984375" bestFit="1" customWidth="1"/>
    <col min="55" max="55" width="6.453125" bestFit="1" customWidth="1"/>
    <col min="56" max="56" width="10.08984375" bestFit="1" customWidth="1"/>
    <col min="57" max="57" width="6.453125" bestFit="1" customWidth="1"/>
    <col min="58" max="58" width="11.08984375" bestFit="1" customWidth="1"/>
    <col min="59" max="59" width="6.453125" bestFit="1" customWidth="1"/>
    <col min="60" max="60" width="11.08984375" bestFit="1" customWidth="1"/>
    <col min="61" max="61" width="6.453125" bestFit="1" customWidth="1"/>
    <col min="62" max="62" width="11.08984375" bestFit="1" customWidth="1"/>
    <col min="63" max="63" width="6.453125" bestFit="1" customWidth="1"/>
    <col min="64" max="64" width="11.08984375" bestFit="1" customWidth="1"/>
    <col min="65" max="65" width="6.453125" bestFit="1" customWidth="1"/>
    <col min="66" max="66" width="11.08984375" bestFit="1" customWidth="1"/>
    <col min="67" max="68" width="6.453125" bestFit="1" customWidth="1"/>
    <col min="69" max="69" width="11.08984375" bestFit="1" customWidth="1"/>
    <col min="70" max="70" width="6.453125" bestFit="1" customWidth="1"/>
    <col min="71" max="71" width="11.08984375" bestFit="1" customWidth="1"/>
    <col min="72" max="72" width="6.453125" bestFit="1" customWidth="1"/>
    <col min="73" max="73" width="11.08984375" bestFit="1" customWidth="1"/>
    <col min="74" max="74" width="6.453125" bestFit="1" customWidth="1"/>
    <col min="75" max="75" width="11.08984375" bestFit="1" customWidth="1"/>
    <col min="76" max="77" width="6.453125" bestFit="1" customWidth="1"/>
    <col min="78" max="78" width="11.08984375" bestFit="1" customWidth="1"/>
    <col min="79" max="79" width="6.453125" bestFit="1" customWidth="1"/>
    <col min="80" max="80" width="11.08984375" bestFit="1" customWidth="1"/>
    <col min="81" max="81" width="6.453125" bestFit="1" customWidth="1"/>
    <col min="82" max="82" width="11.08984375" bestFit="1" customWidth="1"/>
    <col min="83" max="83" width="6.453125" bestFit="1" customWidth="1"/>
    <col min="84" max="84" width="11.08984375" bestFit="1" customWidth="1"/>
    <col min="85" max="85" width="6.453125" bestFit="1" customWidth="1"/>
    <col min="86" max="86" width="11.08984375" bestFit="1" customWidth="1"/>
    <col min="87" max="87" width="6.453125" bestFit="1" customWidth="1"/>
    <col min="88" max="88" width="11.08984375" bestFit="1" customWidth="1"/>
    <col min="89" max="89" width="6.453125" bestFit="1" customWidth="1"/>
    <col min="90" max="90" width="11.08984375" bestFit="1" customWidth="1"/>
    <col min="91" max="91" width="6.453125" bestFit="1" customWidth="1"/>
    <col min="92" max="92" width="11.08984375" bestFit="1" customWidth="1"/>
    <col min="93" max="93" width="6.453125" bestFit="1" customWidth="1"/>
    <col min="94" max="94" width="11.08984375" bestFit="1" customWidth="1"/>
    <col min="95" max="95" width="6.453125" bestFit="1" customWidth="1"/>
    <col min="96" max="96" width="11.08984375" bestFit="1" customWidth="1"/>
    <col min="97" max="97" width="6.453125" bestFit="1" customWidth="1"/>
    <col min="98" max="98" width="11.08984375" bestFit="1" customWidth="1"/>
    <col min="99" max="99" width="6.453125" bestFit="1" customWidth="1"/>
    <col min="100" max="100" width="11.08984375" bestFit="1" customWidth="1"/>
    <col min="101" max="101" width="6.453125" bestFit="1" customWidth="1"/>
    <col min="102" max="102" width="11.08984375" bestFit="1" customWidth="1"/>
    <col min="103" max="103" width="6.453125" bestFit="1" customWidth="1"/>
    <col min="104" max="104" width="11.08984375" bestFit="1" customWidth="1"/>
    <col min="105" max="105" width="6.453125" bestFit="1" customWidth="1"/>
    <col min="106" max="106" width="11.08984375" bestFit="1" customWidth="1"/>
    <col min="107" max="107" width="6.453125" bestFit="1" customWidth="1"/>
    <col min="108" max="108" width="11.08984375" bestFit="1" customWidth="1"/>
    <col min="109" max="109" width="6.453125" bestFit="1" customWidth="1"/>
    <col min="110" max="110" width="11.08984375" bestFit="1" customWidth="1"/>
    <col min="111" max="112" width="6.453125" bestFit="1" customWidth="1"/>
    <col min="113" max="113" width="11.08984375" bestFit="1" customWidth="1"/>
    <col min="114" max="114" width="6.453125" bestFit="1" customWidth="1"/>
    <col min="115" max="115" width="11.08984375" bestFit="1" customWidth="1"/>
    <col min="116" max="116" width="6.453125" bestFit="1" customWidth="1"/>
    <col min="117" max="117" width="11.08984375" bestFit="1" customWidth="1"/>
    <col min="118" max="119" width="6.453125" bestFit="1" customWidth="1"/>
    <col min="120" max="120" width="11.08984375" bestFit="1" customWidth="1"/>
    <col min="121" max="121" width="6.453125" bestFit="1" customWidth="1"/>
    <col min="122" max="122" width="11.08984375" bestFit="1" customWidth="1"/>
    <col min="123" max="123" width="6.453125" bestFit="1" customWidth="1"/>
    <col min="124" max="124" width="11.08984375" bestFit="1" customWidth="1"/>
    <col min="125" max="125" width="6.453125" bestFit="1" customWidth="1"/>
    <col min="126" max="126" width="11.08984375" bestFit="1" customWidth="1"/>
    <col min="127" max="127" width="6.453125" bestFit="1" customWidth="1"/>
    <col min="128" max="128" width="11.08984375" bestFit="1" customWidth="1"/>
    <col min="129" max="129" width="6.453125" bestFit="1" customWidth="1"/>
    <col min="130" max="130" width="11.08984375" bestFit="1" customWidth="1"/>
    <col min="131" max="132" width="6.453125" bestFit="1" customWidth="1"/>
    <col min="133" max="133" width="11.08984375" bestFit="1" customWidth="1"/>
    <col min="134" max="134" width="6.453125" bestFit="1" customWidth="1"/>
    <col min="135" max="135" width="11.08984375" bestFit="1" customWidth="1"/>
    <col min="136" max="136" width="6.453125" bestFit="1" customWidth="1"/>
    <col min="137" max="137" width="11.08984375" bestFit="1" customWidth="1"/>
    <col min="138" max="138" width="6.453125" bestFit="1" customWidth="1"/>
    <col min="139" max="139" width="11.08984375" bestFit="1" customWidth="1"/>
    <col min="140" max="141" width="6.453125" bestFit="1" customWidth="1"/>
    <col min="142" max="142" width="11.08984375" bestFit="1" customWidth="1"/>
    <col min="143" max="143" width="6.453125" bestFit="1" customWidth="1"/>
    <col min="144" max="144" width="11.08984375" bestFit="1" customWidth="1"/>
    <col min="145" max="145" width="6.453125" bestFit="1" customWidth="1"/>
    <col min="146" max="146" width="11.08984375" bestFit="1" customWidth="1"/>
    <col min="147" max="147" width="6.453125" bestFit="1" customWidth="1"/>
    <col min="148" max="148" width="11.08984375" bestFit="1" customWidth="1"/>
    <col min="149" max="149" width="6.453125" bestFit="1" customWidth="1"/>
    <col min="150" max="150" width="11.08984375" bestFit="1" customWidth="1"/>
    <col min="151" max="152" width="6.453125" bestFit="1" customWidth="1"/>
    <col min="153" max="153" width="11.08984375" bestFit="1" customWidth="1"/>
    <col min="154" max="154" width="6.453125" bestFit="1" customWidth="1"/>
    <col min="155" max="155" width="11.08984375" bestFit="1" customWidth="1"/>
    <col min="156" max="156" width="6.453125" bestFit="1" customWidth="1"/>
    <col min="157" max="157" width="11.08984375" bestFit="1" customWidth="1"/>
    <col min="158" max="158" width="6.453125" bestFit="1" customWidth="1"/>
    <col min="159" max="159" width="11.08984375" bestFit="1" customWidth="1"/>
    <col min="160" max="160" width="6.453125" bestFit="1" customWidth="1"/>
    <col min="161" max="161" width="11.08984375" bestFit="1" customWidth="1"/>
    <col min="162" max="162" width="6.453125" bestFit="1" customWidth="1"/>
    <col min="163" max="163" width="11.08984375" bestFit="1" customWidth="1"/>
    <col min="164" max="164" width="6.453125" bestFit="1" customWidth="1"/>
    <col min="165" max="165" width="11.08984375" bestFit="1" customWidth="1"/>
    <col min="166" max="166" width="6.453125" bestFit="1" customWidth="1"/>
    <col min="167" max="167" width="11.08984375" bestFit="1" customWidth="1"/>
    <col min="168" max="168" width="6.453125" bestFit="1" customWidth="1"/>
    <col min="169" max="169" width="11.08984375" bestFit="1" customWidth="1"/>
    <col min="170" max="170" width="6.453125" bestFit="1" customWidth="1"/>
    <col min="171" max="171" width="11.08984375" bestFit="1" customWidth="1"/>
    <col min="172" max="172" width="6.453125" bestFit="1" customWidth="1"/>
    <col min="173" max="173" width="11.08984375" bestFit="1" customWidth="1"/>
    <col min="174" max="174" width="6.453125" bestFit="1" customWidth="1"/>
    <col min="175" max="175" width="11.08984375" bestFit="1" customWidth="1"/>
    <col min="176" max="176" width="6.453125" bestFit="1" customWidth="1"/>
    <col min="177" max="177" width="11.08984375" bestFit="1" customWidth="1"/>
    <col min="178" max="178" width="6.453125" bestFit="1" customWidth="1"/>
    <col min="179" max="179" width="11.08984375" bestFit="1" customWidth="1"/>
    <col min="180" max="180" width="6.453125" bestFit="1" customWidth="1"/>
    <col min="181" max="181" width="11.08984375" bestFit="1" customWidth="1"/>
    <col min="182" max="182" width="6.453125" bestFit="1" customWidth="1"/>
    <col min="183" max="183" width="11.08984375" bestFit="1" customWidth="1"/>
    <col min="184" max="184" width="6.453125" bestFit="1" customWidth="1"/>
    <col min="185" max="185" width="11.08984375" bestFit="1" customWidth="1"/>
    <col min="186" max="186" width="6.453125" bestFit="1" customWidth="1"/>
    <col min="187" max="187" width="11.08984375" bestFit="1" customWidth="1"/>
    <col min="188" max="188" width="6.453125" bestFit="1" customWidth="1"/>
    <col min="189" max="189" width="11.08984375" bestFit="1" customWidth="1"/>
    <col min="190" max="191" width="6.453125" bestFit="1" customWidth="1"/>
    <col min="192" max="192" width="11.08984375" bestFit="1" customWidth="1"/>
    <col min="193" max="193" width="6.453125" bestFit="1" customWidth="1"/>
    <col min="194" max="194" width="11.08984375" bestFit="1" customWidth="1"/>
    <col min="195" max="195" width="6.453125" bestFit="1" customWidth="1"/>
    <col min="196" max="196" width="11.08984375" bestFit="1" customWidth="1"/>
    <col min="197" max="197" width="6.453125" bestFit="1" customWidth="1"/>
    <col min="198" max="198" width="11.08984375" bestFit="1" customWidth="1"/>
    <col min="199" max="199" width="6.453125" bestFit="1" customWidth="1"/>
    <col min="200" max="200" width="11.08984375" bestFit="1" customWidth="1"/>
    <col min="201" max="202" width="6.453125" bestFit="1" customWidth="1"/>
    <col min="203" max="203" width="11.08984375" bestFit="1" customWidth="1"/>
    <col min="204" max="204" width="6.453125" bestFit="1" customWidth="1"/>
    <col min="205" max="205" width="11.08984375" bestFit="1" customWidth="1"/>
    <col min="206" max="206" width="6.453125" bestFit="1" customWidth="1"/>
    <col min="207" max="207" width="11.08984375" bestFit="1" customWidth="1"/>
    <col min="208" max="208" width="6.453125" bestFit="1" customWidth="1"/>
    <col min="209" max="209" width="11.08984375" bestFit="1" customWidth="1"/>
    <col min="210" max="210" width="6.453125" bestFit="1" customWidth="1"/>
    <col min="211" max="211" width="11.08984375" bestFit="1" customWidth="1"/>
    <col min="212" max="212" width="6.453125" bestFit="1" customWidth="1"/>
    <col min="213" max="213" width="11.08984375" bestFit="1" customWidth="1"/>
    <col min="214" max="214" width="6.453125" bestFit="1" customWidth="1"/>
    <col min="215" max="215" width="11.08984375" bestFit="1" customWidth="1"/>
    <col min="216" max="216" width="6.453125" bestFit="1" customWidth="1"/>
    <col min="217" max="217" width="11.08984375" bestFit="1" customWidth="1"/>
    <col min="218" max="218" width="6.453125" bestFit="1" customWidth="1"/>
    <col min="219" max="219" width="11.08984375" bestFit="1" customWidth="1"/>
    <col min="220" max="220" width="6.453125" bestFit="1" customWidth="1"/>
    <col min="221" max="221" width="11.08984375" bestFit="1" customWidth="1"/>
    <col min="222" max="223" width="6.453125" bestFit="1" customWidth="1"/>
    <col min="224" max="224" width="11.08984375" bestFit="1" customWidth="1"/>
    <col min="225" max="225" width="6.453125" bestFit="1" customWidth="1"/>
    <col min="226" max="226" width="11.08984375" bestFit="1" customWidth="1"/>
    <col min="227" max="227" width="6.453125" bestFit="1" customWidth="1"/>
    <col min="228" max="228" width="11.08984375" bestFit="1" customWidth="1"/>
    <col min="229" max="229" width="6.453125" bestFit="1" customWidth="1"/>
    <col min="230" max="230" width="11.08984375" bestFit="1" customWidth="1"/>
    <col min="231" max="231" width="6.453125" bestFit="1" customWidth="1"/>
    <col min="232" max="232" width="11.08984375" bestFit="1" customWidth="1"/>
    <col min="233" max="234" width="6.453125" bestFit="1" customWidth="1"/>
    <col min="235" max="235" width="11.08984375" bestFit="1" customWidth="1"/>
    <col min="236" max="236" width="6.453125" bestFit="1" customWidth="1"/>
    <col min="237" max="237" width="11.08984375" bestFit="1" customWidth="1"/>
    <col min="238" max="238" width="6.453125" bestFit="1" customWidth="1"/>
    <col min="239" max="239" width="11.08984375" bestFit="1" customWidth="1"/>
    <col min="240" max="240" width="6.453125" bestFit="1" customWidth="1"/>
    <col min="241" max="241" width="11.08984375" bestFit="1" customWidth="1"/>
    <col min="242" max="242" width="6.453125" bestFit="1" customWidth="1"/>
    <col min="243" max="243" width="11.08984375" bestFit="1" customWidth="1"/>
    <col min="244" max="244" width="6.453125" bestFit="1" customWidth="1"/>
    <col min="245" max="245" width="11.08984375" bestFit="1" customWidth="1"/>
    <col min="246" max="246" width="6.453125" bestFit="1" customWidth="1"/>
    <col min="247" max="247" width="11.08984375" bestFit="1" customWidth="1"/>
    <col min="248" max="248" width="6.453125" bestFit="1" customWidth="1"/>
    <col min="249" max="249" width="11.08984375" bestFit="1" customWidth="1"/>
    <col min="250" max="250" width="6.453125" bestFit="1" customWidth="1"/>
    <col min="251" max="251" width="11.08984375" bestFit="1" customWidth="1"/>
    <col min="252" max="252" width="6.453125" bestFit="1" customWidth="1"/>
    <col min="253" max="253" width="11.08984375" bestFit="1" customWidth="1"/>
    <col min="254" max="254" width="6.453125" bestFit="1" customWidth="1"/>
    <col min="255" max="255" width="11.08984375" bestFit="1" customWidth="1"/>
    <col min="256" max="257" width="6.453125" bestFit="1" customWidth="1"/>
    <col min="258" max="258" width="11.08984375" bestFit="1" customWidth="1"/>
    <col min="259" max="259" width="6.453125" bestFit="1" customWidth="1"/>
    <col min="260" max="260" width="11.08984375" bestFit="1" customWidth="1"/>
    <col min="261" max="261" width="6.453125" bestFit="1" customWidth="1"/>
    <col min="262" max="262" width="11.08984375" bestFit="1" customWidth="1"/>
    <col min="263" max="263" width="6.453125" bestFit="1" customWidth="1"/>
    <col min="264" max="264" width="11.08984375" bestFit="1" customWidth="1"/>
    <col min="265" max="266" width="6.453125" bestFit="1" customWidth="1"/>
    <col min="267" max="267" width="11.08984375" bestFit="1" customWidth="1"/>
    <col min="268" max="268" width="6.453125" bestFit="1" customWidth="1"/>
    <col min="269" max="269" width="11.08984375" bestFit="1" customWidth="1"/>
    <col min="270" max="270" width="6.453125" bestFit="1" customWidth="1"/>
    <col min="271" max="271" width="11.08984375" bestFit="1" customWidth="1"/>
    <col min="272" max="272" width="6.453125" bestFit="1" customWidth="1"/>
    <col min="273" max="273" width="11.08984375" bestFit="1" customWidth="1"/>
    <col min="274" max="274" width="6.453125" bestFit="1" customWidth="1"/>
    <col min="275" max="275" width="11.08984375" bestFit="1" customWidth="1"/>
    <col min="276" max="276" width="6.453125" bestFit="1" customWidth="1"/>
    <col min="277" max="277" width="11.08984375" bestFit="1" customWidth="1"/>
    <col min="278" max="278" width="6.453125" bestFit="1" customWidth="1"/>
    <col min="279" max="279" width="11.08984375" bestFit="1" customWidth="1"/>
    <col min="280" max="281" width="6.453125" bestFit="1" customWidth="1"/>
    <col min="282" max="282" width="11.08984375" bestFit="1" customWidth="1"/>
    <col min="283" max="283" width="6.453125" bestFit="1" customWidth="1"/>
    <col min="284" max="284" width="11.08984375" bestFit="1" customWidth="1"/>
    <col min="285" max="285" width="6.453125" bestFit="1" customWidth="1"/>
    <col min="286" max="286" width="11.08984375" bestFit="1" customWidth="1"/>
    <col min="287" max="287" width="6.453125" bestFit="1" customWidth="1"/>
    <col min="288" max="288" width="11.08984375" bestFit="1" customWidth="1"/>
    <col min="289" max="289" width="6.453125" bestFit="1" customWidth="1"/>
    <col min="290" max="290" width="11.08984375" bestFit="1" customWidth="1"/>
    <col min="291" max="291" width="6.453125" bestFit="1" customWidth="1"/>
    <col min="292" max="292" width="11.08984375" bestFit="1" customWidth="1"/>
    <col min="293" max="293" width="6.453125" bestFit="1" customWidth="1"/>
    <col min="294" max="294" width="11.08984375" bestFit="1" customWidth="1"/>
    <col min="295" max="295" width="6.453125" bestFit="1" customWidth="1"/>
    <col min="296" max="296" width="11.08984375" bestFit="1" customWidth="1"/>
    <col min="297" max="297" width="6.453125" bestFit="1" customWidth="1"/>
    <col min="298" max="298" width="11.08984375" bestFit="1" customWidth="1"/>
    <col min="299" max="299" width="6.453125" bestFit="1" customWidth="1"/>
    <col min="300" max="300" width="11.08984375" bestFit="1" customWidth="1"/>
    <col min="301" max="301" width="6.6328125" bestFit="1" customWidth="1"/>
    <col min="302" max="302" width="11.08984375" bestFit="1" customWidth="1"/>
    <col min="303" max="303" width="6.453125" bestFit="1" customWidth="1"/>
    <col min="304" max="304" width="11.08984375" bestFit="1" customWidth="1"/>
    <col min="305" max="305" width="6.453125" bestFit="1" customWidth="1"/>
    <col min="306" max="306" width="11.08984375" bestFit="1" customWidth="1"/>
    <col min="307" max="307" width="6.453125" bestFit="1" customWidth="1"/>
    <col min="308" max="308" width="11.08984375" bestFit="1" customWidth="1"/>
    <col min="309" max="309" width="6.453125" bestFit="1" customWidth="1"/>
    <col min="310" max="310" width="11.08984375" bestFit="1" customWidth="1"/>
    <col min="311" max="311" width="6.453125" bestFit="1" customWidth="1"/>
    <col min="312" max="312" width="11.08984375" bestFit="1" customWidth="1"/>
    <col min="313" max="313" width="6.453125" bestFit="1" customWidth="1"/>
    <col min="314" max="314" width="11.08984375" bestFit="1" customWidth="1"/>
    <col min="315" max="315" width="6.453125" bestFit="1" customWidth="1"/>
    <col min="316" max="316" width="11.08984375" bestFit="1" customWidth="1"/>
    <col min="317" max="317" width="6.453125" bestFit="1" customWidth="1"/>
    <col min="318" max="318" width="11.08984375" bestFit="1" customWidth="1"/>
    <col min="319" max="319" width="6.453125" bestFit="1" customWidth="1"/>
    <col min="320" max="320" width="11.08984375" bestFit="1" customWidth="1"/>
    <col min="321" max="321" width="6.453125" bestFit="1" customWidth="1"/>
    <col min="322" max="322" width="11.08984375" bestFit="1" customWidth="1"/>
    <col min="323" max="323" width="6.453125" bestFit="1" customWidth="1"/>
    <col min="324" max="324" width="11.08984375" bestFit="1" customWidth="1"/>
    <col min="325" max="325" width="6.453125" bestFit="1" customWidth="1"/>
    <col min="326" max="326" width="11.08984375" bestFit="1" customWidth="1"/>
    <col min="327" max="327" width="6.453125" bestFit="1" customWidth="1"/>
    <col min="328" max="328" width="11.08984375" bestFit="1" customWidth="1"/>
    <col min="329" max="330" width="6.453125" bestFit="1" customWidth="1"/>
    <col min="331" max="331" width="11.08984375" bestFit="1" customWidth="1"/>
    <col min="332" max="332" width="6.453125" bestFit="1" customWidth="1"/>
    <col min="333" max="333" width="11.08984375" bestFit="1" customWidth="1"/>
    <col min="334" max="335" width="6.453125" bestFit="1" customWidth="1"/>
    <col min="336" max="336" width="11.08984375" bestFit="1" customWidth="1"/>
    <col min="337" max="337" width="6.453125" bestFit="1" customWidth="1"/>
    <col min="338" max="338" width="11.08984375" bestFit="1" customWidth="1"/>
    <col min="339" max="339" width="6.453125" bestFit="1" customWidth="1"/>
    <col min="340" max="340" width="11.08984375" bestFit="1" customWidth="1"/>
    <col min="341" max="341" width="6.453125" bestFit="1" customWidth="1"/>
    <col min="342" max="342" width="11.08984375" bestFit="1" customWidth="1"/>
    <col min="343" max="343" width="6.453125" bestFit="1" customWidth="1"/>
    <col min="344" max="344" width="11.08984375" bestFit="1" customWidth="1"/>
    <col min="345" max="345" width="6.453125" bestFit="1" customWidth="1"/>
    <col min="346" max="346" width="11.08984375" bestFit="1" customWidth="1"/>
    <col min="347" max="347" width="6.453125" bestFit="1" customWidth="1"/>
    <col min="348" max="348" width="11.08984375" bestFit="1" customWidth="1"/>
    <col min="349" max="349" width="6.453125" bestFit="1" customWidth="1"/>
    <col min="350" max="350" width="11.08984375" bestFit="1" customWidth="1"/>
    <col min="351" max="351" width="6.453125" bestFit="1" customWidth="1"/>
    <col min="352" max="352" width="11.08984375" bestFit="1" customWidth="1"/>
    <col min="353" max="353" width="6.453125" bestFit="1" customWidth="1"/>
    <col min="354" max="354" width="11.08984375" bestFit="1" customWidth="1"/>
    <col min="355" max="355" width="6.453125" bestFit="1" customWidth="1"/>
    <col min="356" max="356" width="11.08984375" bestFit="1" customWidth="1"/>
    <col min="357" max="357" width="6.453125" bestFit="1" customWidth="1"/>
    <col min="358" max="358" width="11.08984375" bestFit="1" customWidth="1"/>
    <col min="359" max="359" width="6.453125" bestFit="1" customWidth="1"/>
    <col min="360" max="360" width="11.08984375" bestFit="1" customWidth="1"/>
    <col min="361" max="361" width="6.453125" bestFit="1" customWidth="1"/>
    <col min="362" max="362" width="11.08984375" bestFit="1" customWidth="1"/>
    <col min="363" max="363" width="6.453125" bestFit="1" customWidth="1"/>
    <col min="364" max="364" width="11.08984375" bestFit="1" customWidth="1"/>
    <col min="365" max="366" width="6.453125" bestFit="1" customWidth="1"/>
    <col min="367" max="367" width="11.08984375" bestFit="1" customWidth="1"/>
    <col min="368" max="368" width="6.453125" bestFit="1" customWidth="1"/>
    <col min="369" max="369" width="11.08984375" bestFit="1" customWidth="1"/>
    <col min="370" max="371" width="6.453125" bestFit="1" customWidth="1"/>
    <col min="372" max="372" width="11.08984375" bestFit="1" customWidth="1"/>
    <col min="373" max="373" width="6.453125" bestFit="1" customWidth="1"/>
    <col min="374" max="374" width="11.08984375" bestFit="1" customWidth="1"/>
    <col min="375" max="375" width="6.453125" bestFit="1" customWidth="1"/>
    <col min="376" max="376" width="11.08984375" bestFit="1" customWidth="1"/>
    <col min="377" max="377" width="6.453125" bestFit="1" customWidth="1"/>
    <col min="378" max="378" width="11.08984375" bestFit="1" customWidth="1"/>
    <col min="379" max="379" width="6.453125" bestFit="1" customWidth="1"/>
    <col min="380" max="380" width="11.08984375" bestFit="1" customWidth="1"/>
    <col min="381" max="382" width="6.453125" bestFit="1" customWidth="1"/>
    <col min="383" max="383" width="11.08984375" bestFit="1" customWidth="1"/>
    <col min="384" max="384" width="6.453125" bestFit="1" customWidth="1"/>
    <col min="385" max="385" width="11.08984375" bestFit="1" customWidth="1"/>
    <col min="386" max="386" width="6.453125" bestFit="1" customWidth="1"/>
    <col min="387" max="387" width="11.08984375" bestFit="1" customWidth="1"/>
    <col min="388" max="388" width="6.453125" bestFit="1" customWidth="1"/>
    <col min="389" max="389" width="11.08984375" bestFit="1" customWidth="1"/>
    <col min="390" max="390" width="6.453125" bestFit="1" customWidth="1"/>
    <col min="391" max="391" width="11.08984375" bestFit="1" customWidth="1"/>
    <col min="392" max="392" width="6.6328125" bestFit="1" customWidth="1"/>
    <col min="393" max="393" width="11.08984375" bestFit="1" customWidth="1"/>
    <col min="394" max="394" width="6.453125" bestFit="1" customWidth="1"/>
    <col min="395" max="395" width="11.08984375" bestFit="1" customWidth="1"/>
    <col min="396" max="396" width="6.453125" bestFit="1" customWidth="1"/>
    <col min="397" max="397" width="11.08984375" bestFit="1" customWidth="1"/>
    <col min="398" max="398" width="6.453125" bestFit="1" customWidth="1"/>
    <col min="399" max="399" width="11.08984375" bestFit="1" customWidth="1"/>
    <col min="400" max="400" width="6.453125" bestFit="1" customWidth="1"/>
    <col min="401" max="401" width="11.08984375" bestFit="1" customWidth="1"/>
    <col min="402" max="402" width="6.453125" bestFit="1" customWidth="1"/>
    <col min="403" max="403" width="11.08984375" bestFit="1" customWidth="1"/>
    <col min="404" max="404" width="6.453125" bestFit="1" customWidth="1"/>
    <col min="405" max="405" width="11.08984375" bestFit="1" customWidth="1"/>
    <col min="406" max="406" width="6.453125" bestFit="1" customWidth="1"/>
    <col min="407" max="407" width="11.08984375" bestFit="1" customWidth="1"/>
    <col min="408" max="408" width="6.453125" bestFit="1" customWidth="1"/>
    <col min="409" max="409" width="11.08984375" bestFit="1" customWidth="1"/>
    <col min="410" max="410" width="6.453125" bestFit="1" customWidth="1"/>
    <col min="411" max="411" width="11.08984375" bestFit="1" customWidth="1"/>
    <col min="412" max="412" width="6.453125" bestFit="1" customWidth="1"/>
    <col min="413" max="413" width="11.08984375" bestFit="1" customWidth="1"/>
    <col min="414" max="414" width="6.6328125" bestFit="1" customWidth="1"/>
    <col min="415" max="415" width="11.08984375" bestFit="1" customWidth="1"/>
    <col min="416" max="416" width="6.453125" bestFit="1" customWidth="1"/>
    <col min="417" max="417" width="11.08984375" bestFit="1" customWidth="1"/>
    <col min="418" max="418" width="6.453125" bestFit="1" customWidth="1"/>
    <col min="419" max="419" width="11.08984375" bestFit="1" customWidth="1"/>
    <col min="420" max="420" width="6.453125" bestFit="1" customWidth="1"/>
    <col min="421" max="421" width="11.08984375" bestFit="1" customWidth="1"/>
    <col min="422" max="422" width="6.453125" bestFit="1" customWidth="1"/>
    <col min="423" max="423" width="11.08984375" bestFit="1" customWidth="1"/>
    <col min="424" max="424" width="6.453125" bestFit="1" customWidth="1"/>
    <col min="425" max="425" width="11.08984375" bestFit="1" customWidth="1"/>
    <col min="426" max="426" width="6.453125" bestFit="1" customWidth="1"/>
    <col min="427" max="427" width="11.08984375" bestFit="1" customWidth="1"/>
    <col min="428" max="428" width="6.453125" bestFit="1" customWidth="1"/>
    <col min="429" max="429" width="11.08984375" bestFit="1" customWidth="1"/>
    <col min="430" max="430" width="6.453125" bestFit="1" customWidth="1"/>
    <col min="431" max="431" width="11.08984375" bestFit="1" customWidth="1"/>
    <col min="432" max="432" width="6.453125" bestFit="1" customWidth="1"/>
    <col min="433" max="433" width="11.08984375" bestFit="1" customWidth="1"/>
    <col min="434" max="434" width="6.453125" bestFit="1" customWidth="1"/>
    <col min="435" max="435" width="11.08984375" bestFit="1" customWidth="1"/>
    <col min="436" max="436" width="6.453125" bestFit="1" customWidth="1"/>
    <col min="437" max="437" width="11.08984375" bestFit="1" customWidth="1"/>
    <col min="438" max="438" width="6.453125" bestFit="1" customWidth="1"/>
    <col min="439" max="439" width="11.08984375" bestFit="1" customWidth="1"/>
    <col min="440" max="440" width="6.453125" bestFit="1" customWidth="1"/>
    <col min="441" max="441" width="11.08984375" bestFit="1" customWidth="1"/>
    <col min="442" max="442" width="6.453125" bestFit="1" customWidth="1"/>
    <col min="443" max="443" width="11.08984375" bestFit="1" customWidth="1"/>
    <col min="444" max="444" width="6.6328125" bestFit="1" customWidth="1"/>
    <col min="445" max="445" width="11.08984375" bestFit="1" customWidth="1"/>
    <col min="446" max="446" width="6.453125" bestFit="1" customWidth="1"/>
    <col min="447" max="447" width="11.08984375" bestFit="1" customWidth="1"/>
    <col min="448" max="448" width="6.6328125" bestFit="1" customWidth="1"/>
    <col min="449" max="449" width="11.08984375" bestFit="1" customWidth="1"/>
    <col min="450" max="450" width="6.6328125" bestFit="1" customWidth="1"/>
    <col min="451" max="451" width="6.453125" bestFit="1" customWidth="1"/>
    <col min="452" max="452" width="11.08984375" bestFit="1" customWidth="1"/>
    <col min="453" max="453" width="6.453125" bestFit="1" customWidth="1"/>
    <col min="454" max="454" width="11.08984375" bestFit="1" customWidth="1"/>
    <col min="455" max="455" width="6.453125" bestFit="1" customWidth="1"/>
    <col min="456" max="456" width="11.08984375" bestFit="1" customWidth="1"/>
    <col min="457" max="458" width="6.453125" bestFit="1" customWidth="1"/>
    <col min="459" max="459" width="11.08984375" bestFit="1" customWidth="1"/>
    <col min="460" max="460" width="6.6328125" bestFit="1" customWidth="1"/>
    <col min="461" max="461" width="11.08984375" bestFit="1" customWidth="1"/>
    <col min="462" max="462" width="6.453125" bestFit="1" customWidth="1"/>
    <col min="463" max="463" width="11.08984375" bestFit="1" customWidth="1"/>
    <col min="464" max="464" width="6.453125" bestFit="1" customWidth="1"/>
    <col min="465" max="465" width="11.08984375" bestFit="1" customWidth="1"/>
    <col min="466" max="466" width="6.453125" bestFit="1" customWidth="1"/>
    <col min="467" max="467" width="11.08984375" bestFit="1" customWidth="1"/>
    <col min="468" max="468" width="6.453125" bestFit="1" customWidth="1"/>
    <col min="469" max="469" width="11.08984375" bestFit="1" customWidth="1"/>
    <col min="470" max="470" width="6.6328125" bestFit="1" customWidth="1"/>
    <col min="471" max="471" width="6.453125" bestFit="1" customWidth="1"/>
    <col min="472" max="472" width="11.08984375" bestFit="1" customWidth="1"/>
    <col min="473" max="473" width="6.453125" bestFit="1" customWidth="1"/>
    <col min="474" max="474" width="11.08984375" bestFit="1" customWidth="1"/>
    <col min="475" max="475" width="6.453125" bestFit="1" customWidth="1"/>
    <col min="476" max="476" width="11.08984375" bestFit="1" customWidth="1"/>
    <col min="477" max="477" width="6.453125" bestFit="1" customWidth="1"/>
    <col min="478" max="478" width="11.08984375" bestFit="1" customWidth="1"/>
    <col min="479" max="479" width="6.6328125" bestFit="1" customWidth="1"/>
    <col min="480" max="480" width="11.08984375" bestFit="1" customWidth="1"/>
    <col min="481" max="481" width="6.453125" bestFit="1" customWidth="1"/>
    <col min="482" max="482" width="11.08984375" bestFit="1" customWidth="1"/>
    <col min="483" max="483" width="6.6328125" bestFit="1" customWidth="1"/>
    <col min="484" max="484" width="11.08984375" bestFit="1" customWidth="1"/>
    <col min="485" max="485" width="6.453125" bestFit="1" customWidth="1"/>
    <col min="486" max="486" width="11.08984375" bestFit="1" customWidth="1"/>
    <col min="487" max="487" width="6.453125" bestFit="1" customWidth="1"/>
    <col min="488" max="488" width="11.08984375" bestFit="1" customWidth="1"/>
    <col min="489" max="489" width="6.453125" bestFit="1" customWidth="1"/>
    <col min="490" max="490" width="11.08984375" bestFit="1" customWidth="1"/>
    <col min="491" max="491" width="6.453125" bestFit="1" customWidth="1"/>
    <col min="492" max="492" width="11.08984375" bestFit="1" customWidth="1"/>
    <col min="493" max="493" width="6.453125" bestFit="1" customWidth="1"/>
    <col min="494" max="494" width="11.08984375" bestFit="1" customWidth="1"/>
    <col min="495" max="495" width="6.453125" bestFit="1" customWidth="1"/>
    <col min="496" max="496" width="11.08984375" bestFit="1" customWidth="1"/>
    <col min="497" max="498" width="6.453125" bestFit="1" customWidth="1"/>
    <col min="499" max="499" width="11.08984375" bestFit="1" customWidth="1"/>
    <col min="500" max="500" width="6.6328125" bestFit="1" customWidth="1"/>
    <col min="501" max="501" width="11.08984375" bestFit="1" customWidth="1"/>
    <col min="502" max="502" width="6.453125" bestFit="1" customWidth="1"/>
    <col min="503" max="503" width="11.08984375" bestFit="1" customWidth="1"/>
    <col min="504" max="504" width="6.6328125" bestFit="1" customWidth="1"/>
    <col min="505" max="505" width="11.08984375" bestFit="1" customWidth="1"/>
    <col min="506" max="507" width="6.453125" bestFit="1" customWidth="1"/>
    <col min="508" max="508" width="11.08984375" bestFit="1" customWidth="1"/>
    <col min="509" max="509" width="6.453125" bestFit="1" customWidth="1"/>
    <col min="510" max="510" width="11.08984375" bestFit="1" customWidth="1"/>
    <col min="511" max="511" width="6.453125" bestFit="1" customWidth="1"/>
    <col min="512" max="512" width="11.08984375" bestFit="1" customWidth="1"/>
    <col min="513" max="513" width="6.453125" bestFit="1" customWidth="1"/>
    <col min="514" max="514" width="11.08984375" bestFit="1" customWidth="1"/>
    <col min="515" max="515" width="6.453125" bestFit="1" customWidth="1"/>
    <col min="516" max="516" width="11.08984375" bestFit="1" customWidth="1"/>
    <col min="517" max="517" width="6.453125" bestFit="1" customWidth="1"/>
    <col min="518" max="518" width="11.08984375" bestFit="1" customWidth="1"/>
    <col min="519" max="519" width="6.453125" bestFit="1" customWidth="1"/>
    <col min="520" max="520" width="11.08984375" bestFit="1" customWidth="1"/>
    <col min="521" max="521" width="6.453125" bestFit="1" customWidth="1"/>
    <col min="522" max="522" width="11.08984375" bestFit="1" customWidth="1"/>
    <col min="523" max="523" width="6.453125" bestFit="1" customWidth="1"/>
    <col min="524" max="524" width="11.08984375" bestFit="1" customWidth="1"/>
    <col min="525" max="525" width="6.453125" bestFit="1" customWidth="1"/>
    <col min="526" max="526" width="11.08984375" bestFit="1" customWidth="1"/>
    <col min="527" max="527" width="6.453125" bestFit="1" customWidth="1"/>
    <col min="528" max="528" width="11.08984375" bestFit="1" customWidth="1"/>
    <col min="529" max="529" width="6.6328125" bestFit="1" customWidth="1"/>
    <col min="530" max="530" width="11.08984375" bestFit="1" customWidth="1"/>
    <col min="531" max="531" width="6.453125" bestFit="1" customWidth="1"/>
    <col min="532" max="532" width="11.08984375" bestFit="1" customWidth="1"/>
    <col min="533" max="533" width="6.453125" bestFit="1" customWidth="1"/>
    <col min="534" max="534" width="11.08984375" bestFit="1" customWidth="1"/>
    <col min="535" max="535" width="6.453125" bestFit="1" customWidth="1"/>
    <col min="536" max="536" width="11.08984375" bestFit="1" customWidth="1"/>
    <col min="537" max="537" width="6.6328125" bestFit="1" customWidth="1"/>
    <col min="538" max="538" width="6.453125" bestFit="1" customWidth="1"/>
    <col min="539" max="539" width="11.08984375" bestFit="1" customWidth="1"/>
    <col min="540" max="540" width="6.453125" bestFit="1" customWidth="1"/>
    <col min="541" max="541" width="11.08984375" bestFit="1" customWidth="1"/>
    <col min="542" max="542" width="6.453125" bestFit="1" customWidth="1"/>
    <col min="543" max="543" width="11.08984375" bestFit="1" customWidth="1"/>
    <col min="544" max="544" width="6.453125" bestFit="1" customWidth="1"/>
    <col min="545" max="545" width="11.08984375" bestFit="1" customWidth="1"/>
    <col min="546" max="546" width="6.453125" bestFit="1" customWidth="1"/>
    <col min="547" max="547" width="11.08984375" bestFit="1" customWidth="1"/>
    <col min="548" max="548" width="6.453125" bestFit="1" customWidth="1"/>
    <col min="549" max="549" width="11.08984375" bestFit="1" customWidth="1"/>
    <col min="550" max="550" width="6.453125" bestFit="1" customWidth="1"/>
    <col min="551" max="551" width="11.08984375" bestFit="1" customWidth="1"/>
    <col min="552" max="552" width="6.453125" bestFit="1" customWidth="1"/>
    <col min="553" max="553" width="11.08984375" bestFit="1" customWidth="1"/>
    <col min="554" max="554" width="6.453125" bestFit="1" customWidth="1"/>
    <col min="555" max="555" width="11.08984375" bestFit="1" customWidth="1"/>
    <col min="556" max="556" width="6.6328125" bestFit="1" customWidth="1"/>
    <col min="557" max="557" width="11.08984375" bestFit="1" customWidth="1"/>
    <col min="558" max="558" width="6.6328125" bestFit="1" customWidth="1"/>
    <col min="559" max="559" width="11.08984375" bestFit="1" customWidth="1"/>
    <col min="560" max="560" width="6.453125" bestFit="1" customWidth="1"/>
    <col min="561" max="561" width="11.08984375" bestFit="1" customWidth="1"/>
    <col min="562" max="563" width="6.453125" bestFit="1" customWidth="1"/>
    <col min="564" max="564" width="11.08984375" bestFit="1" customWidth="1"/>
    <col min="565" max="565" width="6.453125" bestFit="1" customWidth="1"/>
    <col min="566" max="566" width="11.08984375" bestFit="1" customWidth="1"/>
    <col min="567" max="567" width="6.453125" bestFit="1" customWidth="1"/>
    <col min="568" max="568" width="11.08984375" bestFit="1" customWidth="1"/>
    <col min="569" max="569" width="6.453125" bestFit="1" customWidth="1"/>
    <col min="570" max="570" width="11.08984375" bestFit="1" customWidth="1"/>
    <col min="571" max="571" width="6.453125" bestFit="1" customWidth="1"/>
    <col min="572" max="572" width="11.08984375" bestFit="1" customWidth="1"/>
    <col min="573" max="573" width="6.453125" bestFit="1" customWidth="1"/>
    <col min="574" max="574" width="11.08984375" bestFit="1" customWidth="1"/>
    <col min="575" max="576" width="6.453125" bestFit="1" customWidth="1"/>
    <col min="577" max="577" width="11.08984375" bestFit="1" customWidth="1"/>
    <col min="578" max="578" width="6.6328125" bestFit="1" customWidth="1"/>
    <col min="579" max="579" width="11.08984375" bestFit="1" customWidth="1"/>
    <col min="580" max="580" width="6.453125" bestFit="1" customWidth="1"/>
    <col min="581" max="581" width="11.08984375" bestFit="1" customWidth="1"/>
    <col min="582" max="582" width="6.453125" bestFit="1" customWidth="1"/>
    <col min="583" max="583" width="11.08984375" bestFit="1" customWidth="1"/>
    <col min="584" max="585" width="6.453125" bestFit="1" customWidth="1"/>
    <col min="586" max="586" width="11.08984375" bestFit="1" customWidth="1"/>
    <col min="587" max="587" width="6.453125" bestFit="1" customWidth="1"/>
    <col min="588" max="588" width="11.08984375" bestFit="1" customWidth="1"/>
    <col min="589" max="589" width="6.453125" bestFit="1" customWidth="1"/>
    <col min="590" max="590" width="11.08984375" bestFit="1" customWidth="1"/>
    <col min="591" max="591" width="6.453125" bestFit="1" customWidth="1"/>
    <col min="592" max="592" width="11.08984375" bestFit="1" customWidth="1"/>
    <col min="593" max="593" width="6.453125" bestFit="1" customWidth="1"/>
    <col min="594" max="594" width="11.08984375" bestFit="1" customWidth="1"/>
    <col min="595" max="595" width="6.453125" bestFit="1" customWidth="1"/>
    <col min="596" max="596" width="11.08984375" bestFit="1" customWidth="1"/>
    <col min="597" max="597" width="6.453125" bestFit="1" customWidth="1"/>
    <col min="598" max="598" width="11.08984375" bestFit="1" customWidth="1"/>
    <col min="599" max="599" width="6.6328125" bestFit="1" customWidth="1"/>
    <col min="600" max="600" width="11.08984375" bestFit="1" customWidth="1"/>
    <col min="601" max="601" width="6.453125" bestFit="1" customWidth="1"/>
    <col min="602" max="602" width="11.08984375" bestFit="1" customWidth="1"/>
    <col min="603" max="603" width="6.6328125" bestFit="1" customWidth="1"/>
    <col min="604" max="604" width="11.08984375" bestFit="1" customWidth="1"/>
    <col min="605" max="605" width="6.453125" bestFit="1" customWidth="1"/>
    <col min="606" max="606" width="11.08984375" bestFit="1" customWidth="1"/>
    <col min="607" max="607" width="6.453125" bestFit="1" customWidth="1"/>
    <col min="608" max="608" width="11.08984375" bestFit="1" customWidth="1"/>
    <col min="609" max="609" width="6.453125" bestFit="1" customWidth="1"/>
    <col min="610" max="610" width="11.08984375" bestFit="1" customWidth="1"/>
    <col min="611" max="611" width="6.453125" bestFit="1" customWidth="1"/>
    <col min="612" max="612" width="11.08984375" bestFit="1" customWidth="1"/>
    <col min="613" max="613" width="6.453125" bestFit="1" customWidth="1"/>
    <col min="614" max="614" width="11.08984375" bestFit="1" customWidth="1"/>
    <col min="615" max="615" width="6.6328125" bestFit="1" customWidth="1"/>
    <col min="616" max="616" width="11.08984375" bestFit="1" customWidth="1"/>
    <col min="617" max="618" width="6.453125" bestFit="1" customWidth="1"/>
    <col min="619" max="619" width="11.08984375" bestFit="1" customWidth="1"/>
    <col min="620" max="620" width="6.453125" bestFit="1" customWidth="1"/>
    <col min="621" max="621" width="11.08984375" bestFit="1" customWidth="1"/>
    <col min="622" max="623" width="6.453125" bestFit="1" customWidth="1"/>
    <col min="624" max="624" width="11.08984375" bestFit="1" customWidth="1"/>
    <col min="625" max="625" width="6.6328125" bestFit="1" customWidth="1"/>
    <col min="626" max="626" width="11.08984375" bestFit="1" customWidth="1"/>
    <col min="627" max="627" width="6.6328125" bestFit="1" customWidth="1"/>
    <col min="628" max="628" width="6.453125" bestFit="1" customWidth="1"/>
    <col min="629" max="629" width="11.08984375" bestFit="1" customWidth="1"/>
    <col min="630" max="630" width="6.6328125" bestFit="1" customWidth="1"/>
    <col min="631" max="631" width="11.08984375" bestFit="1" customWidth="1"/>
    <col min="632" max="632" width="6.453125" bestFit="1" customWidth="1"/>
    <col min="633" max="633" width="11.08984375" bestFit="1" customWidth="1"/>
    <col min="634" max="634" width="6.453125" bestFit="1" customWidth="1"/>
    <col min="635" max="635" width="11.08984375" bestFit="1" customWidth="1"/>
    <col min="636" max="636" width="6.453125" bestFit="1" customWidth="1"/>
    <col min="637" max="637" width="11.08984375" bestFit="1" customWidth="1"/>
    <col min="638" max="638" width="6.453125" bestFit="1" customWidth="1"/>
    <col min="639" max="639" width="11.08984375" bestFit="1" customWidth="1"/>
    <col min="640" max="640" width="6.453125" bestFit="1" customWidth="1"/>
    <col min="641" max="641" width="11.08984375" bestFit="1" customWidth="1"/>
    <col min="642" max="643" width="6.453125" bestFit="1" customWidth="1"/>
    <col min="644" max="644" width="11.08984375" bestFit="1" customWidth="1"/>
    <col min="645" max="646" width="6.453125" bestFit="1" customWidth="1"/>
    <col min="647" max="647" width="11.08984375" bestFit="1" customWidth="1"/>
    <col min="648" max="648" width="6.6328125" bestFit="1" customWidth="1"/>
    <col min="649" max="649" width="11.08984375" bestFit="1" customWidth="1"/>
    <col min="650" max="650" width="6.6328125" bestFit="1" customWidth="1"/>
    <col min="651" max="651" width="11.08984375" bestFit="1" customWidth="1"/>
    <col min="652" max="652" width="6.453125" bestFit="1" customWidth="1"/>
    <col min="653" max="653" width="11.08984375" bestFit="1" customWidth="1"/>
    <col min="654" max="654" width="6.6328125" bestFit="1" customWidth="1"/>
    <col min="655" max="655" width="11.08984375" bestFit="1" customWidth="1"/>
    <col min="656" max="656" width="6.453125" bestFit="1" customWidth="1"/>
    <col min="657" max="657" width="11.08984375" bestFit="1" customWidth="1"/>
    <col min="658" max="658" width="6.453125" bestFit="1" customWidth="1"/>
    <col min="659" max="659" width="11.08984375" bestFit="1" customWidth="1"/>
    <col min="660" max="660" width="6.453125" bestFit="1" customWidth="1"/>
    <col min="661" max="661" width="11.08984375" bestFit="1" customWidth="1"/>
    <col min="662" max="662" width="6.453125" bestFit="1" customWidth="1"/>
    <col min="663" max="663" width="11.08984375" bestFit="1" customWidth="1"/>
    <col min="664" max="664" width="6.453125" bestFit="1" customWidth="1"/>
    <col min="665" max="665" width="11.08984375" bestFit="1" customWidth="1"/>
    <col min="666" max="666" width="6.6328125" bestFit="1" customWidth="1"/>
    <col min="667" max="667" width="12.6328125" bestFit="1" customWidth="1"/>
    <col min="668" max="668" width="6.6328125" bestFit="1" customWidth="1"/>
    <col min="669" max="669" width="12.6328125" bestFit="1" customWidth="1"/>
    <col min="670" max="670" width="6.6328125" bestFit="1" customWidth="1"/>
    <col min="671" max="671" width="12.6328125" bestFit="1" customWidth="1"/>
    <col min="672" max="672" width="6.6328125" bestFit="1" customWidth="1"/>
    <col min="673" max="673" width="12.6328125" bestFit="1" customWidth="1"/>
    <col min="674" max="674" width="6.6328125" bestFit="1" customWidth="1"/>
    <col min="675" max="675" width="12.6328125" bestFit="1" customWidth="1"/>
    <col min="676" max="676" width="6.6328125" bestFit="1" customWidth="1"/>
    <col min="677" max="677" width="12.6328125" bestFit="1" customWidth="1"/>
    <col min="678" max="678" width="6.6328125" bestFit="1" customWidth="1"/>
    <col min="679" max="679" width="12.6328125" bestFit="1" customWidth="1"/>
    <col min="680" max="680" width="6.6328125" bestFit="1" customWidth="1"/>
    <col min="681" max="681" width="12.6328125" bestFit="1" customWidth="1"/>
    <col min="682" max="682" width="6.6328125" bestFit="1" customWidth="1"/>
    <col min="683" max="683" width="12.6328125" bestFit="1" customWidth="1"/>
    <col min="684" max="684" width="6.6328125" bestFit="1" customWidth="1"/>
    <col min="685" max="685" width="12.6328125" bestFit="1" customWidth="1"/>
    <col min="686" max="686" width="6.6328125" bestFit="1" customWidth="1"/>
    <col min="687" max="687" width="12.6328125" bestFit="1" customWidth="1"/>
    <col min="688" max="688" width="6.6328125" bestFit="1" customWidth="1"/>
    <col min="689" max="689" width="12.6328125" bestFit="1" customWidth="1"/>
    <col min="690" max="690" width="6.6328125" bestFit="1" customWidth="1"/>
    <col min="691" max="691" width="12.6328125" bestFit="1" customWidth="1"/>
    <col min="692" max="692" width="6.6328125" bestFit="1" customWidth="1"/>
    <col min="693" max="693" width="12.6328125" bestFit="1" customWidth="1"/>
    <col min="694" max="694" width="6.6328125" bestFit="1" customWidth="1"/>
    <col min="695" max="695" width="12.6328125" bestFit="1" customWidth="1"/>
    <col min="696" max="696" width="6.6328125" bestFit="1" customWidth="1"/>
    <col min="697" max="697" width="12.6328125" bestFit="1" customWidth="1"/>
    <col min="698" max="698" width="6.6328125" bestFit="1" customWidth="1"/>
    <col min="699" max="699" width="12.6328125" bestFit="1" customWidth="1"/>
    <col min="700" max="700" width="6.6328125" bestFit="1" customWidth="1"/>
    <col min="701" max="701" width="12.6328125" bestFit="1" customWidth="1"/>
    <col min="702" max="702" width="6.6328125" bestFit="1" customWidth="1"/>
    <col min="703" max="703" width="12.6328125" bestFit="1" customWidth="1"/>
    <col min="704" max="704" width="6.6328125" bestFit="1" customWidth="1"/>
    <col min="705" max="705" width="12.6328125" bestFit="1" customWidth="1"/>
    <col min="706" max="706" width="6.6328125" bestFit="1" customWidth="1"/>
    <col min="707" max="707" width="12.6328125" bestFit="1" customWidth="1"/>
    <col min="708" max="708" width="6.6328125" bestFit="1" customWidth="1"/>
    <col min="709" max="709" width="12.6328125" bestFit="1" customWidth="1"/>
    <col min="710" max="710" width="6.6328125" bestFit="1" customWidth="1"/>
    <col min="711" max="711" width="12.6328125" bestFit="1" customWidth="1"/>
    <col min="712" max="713" width="6.6328125" bestFit="1" customWidth="1"/>
    <col min="714" max="714" width="12.6328125" bestFit="1" customWidth="1"/>
    <col min="715" max="715" width="6.6328125" bestFit="1" customWidth="1"/>
    <col min="716" max="716" width="12.6328125" bestFit="1" customWidth="1"/>
    <col min="717" max="717" width="6.6328125" bestFit="1" customWidth="1"/>
    <col min="718" max="718" width="12.6328125" bestFit="1" customWidth="1"/>
    <col min="719" max="719" width="6.6328125" bestFit="1" customWidth="1"/>
    <col min="720" max="720" width="12.6328125" bestFit="1" customWidth="1"/>
    <col min="721" max="721" width="6.6328125" bestFit="1" customWidth="1"/>
    <col min="722" max="722" width="12.6328125" bestFit="1" customWidth="1"/>
    <col min="723" max="723" width="6.6328125" bestFit="1" customWidth="1"/>
    <col min="724" max="724" width="12.6328125" bestFit="1" customWidth="1"/>
    <col min="725" max="725" width="6.6328125" bestFit="1" customWidth="1"/>
    <col min="726" max="726" width="12.6328125" bestFit="1" customWidth="1"/>
    <col min="727" max="727" width="6.6328125" bestFit="1" customWidth="1"/>
    <col min="728" max="728" width="12.6328125" bestFit="1" customWidth="1"/>
    <col min="729" max="729" width="6.6328125" bestFit="1" customWidth="1"/>
    <col min="730" max="730" width="12.6328125" bestFit="1" customWidth="1"/>
    <col min="731" max="731" width="6.6328125" bestFit="1" customWidth="1"/>
    <col min="732" max="732" width="12.6328125" bestFit="1" customWidth="1"/>
    <col min="733" max="733" width="6.6328125" bestFit="1" customWidth="1"/>
    <col min="734" max="734" width="12.6328125" bestFit="1" customWidth="1"/>
    <col min="735" max="735" width="6.6328125" bestFit="1" customWidth="1"/>
    <col min="736" max="736" width="12.6328125" bestFit="1" customWidth="1"/>
    <col min="737" max="737" width="6.6328125" bestFit="1" customWidth="1"/>
    <col min="738" max="738" width="12.6328125" bestFit="1" customWidth="1"/>
    <col min="739" max="739" width="6.6328125" bestFit="1" customWidth="1"/>
    <col min="740" max="740" width="12.6328125" bestFit="1" customWidth="1"/>
    <col min="741" max="741" width="6.6328125" bestFit="1" customWidth="1"/>
    <col min="742" max="742" width="12.6328125" bestFit="1" customWidth="1"/>
    <col min="743" max="743" width="6.6328125" bestFit="1" customWidth="1"/>
    <col min="744" max="744" width="12.6328125" bestFit="1" customWidth="1"/>
    <col min="745" max="745" width="6.6328125" bestFit="1" customWidth="1"/>
    <col min="746" max="746" width="12.6328125" bestFit="1" customWidth="1"/>
    <col min="747" max="747" width="6.6328125" bestFit="1" customWidth="1"/>
    <col min="748" max="748" width="12.6328125" bestFit="1" customWidth="1"/>
    <col min="749" max="749" width="6.6328125" bestFit="1" customWidth="1"/>
    <col min="750" max="750" width="12.6328125" bestFit="1" customWidth="1"/>
    <col min="751" max="751" width="6.6328125" bestFit="1" customWidth="1"/>
    <col min="752" max="752" width="12.6328125" bestFit="1" customWidth="1"/>
    <col min="753" max="753" width="6.6328125" bestFit="1" customWidth="1"/>
    <col min="754" max="754" width="12.6328125" bestFit="1" customWidth="1"/>
    <col min="755" max="755" width="6.6328125" bestFit="1" customWidth="1"/>
    <col min="756" max="756" width="12.6328125" bestFit="1" customWidth="1"/>
    <col min="757" max="757" width="6.6328125" bestFit="1" customWidth="1"/>
    <col min="758" max="758" width="12.6328125" bestFit="1" customWidth="1"/>
    <col min="759" max="759" width="6.6328125" bestFit="1" customWidth="1"/>
    <col min="760" max="760" width="12.6328125" bestFit="1" customWidth="1"/>
    <col min="761" max="762" width="6.6328125" bestFit="1" customWidth="1"/>
    <col min="763" max="763" width="12.6328125" bestFit="1" customWidth="1"/>
    <col min="764" max="764" width="6.6328125" bestFit="1" customWidth="1"/>
    <col min="765" max="765" width="12.6328125" bestFit="1" customWidth="1"/>
    <col min="766" max="766" width="6.6328125" bestFit="1" customWidth="1"/>
    <col min="767" max="767" width="12.6328125" bestFit="1" customWidth="1"/>
    <col min="768" max="768" width="6.6328125" bestFit="1" customWidth="1"/>
    <col min="769" max="769" width="12.6328125" bestFit="1" customWidth="1"/>
    <col min="770" max="770" width="6.6328125" bestFit="1" customWidth="1"/>
    <col min="771" max="771" width="12.6328125" bestFit="1" customWidth="1"/>
    <col min="772" max="772" width="6.6328125" bestFit="1" customWidth="1"/>
    <col min="773" max="773" width="12.6328125" bestFit="1" customWidth="1"/>
    <col min="774" max="774" width="6.6328125" bestFit="1" customWidth="1"/>
    <col min="775" max="775" width="12.6328125" bestFit="1" customWidth="1"/>
    <col min="776" max="776" width="6.6328125" bestFit="1" customWidth="1"/>
    <col min="777" max="777" width="12.6328125" bestFit="1" customWidth="1"/>
    <col min="778" max="778" width="6.6328125" bestFit="1" customWidth="1"/>
    <col min="779" max="779" width="12.6328125" bestFit="1" customWidth="1"/>
    <col min="780" max="780" width="6.6328125" bestFit="1" customWidth="1"/>
    <col min="781" max="781" width="12.6328125" bestFit="1" customWidth="1"/>
    <col min="782" max="782" width="6.6328125" bestFit="1" customWidth="1"/>
    <col min="783" max="783" width="12.6328125" bestFit="1" customWidth="1"/>
    <col min="784" max="784" width="6.6328125" bestFit="1" customWidth="1"/>
    <col min="785" max="785" width="12.6328125" bestFit="1" customWidth="1"/>
    <col min="786" max="787" width="6.6328125" bestFit="1" customWidth="1"/>
    <col min="788" max="788" width="12.6328125" bestFit="1" customWidth="1"/>
    <col min="789" max="789" width="6.6328125" bestFit="1" customWidth="1"/>
    <col min="790" max="790" width="12.6328125" bestFit="1" customWidth="1"/>
    <col min="791" max="791" width="6.6328125" bestFit="1" customWidth="1"/>
    <col min="792" max="792" width="12.6328125" bestFit="1" customWidth="1"/>
    <col min="793" max="793" width="6.6328125" bestFit="1" customWidth="1"/>
    <col min="794" max="794" width="12.6328125" bestFit="1" customWidth="1"/>
    <col min="795" max="795" width="6.6328125" bestFit="1" customWidth="1"/>
    <col min="796" max="796" width="12.6328125" bestFit="1" customWidth="1"/>
    <col min="797" max="797" width="6.6328125" bestFit="1" customWidth="1"/>
    <col min="798" max="798" width="12.6328125" bestFit="1" customWidth="1"/>
    <col min="799" max="799" width="6.6328125" bestFit="1" customWidth="1"/>
    <col min="800" max="800" width="12.6328125" bestFit="1" customWidth="1"/>
    <col min="801" max="801" width="6.6328125" bestFit="1" customWidth="1"/>
    <col min="802" max="802" width="12.6328125" bestFit="1" customWidth="1"/>
    <col min="803" max="803" width="6.6328125" bestFit="1" customWidth="1"/>
    <col min="804" max="804" width="12.6328125" bestFit="1" customWidth="1"/>
    <col min="805" max="805" width="6.6328125" bestFit="1" customWidth="1"/>
    <col min="806" max="806" width="12.6328125" bestFit="1" customWidth="1"/>
    <col min="807" max="807" width="6.6328125" bestFit="1" customWidth="1"/>
    <col min="808" max="808" width="12.6328125" bestFit="1" customWidth="1"/>
    <col min="809" max="809" width="6.6328125" bestFit="1" customWidth="1"/>
    <col min="810" max="810" width="12.6328125" bestFit="1" customWidth="1"/>
    <col min="811" max="811" width="6.6328125" bestFit="1" customWidth="1"/>
    <col min="812" max="812" width="12.6328125" bestFit="1" customWidth="1"/>
    <col min="813" max="813" width="6.6328125" bestFit="1" customWidth="1"/>
    <col min="814" max="814" width="12.6328125" bestFit="1" customWidth="1"/>
    <col min="815" max="815" width="6.6328125" bestFit="1" customWidth="1"/>
    <col min="816" max="816" width="12.6328125" bestFit="1" customWidth="1"/>
    <col min="817" max="817" width="6.6328125" bestFit="1" customWidth="1"/>
    <col min="818" max="818" width="12.6328125" bestFit="1" customWidth="1"/>
    <col min="819" max="819" width="6.6328125" bestFit="1" customWidth="1"/>
    <col min="820" max="820" width="12.6328125" bestFit="1" customWidth="1"/>
    <col min="821" max="821" width="6.6328125" bestFit="1" customWidth="1"/>
    <col min="822" max="822" width="12.6328125" bestFit="1" customWidth="1"/>
    <col min="823" max="823" width="6.6328125" bestFit="1" customWidth="1"/>
    <col min="824" max="824" width="12.6328125" bestFit="1" customWidth="1"/>
    <col min="825" max="825" width="6.6328125" bestFit="1" customWidth="1"/>
    <col min="826" max="826" width="12.6328125" bestFit="1" customWidth="1"/>
    <col min="827" max="827" width="6.6328125" bestFit="1" customWidth="1"/>
    <col min="828" max="828" width="12.6328125" bestFit="1" customWidth="1"/>
    <col min="829" max="829" width="6.6328125" bestFit="1" customWidth="1"/>
    <col min="830" max="830" width="12.6328125" bestFit="1" customWidth="1"/>
    <col min="831" max="831" width="6.6328125" bestFit="1" customWidth="1"/>
    <col min="832" max="832" width="12.6328125" bestFit="1" customWidth="1"/>
    <col min="833" max="834" width="6.6328125" bestFit="1" customWidth="1"/>
    <col min="835" max="835" width="12.6328125" bestFit="1" customWidth="1"/>
    <col min="836" max="836" width="6.6328125" bestFit="1" customWidth="1"/>
    <col min="837" max="837" width="12.6328125" bestFit="1" customWidth="1"/>
    <col min="838" max="838" width="6.6328125" bestFit="1" customWidth="1"/>
    <col min="839" max="839" width="12.6328125" bestFit="1" customWidth="1"/>
    <col min="840" max="840" width="6.6328125" bestFit="1" customWidth="1"/>
    <col min="841" max="841" width="12.6328125" bestFit="1" customWidth="1"/>
    <col min="842" max="842" width="6.6328125" bestFit="1" customWidth="1"/>
    <col min="843" max="843" width="12.6328125" bestFit="1" customWidth="1"/>
    <col min="844" max="844" width="6.6328125" bestFit="1" customWidth="1"/>
    <col min="845" max="845" width="12.6328125" bestFit="1" customWidth="1"/>
    <col min="846" max="846" width="6.6328125" bestFit="1" customWidth="1"/>
    <col min="847" max="847" width="12.6328125" bestFit="1" customWidth="1"/>
    <col min="848" max="848" width="6.6328125" bestFit="1" customWidth="1"/>
    <col min="849" max="849" width="12.6328125" bestFit="1" customWidth="1"/>
    <col min="850" max="850" width="6.6328125" bestFit="1" customWidth="1"/>
    <col min="851" max="851" width="12.6328125" bestFit="1" customWidth="1"/>
    <col min="852" max="852" width="6.6328125" bestFit="1" customWidth="1"/>
    <col min="853" max="853" width="12.6328125" bestFit="1" customWidth="1"/>
    <col min="854" max="854" width="6.6328125" bestFit="1" customWidth="1"/>
    <col min="855" max="855" width="12.6328125" bestFit="1" customWidth="1"/>
    <col min="856" max="856" width="6.6328125" bestFit="1" customWidth="1"/>
    <col min="857" max="857" width="12.6328125" bestFit="1" customWidth="1"/>
    <col min="858" max="858" width="6.6328125" bestFit="1" customWidth="1"/>
    <col min="859" max="859" width="12.6328125" bestFit="1" customWidth="1"/>
    <col min="860" max="860" width="6.6328125" bestFit="1" customWidth="1"/>
    <col min="861" max="861" width="12.6328125" bestFit="1" customWidth="1"/>
    <col min="862" max="862" width="6.6328125" bestFit="1" customWidth="1"/>
    <col min="863" max="863" width="12.6328125" bestFit="1" customWidth="1"/>
    <col min="864" max="865" width="6.6328125" bestFit="1" customWidth="1"/>
    <col min="866" max="866" width="12.6328125" bestFit="1" customWidth="1"/>
    <col min="867" max="867" width="6.6328125" bestFit="1" customWidth="1"/>
    <col min="868" max="868" width="12.6328125" bestFit="1" customWidth="1"/>
    <col min="869" max="869" width="6.6328125" bestFit="1" customWidth="1"/>
    <col min="870" max="870" width="12.6328125" bestFit="1" customWidth="1"/>
    <col min="871" max="871" width="6.6328125" bestFit="1" customWidth="1"/>
    <col min="872" max="872" width="12.6328125" bestFit="1" customWidth="1"/>
    <col min="873" max="873" width="6.6328125" bestFit="1" customWidth="1"/>
    <col min="874" max="874" width="12.6328125" bestFit="1" customWidth="1"/>
    <col min="875" max="875" width="6.6328125" bestFit="1" customWidth="1"/>
    <col min="876" max="876" width="12.6328125" bestFit="1" customWidth="1"/>
    <col min="877" max="877" width="6.6328125" bestFit="1" customWidth="1"/>
    <col min="878" max="878" width="12.6328125" bestFit="1" customWidth="1"/>
    <col min="879" max="879" width="6.6328125" bestFit="1" customWidth="1"/>
    <col min="880" max="880" width="12.6328125" bestFit="1" customWidth="1"/>
    <col min="881" max="881" width="6.6328125" bestFit="1" customWidth="1"/>
    <col min="882" max="882" width="12.6328125" bestFit="1" customWidth="1"/>
    <col min="883" max="883" width="6.6328125" bestFit="1" customWidth="1"/>
    <col min="884" max="884" width="12.6328125" bestFit="1" customWidth="1"/>
    <col min="885" max="885" width="6.6328125" bestFit="1" customWidth="1"/>
    <col min="886" max="886" width="12.6328125" bestFit="1" customWidth="1"/>
    <col min="887" max="887" width="6.6328125" bestFit="1" customWidth="1"/>
    <col min="888" max="888" width="12.6328125" bestFit="1" customWidth="1"/>
    <col min="889" max="889" width="6.6328125" bestFit="1" customWidth="1"/>
    <col min="890" max="890" width="12.6328125" bestFit="1" customWidth="1"/>
    <col min="891" max="891" width="6.6328125" bestFit="1" customWidth="1"/>
    <col min="892" max="892" width="12.6328125" bestFit="1" customWidth="1"/>
    <col min="893" max="893" width="6.6328125" bestFit="1" customWidth="1"/>
    <col min="894" max="894" width="12.6328125" bestFit="1" customWidth="1"/>
    <col min="895" max="895" width="6.6328125" bestFit="1" customWidth="1"/>
    <col min="896" max="896" width="12.6328125" bestFit="1" customWidth="1"/>
    <col min="897" max="897" width="6.6328125" bestFit="1" customWidth="1"/>
    <col min="898" max="898" width="12.6328125" bestFit="1" customWidth="1"/>
    <col min="899" max="899" width="6.6328125" bestFit="1" customWidth="1"/>
    <col min="900" max="900" width="12.6328125" bestFit="1" customWidth="1"/>
    <col min="901" max="901" width="6.6328125" bestFit="1" customWidth="1"/>
    <col min="902" max="902" width="12.6328125" bestFit="1" customWidth="1"/>
    <col min="903" max="903" width="6.6328125" bestFit="1" customWidth="1"/>
    <col min="904" max="904" width="12.6328125" bestFit="1" customWidth="1"/>
    <col min="905" max="905" width="6.6328125" bestFit="1" customWidth="1"/>
    <col min="906" max="906" width="12.6328125" bestFit="1" customWidth="1"/>
    <col min="907" max="907" width="6.6328125" bestFit="1" customWidth="1"/>
    <col min="908" max="908" width="12.6328125" bestFit="1" customWidth="1"/>
    <col min="909" max="909" width="6.6328125" bestFit="1" customWidth="1"/>
    <col min="910" max="910" width="12.6328125" bestFit="1" customWidth="1"/>
    <col min="911" max="911" width="6.6328125" bestFit="1" customWidth="1"/>
    <col min="912" max="912" width="12.6328125" bestFit="1" customWidth="1"/>
    <col min="913" max="913" width="6.6328125" bestFit="1" customWidth="1"/>
    <col min="914" max="914" width="12.6328125" bestFit="1" customWidth="1"/>
    <col min="915" max="915" width="6.6328125" bestFit="1" customWidth="1"/>
    <col min="916" max="916" width="12.6328125" bestFit="1" customWidth="1"/>
    <col min="917" max="917" width="6.6328125" bestFit="1" customWidth="1"/>
    <col min="918" max="918" width="12.6328125" bestFit="1" customWidth="1"/>
    <col min="919" max="919" width="6.6328125" bestFit="1" customWidth="1"/>
    <col min="920" max="920" width="12.6328125" bestFit="1" customWidth="1"/>
    <col min="921" max="921" width="6.6328125" bestFit="1" customWidth="1"/>
    <col min="922" max="922" width="12.6328125" bestFit="1" customWidth="1"/>
    <col min="923" max="923" width="6.6328125" bestFit="1" customWidth="1"/>
    <col min="924" max="924" width="12.6328125" bestFit="1" customWidth="1"/>
    <col min="925" max="925" width="6.6328125" bestFit="1" customWidth="1"/>
    <col min="926" max="926" width="12.6328125" bestFit="1" customWidth="1"/>
    <col min="927" max="927" width="6.6328125" bestFit="1" customWidth="1"/>
    <col min="928" max="928" width="12.6328125" bestFit="1" customWidth="1"/>
    <col min="929" max="929" width="6.6328125" bestFit="1" customWidth="1"/>
    <col min="930" max="930" width="12.6328125" bestFit="1" customWidth="1"/>
    <col min="931" max="931" width="6.6328125" bestFit="1" customWidth="1"/>
    <col min="932" max="932" width="12.6328125" bestFit="1" customWidth="1"/>
    <col min="933" max="933" width="6.6328125" bestFit="1" customWidth="1"/>
    <col min="934" max="934" width="12.6328125" bestFit="1" customWidth="1"/>
    <col min="935" max="935" width="6.6328125" bestFit="1" customWidth="1"/>
    <col min="936" max="936" width="12.6328125" bestFit="1" customWidth="1"/>
    <col min="937" max="937" width="6.6328125" bestFit="1" customWidth="1"/>
    <col min="938" max="938" width="12.6328125" bestFit="1" customWidth="1"/>
    <col min="939" max="939" width="6.6328125" bestFit="1" customWidth="1"/>
    <col min="940" max="940" width="12.6328125" bestFit="1" customWidth="1"/>
    <col min="941" max="941" width="6.6328125" bestFit="1" customWidth="1"/>
    <col min="942" max="942" width="12.6328125" bestFit="1" customWidth="1"/>
    <col min="943" max="943" width="6.6328125" bestFit="1" customWidth="1"/>
    <col min="944" max="944" width="12.6328125" bestFit="1" customWidth="1"/>
    <col min="945" max="945" width="6.6328125" bestFit="1" customWidth="1"/>
    <col min="946" max="946" width="12.6328125" bestFit="1" customWidth="1"/>
    <col min="947" max="947" width="6.6328125" bestFit="1" customWidth="1"/>
    <col min="948" max="948" width="12.6328125" bestFit="1" customWidth="1"/>
    <col min="949" max="949" width="6.6328125" bestFit="1" customWidth="1"/>
    <col min="950" max="950" width="12.6328125" bestFit="1" customWidth="1"/>
    <col min="951" max="952" width="6.6328125" bestFit="1" customWidth="1"/>
    <col min="953" max="953" width="12.6328125" bestFit="1" customWidth="1"/>
    <col min="954" max="954" width="6.6328125" bestFit="1" customWidth="1"/>
    <col min="955" max="955" width="12.6328125" bestFit="1" customWidth="1"/>
    <col min="956" max="956" width="6.6328125" bestFit="1" customWidth="1"/>
    <col min="957" max="957" width="12.6328125" bestFit="1" customWidth="1"/>
    <col min="958" max="958" width="6.6328125" bestFit="1" customWidth="1"/>
    <col min="959" max="959" width="12.6328125" bestFit="1" customWidth="1"/>
    <col min="960" max="960" width="6.6328125" bestFit="1" customWidth="1"/>
    <col min="961" max="961" width="12.6328125" bestFit="1" customWidth="1"/>
    <col min="962" max="962" width="6.6328125" bestFit="1" customWidth="1"/>
    <col min="963" max="963" width="12.6328125" bestFit="1" customWidth="1"/>
    <col min="964" max="964" width="6.6328125" bestFit="1" customWidth="1"/>
    <col min="965" max="965" width="12.6328125" bestFit="1" customWidth="1"/>
    <col min="966" max="966" width="6.6328125" bestFit="1" customWidth="1"/>
    <col min="967" max="967" width="12.6328125" bestFit="1" customWidth="1"/>
    <col min="968" max="968" width="6.6328125" bestFit="1" customWidth="1"/>
    <col min="969" max="969" width="12.6328125" bestFit="1" customWidth="1"/>
    <col min="970" max="970" width="6.6328125" bestFit="1" customWidth="1"/>
    <col min="971" max="971" width="12.6328125" bestFit="1" customWidth="1"/>
    <col min="972" max="972" width="6.6328125" bestFit="1" customWidth="1"/>
    <col min="973" max="973" width="12.6328125" bestFit="1" customWidth="1"/>
    <col min="974" max="974" width="6.6328125" bestFit="1" customWidth="1"/>
    <col min="975" max="975" width="12.6328125" bestFit="1" customWidth="1"/>
    <col min="976" max="976" width="6.6328125" bestFit="1" customWidth="1"/>
    <col min="977" max="977" width="12.6328125" bestFit="1" customWidth="1"/>
    <col min="978" max="978" width="6.6328125" bestFit="1" customWidth="1"/>
    <col min="979" max="979" width="12.6328125" bestFit="1" customWidth="1"/>
    <col min="980" max="980" width="6.6328125" bestFit="1" customWidth="1"/>
    <col min="981" max="981" width="12.6328125" bestFit="1" customWidth="1"/>
    <col min="982" max="982" width="6.6328125" bestFit="1" customWidth="1"/>
    <col min="983" max="983" width="12.6328125" bestFit="1" customWidth="1"/>
    <col min="984" max="984" width="6.6328125" bestFit="1" customWidth="1"/>
    <col min="985" max="985" width="12.6328125" bestFit="1" customWidth="1"/>
    <col min="986" max="986" width="6.6328125" bestFit="1" customWidth="1"/>
    <col min="987" max="987" width="12.6328125" bestFit="1" customWidth="1"/>
    <col min="988" max="988" width="6.6328125" bestFit="1" customWidth="1"/>
    <col min="989" max="989" width="12.6328125" bestFit="1" customWidth="1"/>
    <col min="990" max="990" width="6.6328125" bestFit="1" customWidth="1"/>
    <col min="991" max="991" width="12.6328125" bestFit="1" customWidth="1"/>
    <col min="992" max="992" width="6.6328125" bestFit="1" customWidth="1"/>
    <col min="993" max="993" width="12.6328125" bestFit="1" customWidth="1"/>
    <col min="994" max="994" width="6.6328125" bestFit="1" customWidth="1"/>
    <col min="995" max="995" width="12.6328125" bestFit="1" customWidth="1"/>
    <col min="996" max="996" width="6.6328125" bestFit="1" customWidth="1"/>
    <col min="997" max="997" width="12.6328125" bestFit="1" customWidth="1"/>
    <col min="998" max="998" width="6.6328125" bestFit="1" customWidth="1"/>
    <col min="999" max="999" width="12.6328125" bestFit="1" customWidth="1"/>
    <col min="1000" max="1000" width="6.6328125" bestFit="1" customWidth="1"/>
    <col min="1001" max="1001" width="12.6328125" bestFit="1" customWidth="1"/>
    <col min="1002" max="1002" width="6.6328125" bestFit="1" customWidth="1"/>
    <col min="1003" max="1003" width="12.6328125" bestFit="1" customWidth="1"/>
    <col min="1004" max="1004" width="6.6328125" bestFit="1" customWidth="1"/>
    <col min="1005" max="1005" width="12.6328125" bestFit="1" customWidth="1"/>
    <col min="1006" max="1006" width="6.6328125" bestFit="1" customWidth="1"/>
    <col min="1007" max="1007" width="12.6328125" bestFit="1" customWidth="1"/>
    <col min="1008" max="1008" width="6.6328125" bestFit="1" customWidth="1"/>
    <col min="1009" max="1009" width="12.6328125" bestFit="1" customWidth="1"/>
    <col min="1010" max="1010" width="6.6328125" bestFit="1" customWidth="1"/>
    <col min="1011" max="1011" width="12.6328125" bestFit="1" customWidth="1"/>
    <col min="1012" max="1012" width="6.6328125" bestFit="1" customWidth="1"/>
    <col min="1013" max="1013" width="12.6328125" bestFit="1" customWidth="1"/>
    <col min="1014" max="1014" width="6.6328125" bestFit="1" customWidth="1"/>
    <col min="1015" max="1015" width="12.6328125" bestFit="1" customWidth="1"/>
    <col min="1016" max="1016" width="6.6328125" bestFit="1" customWidth="1"/>
    <col min="1017" max="1017" width="12.6328125" bestFit="1" customWidth="1"/>
    <col min="1018" max="1018" width="6.6328125" bestFit="1" customWidth="1"/>
    <col min="1019" max="1019" width="12.6328125" bestFit="1" customWidth="1"/>
    <col min="1020" max="1020" width="6.6328125" bestFit="1" customWidth="1"/>
    <col min="1021" max="1021" width="12.6328125" bestFit="1" customWidth="1"/>
    <col min="1022" max="1022" width="6.6328125" bestFit="1" customWidth="1"/>
    <col min="1023" max="1023" width="12.6328125" bestFit="1" customWidth="1"/>
    <col min="1024" max="1024" width="6.6328125" bestFit="1" customWidth="1"/>
    <col min="1025" max="1025" width="12.6328125" bestFit="1" customWidth="1"/>
    <col min="1026" max="1026" width="6.6328125" bestFit="1" customWidth="1"/>
    <col min="1027" max="1027" width="12.6328125" bestFit="1" customWidth="1"/>
    <col min="1028" max="1028" width="6.6328125" bestFit="1" customWidth="1"/>
    <col min="1029" max="1029" width="12.6328125" bestFit="1" customWidth="1"/>
    <col min="1030" max="1030" width="6.6328125" bestFit="1" customWidth="1"/>
    <col min="1031" max="1031" width="12.6328125" bestFit="1" customWidth="1"/>
    <col min="1032" max="1032" width="6.6328125" bestFit="1" customWidth="1"/>
    <col min="1033" max="1033" width="12.6328125" bestFit="1" customWidth="1"/>
    <col min="1034" max="1034" width="6.6328125" bestFit="1" customWidth="1"/>
    <col min="1035" max="1035" width="12.6328125" bestFit="1" customWidth="1"/>
    <col min="1036" max="1036" width="6.6328125" bestFit="1" customWidth="1"/>
    <col min="1037" max="1037" width="12.6328125" bestFit="1" customWidth="1"/>
    <col min="1038" max="1038" width="6.6328125" bestFit="1" customWidth="1"/>
    <col min="1039" max="1039" width="12.6328125" bestFit="1" customWidth="1"/>
    <col min="1040" max="1040" width="6.6328125" bestFit="1" customWidth="1"/>
    <col min="1041" max="1041" width="12.6328125" bestFit="1" customWidth="1"/>
    <col min="1042" max="1042" width="6.6328125" bestFit="1" customWidth="1"/>
    <col min="1043" max="1043" width="12.6328125" bestFit="1" customWidth="1"/>
    <col min="1044" max="1044" width="6.6328125" bestFit="1" customWidth="1"/>
    <col min="1045" max="1045" width="12.6328125" bestFit="1" customWidth="1"/>
    <col min="1046" max="1046" width="6.6328125" bestFit="1" customWidth="1"/>
    <col min="1047" max="1047" width="12.6328125" bestFit="1" customWidth="1"/>
    <col min="1048" max="1048" width="6.6328125" bestFit="1" customWidth="1"/>
    <col min="1049" max="1049" width="12.6328125" bestFit="1" customWidth="1"/>
    <col min="1050" max="1050" width="6.6328125" bestFit="1" customWidth="1"/>
    <col min="1051" max="1051" width="12.6328125" bestFit="1" customWidth="1"/>
    <col min="1052" max="1052" width="6.6328125" bestFit="1" customWidth="1"/>
    <col min="1053" max="1053" width="12.6328125" bestFit="1" customWidth="1"/>
    <col min="1054" max="1054" width="6.6328125" bestFit="1" customWidth="1"/>
    <col min="1055" max="1055" width="12.6328125" bestFit="1" customWidth="1"/>
    <col min="1056" max="1056" width="6.6328125" bestFit="1" customWidth="1"/>
    <col min="1057" max="1057" width="12.6328125" bestFit="1" customWidth="1"/>
    <col min="1058" max="1058" width="6.6328125" bestFit="1" customWidth="1"/>
    <col min="1059" max="1059" width="12.6328125" bestFit="1" customWidth="1"/>
    <col min="1060" max="1060" width="6.6328125" bestFit="1" customWidth="1"/>
    <col min="1061" max="1061" width="12.6328125" bestFit="1" customWidth="1"/>
    <col min="1062" max="1062" width="6.6328125" bestFit="1" customWidth="1"/>
    <col min="1063" max="1063" width="12.6328125" bestFit="1" customWidth="1"/>
    <col min="1064" max="1064" width="6.6328125" bestFit="1" customWidth="1"/>
    <col min="1065" max="1065" width="12.6328125" bestFit="1" customWidth="1"/>
    <col min="1066" max="1066" width="6.6328125" bestFit="1" customWidth="1"/>
    <col min="1067" max="1067" width="12.6328125" bestFit="1" customWidth="1"/>
    <col min="1068" max="1068" width="6.6328125" bestFit="1" customWidth="1"/>
    <col min="1069" max="1069" width="12.6328125" bestFit="1" customWidth="1"/>
    <col min="1070" max="1070" width="6.6328125" bestFit="1" customWidth="1"/>
    <col min="1071" max="1071" width="12.6328125" bestFit="1" customWidth="1"/>
    <col min="1072" max="1072" width="6.6328125" bestFit="1" customWidth="1"/>
    <col min="1073" max="1073" width="12.6328125" bestFit="1" customWidth="1"/>
    <col min="1074" max="1074" width="6.6328125" bestFit="1" customWidth="1"/>
    <col min="1075" max="1075" width="12.6328125" bestFit="1" customWidth="1"/>
    <col min="1076" max="1076" width="6.6328125" bestFit="1" customWidth="1"/>
    <col min="1077" max="1077" width="12.6328125" bestFit="1" customWidth="1"/>
    <col min="1078" max="1078" width="6.6328125" bestFit="1" customWidth="1"/>
    <col min="1079" max="1079" width="12.6328125" bestFit="1" customWidth="1"/>
    <col min="1080" max="1080" width="6.6328125" bestFit="1" customWidth="1"/>
    <col min="1081" max="1081" width="12.6328125" bestFit="1" customWidth="1"/>
    <col min="1082" max="1082" width="6.6328125" bestFit="1" customWidth="1"/>
    <col min="1083" max="1083" width="12.6328125" bestFit="1" customWidth="1"/>
    <col min="1084" max="1084" width="6.6328125" bestFit="1" customWidth="1"/>
    <col min="1085" max="1085" width="12.6328125" bestFit="1" customWidth="1"/>
    <col min="1086" max="1086" width="6.6328125" bestFit="1" customWidth="1"/>
    <col min="1087" max="1087" width="12.6328125" bestFit="1" customWidth="1"/>
    <col min="1088" max="1088" width="6.6328125" bestFit="1" customWidth="1"/>
    <col min="1089" max="1089" width="12.6328125" bestFit="1" customWidth="1"/>
    <col min="1090" max="1090" width="6.6328125" bestFit="1" customWidth="1"/>
    <col min="1091" max="1091" width="12.6328125" bestFit="1" customWidth="1"/>
    <col min="1092" max="1092" width="6.6328125" bestFit="1" customWidth="1"/>
    <col min="1093" max="1093" width="12.6328125" bestFit="1" customWidth="1"/>
    <col min="1094" max="1094" width="6.6328125" bestFit="1" customWidth="1"/>
    <col min="1095" max="1095" width="12.6328125" bestFit="1" customWidth="1"/>
    <col min="1096" max="1096" width="6.6328125" bestFit="1" customWidth="1"/>
    <col min="1097" max="1097" width="12.6328125" bestFit="1" customWidth="1"/>
    <col min="1098" max="1098" width="6.6328125" bestFit="1" customWidth="1"/>
    <col min="1099" max="1099" width="12.6328125" bestFit="1" customWidth="1"/>
    <col min="1100" max="1100" width="6.6328125" bestFit="1" customWidth="1"/>
    <col min="1101" max="1101" width="12.6328125" bestFit="1" customWidth="1"/>
    <col min="1102" max="1102" width="6.6328125" bestFit="1" customWidth="1"/>
    <col min="1103" max="1103" width="12.6328125" bestFit="1" customWidth="1"/>
    <col min="1104" max="1104" width="6.6328125" bestFit="1" customWidth="1"/>
    <col min="1105" max="1105" width="12.6328125" bestFit="1" customWidth="1"/>
    <col min="1106" max="1106" width="6.6328125" bestFit="1" customWidth="1"/>
    <col min="1107" max="1107" width="12.6328125" bestFit="1" customWidth="1"/>
    <col min="1108" max="1108" width="6.6328125" bestFit="1" customWidth="1"/>
    <col min="1109" max="1109" width="12.6328125" bestFit="1" customWidth="1"/>
    <col min="1110" max="1110" width="6.6328125" bestFit="1" customWidth="1"/>
    <col min="1111" max="1111" width="12.6328125" bestFit="1" customWidth="1"/>
    <col min="1112" max="1112" width="6.6328125" bestFit="1" customWidth="1"/>
    <col min="1113" max="1113" width="12.6328125" bestFit="1" customWidth="1"/>
    <col min="1114" max="1114" width="6.6328125" bestFit="1" customWidth="1"/>
    <col min="1115" max="1115" width="12.6328125" bestFit="1" customWidth="1"/>
    <col min="1116" max="1116" width="6.6328125" bestFit="1" customWidth="1"/>
    <col min="1117" max="1117" width="12.6328125" bestFit="1" customWidth="1"/>
    <col min="1118" max="1118" width="6.6328125" bestFit="1" customWidth="1"/>
    <col min="1119" max="1119" width="12.6328125" bestFit="1" customWidth="1"/>
    <col min="1120" max="1120" width="6.6328125" bestFit="1" customWidth="1"/>
    <col min="1121" max="1121" width="12.6328125" bestFit="1" customWidth="1"/>
    <col min="1122" max="1122" width="6.6328125" bestFit="1" customWidth="1"/>
    <col min="1123" max="1123" width="12.6328125" bestFit="1" customWidth="1"/>
    <col min="1124" max="1124" width="6.6328125" bestFit="1" customWidth="1"/>
    <col min="1125" max="1125" width="12.6328125" bestFit="1" customWidth="1"/>
    <col min="1126" max="1126" width="6.6328125" bestFit="1" customWidth="1"/>
    <col min="1127" max="1127" width="12.6328125" bestFit="1" customWidth="1"/>
    <col min="1128" max="1128" width="6.6328125" bestFit="1" customWidth="1"/>
    <col min="1129" max="1129" width="12.6328125" bestFit="1" customWidth="1"/>
    <col min="1130" max="1130" width="6.6328125" bestFit="1" customWidth="1"/>
    <col min="1131" max="1131" width="12.6328125" bestFit="1" customWidth="1"/>
    <col min="1132" max="1132" width="6.6328125" bestFit="1" customWidth="1"/>
    <col min="1133" max="1133" width="12.6328125" bestFit="1" customWidth="1"/>
    <col min="1134" max="1134" width="6.6328125" bestFit="1" customWidth="1"/>
    <col min="1135" max="1135" width="12.6328125" bestFit="1" customWidth="1"/>
    <col min="1136" max="1136" width="6.6328125" bestFit="1" customWidth="1"/>
    <col min="1137" max="1137" width="12.6328125" bestFit="1" customWidth="1"/>
    <col min="1138" max="1138" width="6.6328125" bestFit="1" customWidth="1"/>
    <col min="1139" max="1139" width="12.6328125" bestFit="1" customWidth="1"/>
    <col min="1140" max="1140" width="6.6328125" bestFit="1" customWidth="1"/>
    <col min="1141" max="1141" width="12.6328125" bestFit="1" customWidth="1"/>
    <col min="1142" max="1142" width="6.6328125" bestFit="1" customWidth="1"/>
    <col min="1143" max="1143" width="12.6328125" bestFit="1" customWidth="1"/>
    <col min="1144" max="1144" width="6.6328125" bestFit="1" customWidth="1"/>
    <col min="1145" max="1145" width="12.6328125" bestFit="1" customWidth="1"/>
    <col min="1146" max="1146" width="6.6328125" bestFit="1" customWidth="1"/>
    <col min="1147" max="1147" width="12.6328125" bestFit="1" customWidth="1"/>
    <col min="1148" max="1148" width="6.6328125" bestFit="1" customWidth="1"/>
    <col min="1149" max="1149" width="12.6328125" bestFit="1" customWidth="1"/>
    <col min="1150" max="1150" width="6.6328125" bestFit="1" customWidth="1"/>
    <col min="1151" max="1151" width="12.6328125" bestFit="1" customWidth="1"/>
    <col min="1152" max="1152" width="6.6328125" bestFit="1" customWidth="1"/>
    <col min="1153" max="1153" width="12.6328125" bestFit="1" customWidth="1"/>
    <col min="1154" max="1154" width="6.6328125" bestFit="1" customWidth="1"/>
    <col min="1155" max="1155" width="12.6328125" bestFit="1" customWidth="1"/>
    <col min="1156" max="1156" width="6.6328125" bestFit="1" customWidth="1"/>
    <col min="1157" max="1157" width="12.6328125" bestFit="1" customWidth="1"/>
    <col min="1158" max="1158" width="6.6328125" bestFit="1" customWidth="1"/>
    <col min="1159" max="1159" width="12.6328125" bestFit="1" customWidth="1"/>
    <col min="1160" max="1160" width="6.6328125" bestFit="1" customWidth="1"/>
    <col min="1161" max="1161" width="12.6328125" bestFit="1" customWidth="1"/>
    <col min="1162" max="1162" width="6.6328125" bestFit="1" customWidth="1"/>
    <col min="1163" max="1163" width="12.6328125" bestFit="1" customWidth="1"/>
    <col min="1164" max="1164" width="6.6328125" bestFit="1" customWidth="1"/>
    <col min="1165" max="1165" width="12.6328125" bestFit="1" customWidth="1"/>
    <col min="1166" max="1166" width="6.6328125" bestFit="1" customWidth="1"/>
    <col min="1167" max="1167" width="12.6328125" bestFit="1" customWidth="1"/>
    <col min="1168" max="1168" width="6.6328125" bestFit="1" customWidth="1"/>
    <col min="1169" max="1169" width="12.6328125" bestFit="1" customWidth="1"/>
    <col min="1170" max="1170" width="6.6328125" bestFit="1" customWidth="1"/>
    <col min="1171" max="1171" width="12.6328125" bestFit="1" customWidth="1"/>
    <col min="1172" max="1172" width="6.6328125" bestFit="1" customWidth="1"/>
    <col min="1173" max="1173" width="12.6328125" bestFit="1" customWidth="1"/>
    <col min="1174" max="1174" width="6.6328125" bestFit="1" customWidth="1"/>
    <col min="1175" max="1175" width="12.6328125" bestFit="1" customWidth="1"/>
    <col min="1176" max="1176" width="6.6328125" bestFit="1" customWidth="1"/>
    <col min="1177" max="1177" width="12.6328125" bestFit="1" customWidth="1"/>
    <col min="1178" max="1178" width="6.6328125" bestFit="1" customWidth="1"/>
    <col min="1179" max="1179" width="12.6328125" bestFit="1" customWidth="1"/>
    <col min="1180" max="1180" width="6.6328125" bestFit="1" customWidth="1"/>
    <col min="1181" max="1181" width="12.6328125" bestFit="1" customWidth="1"/>
    <col min="1182" max="1182" width="6.6328125" bestFit="1" customWidth="1"/>
    <col min="1183" max="1183" width="12.6328125" bestFit="1" customWidth="1"/>
    <col min="1184" max="1184" width="6.6328125" bestFit="1" customWidth="1"/>
    <col min="1185" max="1185" width="12.6328125" bestFit="1" customWidth="1"/>
    <col min="1186" max="1186" width="6.6328125" bestFit="1" customWidth="1"/>
    <col min="1187" max="1187" width="12.6328125" bestFit="1" customWidth="1"/>
    <col min="1188" max="1188" width="6.6328125" bestFit="1" customWidth="1"/>
    <col min="1189" max="1189" width="12.6328125" bestFit="1" customWidth="1"/>
    <col min="1190" max="1190" width="6.6328125" bestFit="1" customWidth="1"/>
    <col min="1191" max="1191" width="12.6328125" bestFit="1" customWidth="1"/>
    <col min="1192" max="1192" width="6.6328125" bestFit="1" customWidth="1"/>
    <col min="1193" max="1193" width="12.6328125" bestFit="1" customWidth="1"/>
    <col min="1194" max="1194" width="6.6328125" bestFit="1" customWidth="1"/>
    <col min="1195" max="1195" width="12.6328125" bestFit="1" customWidth="1"/>
    <col min="1196" max="1196" width="7.6328125" bestFit="1" customWidth="1"/>
    <col min="1197" max="1197" width="12.6328125" bestFit="1" customWidth="1"/>
    <col min="1198" max="1198" width="6.6328125" bestFit="1" customWidth="1"/>
    <col min="1199" max="1199" width="12.6328125" bestFit="1" customWidth="1"/>
    <col min="1200" max="1200" width="6.6328125" bestFit="1" customWidth="1"/>
    <col min="1201" max="1201" width="12.6328125" bestFit="1" customWidth="1"/>
    <col min="1202" max="1202" width="6.6328125" bestFit="1" customWidth="1"/>
    <col min="1203" max="1203" width="12.6328125" bestFit="1" customWidth="1"/>
    <col min="1204" max="1204" width="6.6328125" bestFit="1" customWidth="1"/>
    <col min="1205" max="1205" width="12.6328125" bestFit="1" customWidth="1"/>
    <col min="1206" max="1206" width="6.6328125" bestFit="1" customWidth="1"/>
    <col min="1207" max="1207" width="12.6328125" bestFit="1" customWidth="1"/>
    <col min="1208" max="1208" width="6.6328125" bestFit="1" customWidth="1"/>
    <col min="1209" max="1209" width="12.6328125" bestFit="1" customWidth="1"/>
    <col min="1210" max="1210" width="6.6328125" bestFit="1" customWidth="1"/>
    <col min="1211" max="1211" width="12.6328125" bestFit="1" customWidth="1"/>
    <col min="1212" max="1212" width="6.6328125" bestFit="1" customWidth="1"/>
    <col min="1213" max="1213" width="12.6328125" bestFit="1" customWidth="1"/>
    <col min="1214" max="1214" width="6.6328125" bestFit="1" customWidth="1"/>
    <col min="1215" max="1215" width="12.6328125" bestFit="1" customWidth="1"/>
    <col min="1216" max="1216" width="6.6328125" bestFit="1" customWidth="1"/>
    <col min="1217" max="1217" width="12.6328125" bestFit="1" customWidth="1"/>
    <col min="1218" max="1218" width="6.6328125" bestFit="1" customWidth="1"/>
    <col min="1219" max="1219" width="12.6328125" bestFit="1" customWidth="1"/>
    <col min="1220" max="1220" width="7.6328125" bestFit="1" customWidth="1"/>
    <col min="1221" max="1221" width="12.6328125" bestFit="1" customWidth="1"/>
    <col min="1222" max="1222" width="6.6328125" bestFit="1" customWidth="1"/>
    <col min="1223" max="1223" width="12.6328125" bestFit="1" customWidth="1"/>
    <col min="1224" max="1224" width="6.6328125" bestFit="1" customWidth="1"/>
    <col min="1225" max="1225" width="12.6328125" bestFit="1" customWidth="1"/>
    <col min="1226" max="1226" width="6.6328125" bestFit="1" customWidth="1"/>
    <col min="1227" max="1227" width="12.6328125" bestFit="1" customWidth="1"/>
    <col min="1228" max="1228" width="6.6328125" bestFit="1" customWidth="1"/>
    <col min="1229" max="1229" width="12.6328125" bestFit="1" customWidth="1"/>
    <col min="1230" max="1230" width="7.6328125" bestFit="1" customWidth="1"/>
    <col min="1231" max="1231" width="13.7265625" bestFit="1" customWidth="1"/>
    <col min="1232" max="1232" width="7.6328125" bestFit="1" customWidth="1"/>
    <col min="1233" max="1233" width="13.7265625" bestFit="1" customWidth="1"/>
    <col min="1234" max="1234" width="7.6328125" bestFit="1" customWidth="1"/>
    <col min="1235" max="1235" width="13.7265625" bestFit="1" customWidth="1"/>
    <col min="1236" max="1236" width="7.6328125" bestFit="1" customWidth="1"/>
    <col min="1237" max="1237" width="13.7265625" bestFit="1" customWidth="1"/>
    <col min="1238" max="1238" width="7.6328125" bestFit="1" customWidth="1"/>
    <col min="1239" max="1239" width="13.7265625" bestFit="1" customWidth="1"/>
    <col min="1240" max="1240" width="7.6328125" bestFit="1" customWidth="1"/>
    <col min="1241" max="1241" width="13.7265625" bestFit="1" customWidth="1"/>
    <col min="1242" max="1242" width="7.6328125" bestFit="1" customWidth="1"/>
    <col min="1243" max="1243" width="13.7265625" bestFit="1" customWidth="1"/>
    <col min="1244" max="1244" width="7.6328125" bestFit="1" customWidth="1"/>
    <col min="1245" max="1245" width="13.7265625" bestFit="1" customWidth="1"/>
    <col min="1246" max="1246" width="7.6328125" bestFit="1" customWidth="1"/>
    <col min="1247" max="1247" width="13.7265625" bestFit="1" customWidth="1"/>
    <col min="1248" max="1248" width="7.6328125" bestFit="1" customWidth="1"/>
    <col min="1249" max="1249" width="13.7265625" bestFit="1" customWidth="1"/>
    <col min="1250" max="1250" width="7.6328125" bestFit="1" customWidth="1"/>
    <col min="1251" max="1251" width="13.7265625" bestFit="1" customWidth="1"/>
    <col min="1252" max="1252" width="7.6328125" bestFit="1" customWidth="1"/>
    <col min="1253" max="1253" width="13.7265625" bestFit="1" customWidth="1"/>
    <col min="1254" max="1254" width="7.6328125" bestFit="1" customWidth="1"/>
    <col min="1255" max="1255" width="13.7265625" bestFit="1" customWidth="1"/>
    <col min="1256" max="1256" width="7.6328125" bestFit="1" customWidth="1"/>
    <col min="1257" max="1257" width="13.7265625" bestFit="1" customWidth="1"/>
    <col min="1258" max="1258" width="7.6328125" bestFit="1" customWidth="1"/>
    <col min="1259" max="1259" width="13.7265625" bestFit="1" customWidth="1"/>
    <col min="1260" max="1260" width="7.6328125" bestFit="1" customWidth="1"/>
    <col min="1261" max="1261" width="13.7265625" bestFit="1" customWidth="1"/>
    <col min="1262" max="1262" width="7.6328125" bestFit="1" customWidth="1"/>
    <col min="1263" max="1263" width="13.7265625" bestFit="1" customWidth="1"/>
    <col min="1264" max="1264" width="7.6328125" bestFit="1" customWidth="1"/>
    <col min="1265" max="1265" width="13.7265625" bestFit="1" customWidth="1"/>
    <col min="1266" max="1266" width="7.6328125" bestFit="1" customWidth="1"/>
    <col min="1267" max="1267" width="13.7265625" bestFit="1" customWidth="1"/>
    <col min="1268" max="1268" width="7.6328125" bestFit="1" customWidth="1"/>
    <col min="1269" max="1269" width="13.7265625" bestFit="1" customWidth="1"/>
    <col min="1270" max="1270" width="7.6328125" bestFit="1" customWidth="1"/>
    <col min="1271" max="1271" width="13.7265625" bestFit="1" customWidth="1"/>
    <col min="1272" max="1272" width="7.6328125" bestFit="1" customWidth="1"/>
    <col min="1273" max="1273" width="13.7265625" bestFit="1" customWidth="1"/>
    <col min="1274" max="1274" width="7.6328125" bestFit="1" customWidth="1"/>
    <col min="1275" max="1275" width="13.7265625" bestFit="1" customWidth="1"/>
    <col min="1276" max="1276" width="7.6328125" bestFit="1" customWidth="1"/>
    <col min="1277" max="1277" width="13.7265625" bestFit="1" customWidth="1"/>
    <col min="1278" max="1278" width="7.6328125" bestFit="1" customWidth="1"/>
    <col min="1279" max="1279" width="13.7265625" bestFit="1" customWidth="1"/>
    <col min="1280" max="1280" width="7.6328125" bestFit="1" customWidth="1"/>
    <col min="1281" max="1281" width="13.7265625" bestFit="1" customWidth="1"/>
    <col min="1282" max="1282" width="7.6328125" bestFit="1" customWidth="1"/>
    <col min="1283" max="1283" width="13.7265625" bestFit="1" customWidth="1"/>
    <col min="1284" max="1284" width="7.6328125" bestFit="1" customWidth="1"/>
    <col min="1285" max="1285" width="13.7265625" bestFit="1" customWidth="1"/>
    <col min="1286" max="1286" width="7.6328125" bestFit="1" customWidth="1"/>
    <col min="1287" max="1287" width="13.7265625" bestFit="1" customWidth="1"/>
    <col min="1288" max="1288" width="7.6328125" bestFit="1" customWidth="1"/>
    <col min="1289" max="1289" width="13.7265625" bestFit="1" customWidth="1"/>
    <col min="1290" max="1290" width="7.6328125" bestFit="1" customWidth="1"/>
    <col min="1291" max="1291" width="13.7265625" bestFit="1" customWidth="1"/>
    <col min="1292" max="1292" width="7.6328125" bestFit="1" customWidth="1"/>
    <col min="1293" max="1293" width="13.7265625" bestFit="1" customWidth="1"/>
    <col min="1294" max="1294" width="7.6328125" bestFit="1" customWidth="1"/>
    <col min="1295" max="1295" width="13.7265625" bestFit="1" customWidth="1"/>
    <col min="1296" max="1296" width="7.6328125" bestFit="1" customWidth="1"/>
    <col min="1297" max="1297" width="13.7265625" bestFit="1" customWidth="1"/>
    <col min="1298" max="1298" width="7.6328125" bestFit="1" customWidth="1"/>
    <col min="1299" max="1299" width="13.7265625" bestFit="1" customWidth="1"/>
    <col min="1300" max="1300" width="7.6328125" bestFit="1" customWidth="1"/>
    <col min="1301" max="1301" width="13.7265625" bestFit="1" customWidth="1"/>
    <col min="1302" max="1302" width="7.6328125" bestFit="1" customWidth="1"/>
    <col min="1303" max="1303" width="13.7265625" bestFit="1" customWidth="1"/>
    <col min="1304" max="1304" width="7.6328125" bestFit="1" customWidth="1"/>
    <col min="1305" max="1305" width="13.7265625" bestFit="1" customWidth="1"/>
    <col min="1306" max="1306" width="7.6328125" bestFit="1" customWidth="1"/>
    <col min="1307" max="1307" width="13.7265625" bestFit="1" customWidth="1"/>
    <col min="1308" max="1308" width="7.6328125" bestFit="1" customWidth="1"/>
    <col min="1309" max="1309" width="13.7265625" bestFit="1" customWidth="1"/>
    <col min="1310" max="1310" width="7.6328125" bestFit="1" customWidth="1"/>
    <col min="1311" max="1311" width="13.7265625" bestFit="1" customWidth="1"/>
    <col min="1312" max="1312" width="7.6328125" bestFit="1" customWidth="1"/>
    <col min="1313" max="1313" width="13.7265625" bestFit="1" customWidth="1"/>
    <col min="1314" max="1314" width="7.6328125" bestFit="1" customWidth="1"/>
    <col min="1315" max="1315" width="13.7265625" bestFit="1" customWidth="1"/>
    <col min="1316" max="1316" width="7.6328125" bestFit="1" customWidth="1"/>
    <col min="1317" max="1317" width="13.7265625" bestFit="1" customWidth="1"/>
    <col min="1318" max="1318" width="7.6328125" bestFit="1" customWidth="1"/>
    <col min="1319" max="1319" width="13.7265625" bestFit="1" customWidth="1"/>
    <col min="1320" max="1320" width="7.6328125" bestFit="1" customWidth="1"/>
    <col min="1321" max="1321" width="13.7265625" bestFit="1" customWidth="1"/>
    <col min="1322" max="1322" width="7.6328125" bestFit="1" customWidth="1"/>
    <col min="1323" max="1323" width="13.7265625" bestFit="1" customWidth="1"/>
    <col min="1324" max="1324" width="7.6328125" bestFit="1" customWidth="1"/>
    <col min="1325" max="1325" width="13.7265625" bestFit="1" customWidth="1"/>
    <col min="1326" max="1326" width="7.6328125" bestFit="1" customWidth="1"/>
    <col min="1327" max="1327" width="13.7265625" bestFit="1" customWidth="1"/>
    <col min="1328" max="1328" width="7.6328125" bestFit="1" customWidth="1"/>
    <col min="1329" max="1329" width="13.7265625" bestFit="1" customWidth="1"/>
    <col min="1330" max="1330" width="7.6328125" bestFit="1" customWidth="1"/>
    <col min="1331" max="1331" width="13.7265625" bestFit="1" customWidth="1"/>
    <col min="1332" max="1332" width="7.6328125" bestFit="1" customWidth="1"/>
    <col min="1333" max="1333" width="13.7265625" bestFit="1" customWidth="1"/>
    <col min="1334" max="1334" width="7.6328125" bestFit="1" customWidth="1"/>
    <col min="1335" max="1335" width="13.7265625" bestFit="1" customWidth="1"/>
    <col min="1336" max="1336" width="7.6328125" bestFit="1" customWidth="1"/>
    <col min="1337" max="1337" width="13.7265625" bestFit="1" customWidth="1"/>
    <col min="1338" max="1338" width="7.6328125" bestFit="1" customWidth="1"/>
    <col min="1339" max="1339" width="13.7265625" bestFit="1" customWidth="1"/>
    <col min="1340" max="1340" width="7.6328125" bestFit="1" customWidth="1"/>
    <col min="1341" max="1341" width="13.7265625" bestFit="1" customWidth="1"/>
    <col min="1342" max="1342" width="7.6328125" bestFit="1" customWidth="1"/>
    <col min="1343" max="1343" width="13.7265625" bestFit="1" customWidth="1"/>
    <col min="1344" max="1344" width="7.6328125" bestFit="1" customWidth="1"/>
    <col min="1345" max="1345" width="13.7265625" bestFit="1" customWidth="1"/>
    <col min="1346" max="1346" width="7.6328125" bestFit="1" customWidth="1"/>
    <col min="1347" max="1347" width="13.7265625" bestFit="1" customWidth="1"/>
    <col min="1348" max="1348" width="7.6328125" bestFit="1" customWidth="1"/>
    <col min="1349" max="1349" width="13.7265625" bestFit="1" customWidth="1"/>
    <col min="1350" max="1350" width="7.6328125" bestFit="1" customWidth="1"/>
    <col min="1351" max="1351" width="13.7265625" bestFit="1" customWidth="1"/>
    <col min="1352" max="1352" width="7.6328125" bestFit="1" customWidth="1"/>
    <col min="1353" max="1353" width="13.7265625" bestFit="1" customWidth="1"/>
    <col min="1354" max="1354" width="7.6328125" bestFit="1" customWidth="1"/>
    <col min="1355" max="1355" width="13.7265625" bestFit="1" customWidth="1"/>
    <col min="1356" max="1356" width="7.6328125" bestFit="1" customWidth="1"/>
    <col min="1357" max="1357" width="13.7265625" bestFit="1" customWidth="1"/>
    <col min="1358" max="1358" width="7.6328125" bestFit="1" customWidth="1"/>
    <col min="1359" max="1359" width="13.7265625" bestFit="1" customWidth="1"/>
    <col min="1360" max="1360" width="7.6328125" bestFit="1" customWidth="1"/>
    <col min="1361" max="1361" width="13.7265625" bestFit="1" customWidth="1"/>
    <col min="1362" max="1362" width="7.6328125" bestFit="1" customWidth="1"/>
    <col min="1363" max="1363" width="13.7265625" bestFit="1" customWidth="1"/>
    <col min="1364" max="1364" width="7.6328125" bestFit="1" customWidth="1"/>
    <col min="1365" max="1365" width="13.7265625" bestFit="1" customWidth="1"/>
    <col min="1366" max="1366" width="7.6328125" bestFit="1" customWidth="1"/>
    <col min="1367" max="1367" width="13.7265625" bestFit="1" customWidth="1"/>
    <col min="1368" max="1368" width="7.6328125" bestFit="1" customWidth="1"/>
    <col min="1369" max="1369" width="13.7265625" bestFit="1" customWidth="1"/>
    <col min="1370" max="1370" width="7.6328125" bestFit="1" customWidth="1"/>
    <col min="1371" max="1371" width="13.7265625" bestFit="1" customWidth="1"/>
    <col min="1372" max="1372" width="7.6328125" bestFit="1" customWidth="1"/>
    <col min="1373" max="1373" width="13.7265625" bestFit="1" customWidth="1"/>
    <col min="1374" max="1374" width="7.6328125" bestFit="1" customWidth="1"/>
    <col min="1375" max="1375" width="13.7265625" bestFit="1" customWidth="1"/>
    <col min="1376" max="1376" width="7.6328125" bestFit="1" customWidth="1"/>
    <col min="1377" max="1377" width="13.7265625" bestFit="1" customWidth="1"/>
    <col min="1378" max="1378" width="7.6328125" bestFit="1" customWidth="1"/>
    <col min="1379" max="1379" width="13.7265625" bestFit="1" customWidth="1"/>
    <col min="1380" max="1380" width="7.6328125" bestFit="1" customWidth="1"/>
    <col min="1381" max="1381" width="13.7265625" bestFit="1" customWidth="1"/>
    <col min="1382" max="1382" width="7.6328125" bestFit="1" customWidth="1"/>
    <col min="1383" max="1383" width="13.7265625" bestFit="1" customWidth="1"/>
    <col min="1384" max="1384" width="7.6328125" bestFit="1" customWidth="1"/>
    <col min="1385" max="1385" width="13.7265625" bestFit="1" customWidth="1"/>
    <col min="1386" max="1386" width="7.6328125" bestFit="1" customWidth="1"/>
    <col min="1387" max="1387" width="13.7265625" bestFit="1" customWidth="1"/>
    <col min="1388" max="1388" width="7.6328125" bestFit="1" customWidth="1"/>
    <col min="1389" max="1389" width="13.7265625" bestFit="1" customWidth="1"/>
    <col min="1390" max="1390" width="7.6328125" bestFit="1" customWidth="1"/>
    <col min="1391" max="1391" width="13.7265625" bestFit="1" customWidth="1"/>
    <col min="1392" max="1392" width="7.6328125" bestFit="1" customWidth="1"/>
    <col min="1393" max="1393" width="13.7265625" bestFit="1" customWidth="1"/>
    <col min="1394" max="1394" width="7.6328125" bestFit="1" customWidth="1"/>
    <col min="1395" max="1395" width="13.7265625" bestFit="1" customWidth="1"/>
    <col min="1396" max="1396" width="7.6328125" bestFit="1" customWidth="1"/>
    <col min="1397" max="1397" width="13.7265625" bestFit="1" customWidth="1"/>
    <col min="1398" max="1398" width="7.6328125" bestFit="1" customWidth="1"/>
    <col min="1399" max="1399" width="13.7265625" bestFit="1" customWidth="1"/>
    <col min="1400" max="1400" width="7.6328125" bestFit="1" customWidth="1"/>
    <col min="1401" max="1401" width="13.7265625" bestFit="1" customWidth="1"/>
    <col min="1402" max="1402" width="7.6328125" bestFit="1" customWidth="1"/>
    <col min="1403" max="1403" width="13.7265625" bestFit="1" customWidth="1"/>
    <col min="1404" max="1404" width="7.6328125" bestFit="1" customWidth="1"/>
    <col min="1405" max="1405" width="13.7265625" bestFit="1" customWidth="1"/>
    <col min="1406" max="1406" width="7.6328125" bestFit="1" customWidth="1"/>
    <col min="1407" max="1407" width="13.7265625" bestFit="1" customWidth="1"/>
    <col min="1408" max="1408" width="7.6328125" bestFit="1" customWidth="1"/>
    <col min="1409" max="1409" width="13.7265625" bestFit="1" customWidth="1"/>
    <col min="1410" max="1410" width="7.6328125" bestFit="1" customWidth="1"/>
    <col min="1411" max="1411" width="13.7265625" bestFit="1" customWidth="1"/>
    <col min="1412" max="1412" width="7.6328125" bestFit="1" customWidth="1"/>
    <col min="1413" max="1413" width="13.7265625" bestFit="1" customWidth="1"/>
    <col min="1414" max="1414" width="7.6328125" bestFit="1" customWidth="1"/>
    <col min="1415" max="1415" width="13.7265625" bestFit="1" customWidth="1"/>
    <col min="1416" max="1416" width="7.6328125" bestFit="1" customWidth="1"/>
    <col min="1417" max="1417" width="13.7265625" bestFit="1" customWidth="1"/>
    <col min="1418" max="1418" width="7.6328125" bestFit="1" customWidth="1"/>
    <col min="1419" max="1419" width="13.7265625" bestFit="1" customWidth="1"/>
    <col min="1420" max="1420" width="7.6328125" bestFit="1" customWidth="1"/>
    <col min="1421" max="1421" width="13.7265625" bestFit="1" customWidth="1"/>
    <col min="1422" max="1422" width="7.6328125" bestFit="1" customWidth="1"/>
    <col min="1423" max="1423" width="13.7265625" bestFit="1" customWidth="1"/>
    <col min="1424" max="1424" width="7.6328125" bestFit="1" customWidth="1"/>
    <col min="1425" max="1425" width="13.7265625" bestFit="1" customWidth="1"/>
    <col min="1426" max="1426" width="7.6328125" bestFit="1" customWidth="1"/>
    <col min="1427" max="1427" width="13.7265625" bestFit="1" customWidth="1"/>
    <col min="1428" max="1428" width="7.6328125" bestFit="1" customWidth="1"/>
    <col min="1429" max="1429" width="13.7265625" bestFit="1" customWidth="1"/>
    <col min="1430" max="1430" width="7.6328125" bestFit="1" customWidth="1"/>
    <col min="1431" max="1431" width="13.7265625" bestFit="1" customWidth="1"/>
    <col min="1432" max="1432" width="7.6328125" bestFit="1" customWidth="1"/>
    <col min="1433" max="1433" width="13.7265625" bestFit="1" customWidth="1"/>
    <col min="1434" max="1434" width="7.6328125" bestFit="1" customWidth="1"/>
    <col min="1435" max="1435" width="13.7265625" bestFit="1" customWidth="1"/>
    <col min="1436" max="1436" width="7.6328125" bestFit="1" customWidth="1"/>
    <col min="1437" max="1437" width="13.7265625" bestFit="1" customWidth="1"/>
    <col min="1438" max="1438" width="7.6328125" bestFit="1" customWidth="1"/>
    <col min="1439" max="1439" width="13.7265625" bestFit="1" customWidth="1"/>
    <col min="1440" max="1440" width="7.6328125" bestFit="1" customWidth="1"/>
    <col min="1441" max="1441" width="13.7265625" bestFit="1" customWidth="1"/>
    <col min="1442" max="1442" width="7.6328125" bestFit="1" customWidth="1"/>
    <col min="1443" max="1443" width="13.7265625" bestFit="1" customWidth="1"/>
    <col min="1444" max="1444" width="7.6328125" bestFit="1" customWidth="1"/>
    <col min="1445" max="1445" width="13.7265625" bestFit="1" customWidth="1"/>
    <col min="1446" max="1446" width="7.6328125" bestFit="1" customWidth="1"/>
    <col min="1447" max="1447" width="13.7265625" bestFit="1" customWidth="1"/>
    <col min="1448" max="1448" width="7.6328125" bestFit="1" customWidth="1"/>
    <col min="1449" max="1449" width="13.7265625" bestFit="1" customWidth="1"/>
    <col min="1450" max="1450" width="7.6328125" bestFit="1" customWidth="1"/>
    <col min="1451" max="1451" width="13.7265625" bestFit="1" customWidth="1"/>
    <col min="1452" max="1452" width="7.6328125" bestFit="1" customWidth="1"/>
    <col min="1453" max="1453" width="13.7265625" bestFit="1" customWidth="1"/>
    <col min="1454" max="1454" width="7.6328125" bestFit="1" customWidth="1"/>
    <col min="1455" max="1455" width="13.7265625" bestFit="1" customWidth="1"/>
    <col min="1456" max="1456" width="7.6328125" bestFit="1" customWidth="1"/>
    <col min="1457" max="1457" width="13.7265625" bestFit="1" customWidth="1"/>
    <col min="1458" max="1458" width="7.6328125" bestFit="1" customWidth="1"/>
    <col min="1459" max="1459" width="13.7265625" bestFit="1" customWidth="1"/>
    <col min="1460" max="1460" width="7.6328125" bestFit="1" customWidth="1"/>
    <col min="1461" max="1461" width="13.7265625" bestFit="1" customWidth="1"/>
    <col min="1462" max="1462" width="7.6328125" bestFit="1" customWidth="1"/>
    <col min="1463" max="1463" width="13.7265625" bestFit="1" customWidth="1"/>
    <col min="1464" max="1464" width="7.6328125" bestFit="1" customWidth="1"/>
    <col min="1465" max="1465" width="13.7265625" bestFit="1" customWidth="1"/>
    <col min="1466" max="1466" width="7.6328125" bestFit="1" customWidth="1"/>
    <col min="1467" max="1467" width="13.7265625" bestFit="1" customWidth="1"/>
    <col min="1468" max="1468" width="7.6328125" bestFit="1" customWidth="1"/>
    <col min="1469" max="1469" width="13.7265625" bestFit="1" customWidth="1"/>
    <col min="1470" max="1470" width="7.6328125" bestFit="1" customWidth="1"/>
    <col min="1471" max="1471" width="13.7265625" bestFit="1" customWidth="1"/>
    <col min="1472" max="1472" width="7.6328125" bestFit="1" customWidth="1"/>
    <col min="1473" max="1473" width="13.7265625" bestFit="1" customWidth="1"/>
    <col min="1474" max="1474" width="7.6328125" bestFit="1" customWidth="1"/>
    <col min="1475" max="1475" width="13.7265625" bestFit="1" customWidth="1"/>
    <col min="1476" max="1476" width="7.6328125" bestFit="1" customWidth="1"/>
    <col min="1477" max="1477" width="13.7265625" bestFit="1" customWidth="1"/>
    <col min="1478" max="1478" width="7.6328125" bestFit="1" customWidth="1"/>
    <col min="1479" max="1479" width="13.7265625" bestFit="1" customWidth="1"/>
    <col min="1480" max="1480" width="7.6328125" bestFit="1" customWidth="1"/>
    <col min="1481" max="1481" width="13.7265625" bestFit="1" customWidth="1"/>
    <col min="1482" max="1482" width="7.6328125" bestFit="1" customWidth="1"/>
    <col min="1483" max="1483" width="13.7265625" bestFit="1" customWidth="1"/>
    <col min="1484" max="1484" width="7.6328125" bestFit="1" customWidth="1"/>
    <col min="1485" max="1485" width="13.7265625" bestFit="1" customWidth="1"/>
    <col min="1486" max="1486" width="7.6328125" bestFit="1" customWidth="1"/>
    <col min="1487" max="1487" width="13.7265625" bestFit="1" customWidth="1"/>
    <col min="1488" max="1488" width="7.6328125" bestFit="1" customWidth="1"/>
    <col min="1489" max="1489" width="13.7265625" bestFit="1" customWidth="1"/>
    <col min="1490" max="1490" width="7.6328125" bestFit="1" customWidth="1"/>
    <col min="1491" max="1491" width="13.7265625" bestFit="1" customWidth="1"/>
    <col min="1492" max="1492" width="7.6328125" bestFit="1" customWidth="1"/>
    <col min="1493" max="1493" width="13.7265625" bestFit="1" customWidth="1"/>
    <col min="1494" max="1494" width="7.6328125" bestFit="1" customWidth="1"/>
    <col min="1495" max="1495" width="13.7265625" bestFit="1" customWidth="1"/>
    <col min="1496" max="1496" width="7.6328125" bestFit="1" customWidth="1"/>
    <col min="1497" max="1497" width="13.7265625" bestFit="1" customWidth="1"/>
    <col min="1498" max="1498" width="7.6328125" bestFit="1" customWidth="1"/>
    <col min="1499" max="1499" width="13.7265625" bestFit="1" customWidth="1"/>
    <col min="1500" max="1500" width="7.6328125" bestFit="1" customWidth="1"/>
    <col min="1501" max="1501" width="13.7265625" bestFit="1" customWidth="1"/>
    <col min="1502" max="1502" width="7.6328125" bestFit="1" customWidth="1"/>
    <col min="1503" max="1503" width="13.7265625" bestFit="1" customWidth="1"/>
    <col min="1504" max="1504" width="7.6328125" bestFit="1" customWidth="1"/>
    <col min="1505" max="1505" width="13.7265625" bestFit="1" customWidth="1"/>
    <col min="1506" max="1506" width="7.6328125" bestFit="1" customWidth="1"/>
    <col min="1507" max="1507" width="13.7265625" bestFit="1" customWidth="1"/>
    <col min="1508" max="1508" width="7.6328125" bestFit="1" customWidth="1"/>
    <col min="1509" max="1509" width="13.7265625" bestFit="1" customWidth="1"/>
    <col min="1510" max="1510" width="7.6328125" bestFit="1" customWidth="1"/>
    <col min="1511" max="1511" width="13.7265625" bestFit="1" customWidth="1"/>
    <col min="1512" max="1512" width="7.6328125" bestFit="1" customWidth="1"/>
    <col min="1513" max="1513" width="13.7265625" bestFit="1" customWidth="1"/>
    <col min="1514" max="1514" width="7.6328125" bestFit="1" customWidth="1"/>
    <col min="1515" max="1515" width="13.7265625" bestFit="1" customWidth="1"/>
    <col min="1516" max="1516" width="7.6328125" bestFit="1" customWidth="1"/>
    <col min="1517" max="1517" width="13.7265625" bestFit="1" customWidth="1"/>
    <col min="1518" max="1518" width="7.6328125" bestFit="1" customWidth="1"/>
    <col min="1519" max="1519" width="13.7265625" bestFit="1" customWidth="1"/>
    <col min="1520" max="1520" width="7.6328125" bestFit="1" customWidth="1"/>
    <col min="1521" max="1521" width="13.7265625" bestFit="1" customWidth="1"/>
    <col min="1522" max="1522" width="7.6328125" bestFit="1" customWidth="1"/>
    <col min="1523" max="1523" width="13.7265625" bestFit="1" customWidth="1"/>
    <col min="1524" max="1524" width="7.6328125" bestFit="1" customWidth="1"/>
    <col min="1525" max="1525" width="13.7265625" bestFit="1" customWidth="1"/>
    <col min="1526" max="1526" width="7.6328125" bestFit="1" customWidth="1"/>
    <col min="1527" max="1527" width="13.7265625" bestFit="1" customWidth="1"/>
    <col min="1528" max="1528" width="7.6328125" bestFit="1" customWidth="1"/>
    <col min="1529" max="1529" width="13.7265625" bestFit="1" customWidth="1"/>
    <col min="1530" max="1530" width="7.6328125" bestFit="1" customWidth="1"/>
    <col min="1531" max="1531" width="13.7265625" bestFit="1" customWidth="1"/>
    <col min="1532" max="1532" width="7.6328125" bestFit="1" customWidth="1"/>
    <col min="1533" max="1533" width="13.7265625" bestFit="1" customWidth="1"/>
    <col min="1534" max="1534" width="7.6328125" bestFit="1" customWidth="1"/>
    <col min="1535" max="1535" width="13.7265625" bestFit="1" customWidth="1"/>
    <col min="1536" max="1536" width="7.6328125" bestFit="1" customWidth="1"/>
    <col min="1537" max="1537" width="13.7265625" bestFit="1" customWidth="1"/>
    <col min="1538" max="1538" width="7.6328125" bestFit="1" customWidth="1"/>
    <col min="1539" max="1539" width="13.7265625" bestFit="1" customWidth="1"/>
    <col min="1540" max="1540" width="7.6328125" bestFit="1" customWidth="1"/>
    <col min="1541" max="1541" width="13.7265625" bestFit="1" customWidth="1"/>
    <col min="1542" max="1542" width="7.6328125" bestFit="1" customWidth="1"/>
    <col min="1543" max="1543" width="13.7265625" bestFit="1" customWidth="1"/>
    <col min="1544" max="1544" width="7.6328125" bestFit="1" customWidth="1"/>
    <col min="1545" max="1545" width="13.7265625" bestFit="1" customWidth="1"/>
    <col min="1546" max="1546" width="7.6328125" bestFit="1" customWidth="1"/>
    <col min="1547" max="1547" width="13.7265625" bestFit="1" customWidth="1"/>
    <col min="1548" max="1548" width="7.6328125" bestFit="1" customWidth="1"/>
    <col min="1549" max="1549" width="13.7265625" bestFit="1" customWidth="1"/>
    <col min="1550" max="1550" width="7.6328125" bestFit="1" customWidth="1"/>
    <col min="1551" max="1551" width="13.7265625" bestFit="1" customWidth="1"/>
    <col min="1552" max="1552" width="7.6328125" bestFit="1" customWidth="1"/>
    <col min="1553" max="1553" width="13.7265625" bestFit="1" customWidth="1"/>
    <col min="1554" max="1554" width="7.6328125" bestFit="1" customWidth="1"/>
    <col min="1555" max="1555" width="13.7265625" bestFit="1" customWidth="1"/>
    <col min="1556" max="1556" width="7.6328125" bestFit="1" customWidth="1"/>
    <col min="1557" max="1557" width="13.7265625" bestFit="1" customWidth="1"/>
    <col min="1558" max="1558" width="7.6328125" bestFit="1" customWidth="1"/>
    <col min="1559" max="1559" width="13.7265625" bestFit="1" customWidth="1"/>
    <col min="1560" max="1560" width="7.6328125" bestFit="1" customWidth="1"/>
    <col min="1561" max="1561" width="13.7265625" bestFit="1" customWidth="1"/>
    <col min="1562" max="1562" width="7.6328125" bestFit="1" customWidth="1"/>
    <col min="1563" max="1563" width="13.7265625" bestFit="1" customWidth="1"/>
    <col min="1564" max="1564" width="7.6328125" bestFit="1" customWidth="1"/>
    <col min="1565" max="1565" width="13.7265625" bestFit="1" customWidth="1"/>
    <col min="1566" max="1566" width="7.6328125" bestFit="1" customWidth="1"/>
    <col min="1567" max="1567" width="13.7265625" bestFit="1" customWidth="1"/>
    <col min="1568" max="1568" width="7.6328125" bestFit="1" customWidth="1"/>
    <col min="1569" max="1569" width="13.7265625" bestFit="1" customWidth="1"/>
    <col min="1570" max="1570" width="7.6328125" bestFit="1" customWidth="1"/>
    <col min="1571" max="1571" width="13.7265625" bestFit="1" customWidth="1"/>
    <col min="1572" max="1572" width="7.6328125" bestFit="1" customWidth="1"/>
    <col min="1573" max="1573" width="13.7265625" bestFit="1" customWidth="1"/>
    <col min="1574" max="1574" width="12.36328125" bestFit="1" customWidth="1"/>
  </cols>
  <sheetData>
    <row r="1" spans="1:31" x14ac:dyDescent="0.25">
      <c r="A1" t="s">
        <v>929</v>
      </c>
    </row>
    <row r="2" spans="1:31" x14ac:dyDescent="0.25">
      <c r="A2" s="2"/>
      <c r="B2" s="2"/>
      <c r="C2" s="2"/>
      <c r="D2" s="2"/>
    </row>
    <row r="5" spans="1:31" x14ac:dyDescent="0.25">
      <c r="A5" s="10" t="s">
        <v>918</v>
      </c>
      <c r="B5" s="10" t="s">
        <v>930</v>
      </c>
      <c r="C5" s="10" t="s">
        <v>931</v>
      </c>
      <c r="D5" s="10" t="s">
        <v>61</v>
      </c>
      <c r="E5" s="2"/>
      <c r="F5" s="2"/>
      <c r="G5" s="2"/>
      <c r="H5" s="2"/>
      <c r="I5" s="2"/>
    </row>
    <row r="6" spans="1:31" ht="25" x14ac:dyDescent="0.25">
      <c r="A6" s="2"/>
      <c r="B6" s="2" t="s">
        <v>954</v>
      </c>
      <c r="C6" s="2"/>
      <c r="D6" s="2"/>
      <c r="E6" s="2"/>
      <c r="F6" s="2" t="s">
        <v>955</v>
      </c>
      <c r="G6" s="2" t="s">
        <v>956</v>
      </c>
      <c r="H6" s="2"/>
      <c r="I6" s="2" t="s">
        <v>957</v>
      </c>
      <c r="M6" t="s">
        <v>923</v>
      </c>
      <c r="P6" s="2" t="s">
        <v>927</v>
      </c>
      <c r="S6" t="s">
        <v>928</v>
      </c>
      <c r="Y6" s="2" t="s">
        <v>927</v>
      </c>
      <c r="AB6" t="s">
        <v>928</v>
      </c>
    </row>
    <row r="7" spans="1:31" x14ac:dyDescent="0.25">
      <c r="A7" s="2"/>
      <c r="B7" s="2" t="s">
        <v>919</v>
      </c>
      <c r="C7" s="2" t="s">
        <v>920</v>
      </c>
      <c r="D7" s="2" t="s">
        <v>921</v>
      </c>
      <c r="E7" s="2" t="s">
        <v>922</v>
      </c>
      <c r="F7" s="2"/>
      <c r="G7" s="2" t="s">
        <v>919</v>
      </c>
      <c r="H7" s="2" t="s">
        <v>920</v>
      </c>
      <c r="I7" s="2"/>
      <c r="M7" s="2" t="s">
        <v>925</v>
      </c>
      <c r="N7" s="2" t="s">
        <v>926</v>
      </c>
      <c r="P7" t="s">
        <v>925</v>
      </c>
      <c r="Q7" t="s">
        <v>926</v>
      </c>
      <c r="W7" s="2"/>
      <c r="Y7" t="s">
        <v>925</v>
      </c>
      <c r="Z7" t="s">
        <v>926</v>
      </c>
    </row>
    <row r="8" spans="1:31" x14ac:dyDescent="0.25">
      <c r="A8" s="10" t="s">
        <v>908</v>
      </c>
      <c r="B8" s="2"/>
      <c r="C8" s="2"/>
      <c r="D8" s="2"/>
      <c r="E8" s="2"/>
      <c r="F8" s="2"/>
      <c r="G8" s="2"/>
      <c r="H8" s="2"/>
      <c r="I8" s="2"/>
      <c r="M8" s="12">
        <f>G9-B9</f>
        <v>20600</v>
      </c>
      <c r="N8" s="15">
        <f>(G9-B9)/B9</f>
        <v>4.0438224722674262E-2</v>
      </c>
      <c r="P8" s="12">
        <f>H9-C9</f>
        <v>19884</v>
      </c>
      <c r="Q8" s="15">
        <f>(H9-C9)/C9</f>
        <v>3.4483835051975484E-2</v>
      </c>
      <c r="S8" s="16">
        <f>C9*(1+N8)</f>
        <v>599935.40826313896</v>
      </c>
      <c r="T8" s="14">
        <f>S8/$S$12</f>
        <v>0.61335833739413148</v>
      </c>
      <c r="U8" s="16"/>
      <c r="V8" s="14"/>
      <c r="W8" s="15"/>
      <c r="Y8" s="12">
        <f>G25-C25</f>
        <v>3259</v>
      </c>
      <c r="Z8" s="15">
        <f>(G25-C25)/C25</f>
        <v>3.4250102466553863E-2</v>
      </c>
      <c r="AB8" s="16">
        <f>C25/(1-W8)</f>
        <v>95153</v>
      </c>
      <c r="AC8" s="14">
        <f>AB8/$AB$12</f>
        <v>1.8460896727004636</v>
      </c>
      <c r="AD8" s="16">
        <f>AB8-G25</f>
        <v>-3259</v>
      </c>
      <c r="AE8" s="14">
        <f>AD8/$AD$12</f>
        <v>4.5076071922544951</v>
      </c>
    </row>
    <row r="9" spans="1:31" x14ac:dyDescent="0.25">
      <c r="A9" s="2" t="s">
        <v>897</v>
      </c>
      <c r="B9" s="9">
        <v>509419</v>
      </c>
      <c r="C9" s="9">
        <v>576618</v>
      </c>
      <c r="D9" s="9">
        <v>363694</v>
      </c>
      <c r="E9" s="9">
        <v>432034</v>
      </c>
      <c r="F9" s="9">
        <v>1881765</v>
      </c>
      <c r="G9" s="9">
        <v>530019</v>
      </c>
      <c r="H9" s="9">
        <v>596502</v>
      </c>
      <c r="I9" s="9">
        <v>1126521</v>
      </c>
      <c r="M9" s="12">
        <f t="shared" ref="M9:M12" si="0">G10-B10</f>
        <v>2352</v>
      </c>
      <c r="N9" s="15">
        <f t="shared" ref="N9:N12" si="1">(G10-B10)/B10</f>
        <v>1.5907799691583475E-2</v>
      </c>
      <c r="P9" s="12">
        <f t="shared" ref="P9:P12" si="2">H10-C10</f>
        <v>2772</v>
      </c>
      <c r="Q9" s="15">
        <f t="shared" ref="Q9:Q12" si="3">(H10-C10)/C10</f>
        <v>1.5970869870827235E-2</v>
      </c>
      <c r="S9" s="16">
        <f t="shared" ref="S9:S12" si="4">C10*(1+N9)</f>
        <v>176327.05316126937</v>
      </c>
      <c r="T9" s="14">
        <f t="shared" ref="T9:T12" si="5">S9/$S$12</f>
        <v>0.18027218709712525</v>
      </c>
      <c r="U9" s="16"/>
      <c r="V9" s="14"/>
      <c r="W9" s="15"/>
      <c r="Y9" s="12">
        <f>G26-C26</f>
        <v>2022</v>
      </c>
      <c r="Z9" s="15">
        <f>(G26-C26)/C26</f>
        <v>2.3181693111987527E-2</v>
      </c>
      <c r="AB9" s="16">
        <f>C26/(1-W9)</f>
        <v>87224</v>
      </c>
      <c r="AC9" s="14">
        <f>AB9/$AB$12</f>
        <v>1.6922569505073435</v>
      </c>
      <c r="AD9" s="16">
        <f>AB9-G26</f>
        <v>-2022</v>
      </c>
      <c r="AE9" s="14">
        <f>AD9/$AD$12</f>
        <v>2.796680497925311</v>
      </c>
    </row>
    <row r="10" spans="1:31" x14ac:dyDescent="0.25">
      <c r="A10" s="2" t="s">
        <v>898</v>
      </c>
      <c r="B10" s="9">
        <v>147852</v>
      </c>
      <c r="C10" s="9">
        <v>173566</v>
      </c>
      <c r="D10" s="9">
        <v>103536</v>
      </c>
      <c r="E10" s="9">
        <v>129264</v>
      </c>
      <c r="F10" s="9">
        <v>554218</v>
      </c>
      <c r="G10" s="9">
        <v>150204</v>
      </c>
      <c r="H10" s="9">
        <v>176338</v>
      </c>
      <c r="I10" s="9">
        <v>326542</v>
      </c>
      <c r="M10" s="12">
        <f t="shared" si="0"/>
        <v>4042</v>
      </c>
      <c r="N10" s="15">
        <f t="shared" si="1"/>
        <v>4.2220272415810146E-2</v>
      </c>
      <c r="P10" s="12">
        <f t="shared" si="2"/>
        <v>2473</v>
      </c>
      <c r="Q10" s="15">
        <f t="shared" si="3"/>
        <v>2.3039370959026625E-2</v>
      </c>
      <c r="S10" s="16">
        <f t="shared" si="4"/>
        <v>111869.83960056822</v>
      </c>
      <c r="T10" s="14">
        <f t="shared" si="5"/>
        <v>0.11437281060073178</v>
      </c>
      <c r="U10" s="16"/>
      <c r="V10" s="14"/>
      <c r="W10" s="15"/>
      <c r="Y10" s="12">
        <f>G27-C27</f>
        <v>939</v>
      </c>
      <c r="Z10" s="15">
        <f>(G27-C27)/C27</f>
        <v>1.3643892941210659E-2</v>
      </c>
      <c r="AB10" s="16">
        <f>C27/(1-W10)</f>
        <v>68822</v>
      </c>
      <c r="AC10" s="14">
        <f>AB10/$AB$12</f>
        <v>1.3352346584405255</v>
      </c>
      <c r="AD10" s="16">
        <f>AB10-G27</f>
        <v>-939</v>
      </c>
      <c r="AE10" s="14">
        <f>AD10/$AD$12</f>
        <v>1.2987551867219918</v>
      </c>
    </row>
    <row r="11" spans="1:31" x14ac:dyDescent="0.25">
      <c r="A11" s="2" t="s">
        <v>907</v>
      </c>
      <c r="B11" s="9">
        <v>95736</v>
      </c>
      <c r="C11" s="9">
        <v>107338</v>
      </c>
      <c r="D11" s="9">
        <v>69198</v>
      </c>
      <c r="E11" s="9">
        <v>80144</v>
      </c>
      <c r="F11" s="9">
        <v>352416</v>
      </c>
      <c r="G11" s="9">
        <v>99778</v>
      </c>
      <c r="H11" s="9">
        <v>109811</v>
      </c>
      <c r="I11" s="9">
        <v>209589</v>
      </c>
      <c r="M11" s="12">
        <f t="shared" si="0"/>
        <v>6212</v>
      </c>
      <c r="N11" s="15">
        <f t="shared" si="1"/>
        <v>8.9959885884755189E-2</v>
      </c>
      <c r="P11" s="12">
        <f t="shared" si="2"/>
        <v>13</v>
      </c>
      <c r="Q11" s="15">
        <f t="shared" si="3"/>
        <v>1.5735069839502289E-4</v>
      </c>
      <c r="S11" s="16">
        <f t="shared" si="4"/>
        <v>90050.305852026708</v>
      </c>
      <c r="T11" s="14">
        <f t="shared" si="5"/>
        <v>9.2065087538567514E-2</v>
      </c>
      <c r="U11" s="16"/>
      <c r="V11" s="14"/>
      <c r="W11" s="15"/>
      <c r="Y11" s="12">
        <f>G28-C28</f>
        <v>1387</v>
      </c>
      <c r="Z11" s="15">
        <f>(G28-C28)/C28</f>
        <v>2.4183564939933396E-2</v>
      </c>
      <c r="AB11" s="16">
        <f>C28/(1-W11)</f>
        <v>57353</v>
      </c>
      <c r="AC11" s="14">
        <f>AB11/$AB$12</f>
        <v>1.1127214170692432</v>
      </c>
      <c r="AD11" s="16">
        <f>AB11-G28</f>
        <v>-1387</v>
      </c>
      <c r="AE11" s="14">
        <f>AD11/$AD$12</f>
        <v>1.9183955739972338</v>
      </c>
    </row>
    <row r="12" spans="1:31" x14ac:dyDescent="0.25">
      <c r="A12" s="2" t="s">
        <v>909</v>
      </c>
      <c r="B12" s="9">
        <v>69053</v>
      </c>
      <c r="C12" s="9">
        <v>82618</v>
      </c>
      <c r="D12" s="9">
        <v>50574</v>
      </c>
      <c r="E12" s="9">
        <v>65121</v>
      </c>
      <c r="F12" s="9">
        <v>267366</v>
      </c>
      <c r="G12" s="9">
        <v>75265</v>
      </c>
      <c r="H12" s="9">
        <v>82631</v>
      </c>
      <c r="I12" s="9">
        <v>157896</v>
      </c>
      <c r="M12" s="12">
        <f t="shared" si="0"/>
        <v>33206</v>
      </c>
      <c r="N12" s="15">
        <f t="shared" si="1"/>
        <v>4.0393645232708074E-2</v>
      </c>
      <c r="P12" s="12">
        <f t="shared" si="2"/>
        <v>25142</v>
      </c>
      <c r="Q12" s="15">
        <f t="shared" si="3"/>
        <v>2.6742825536622206E-2</v>
      </c>
      <c r="S12" s="16">
        <f t="shared" si="4"/>
        <v>978115.68162907811</v>
      </c>
      <c r="T12" s="14">
        <f t="shared" si="5"/>
        <v>1</v>
      </c>
      <c r="U12" s="16"/>
      <c r="V12" s="14"/>
      <c r="W12" s="15"/>
      <c r="Y12" s="12">
        <f>G29-C29</f>
        <v>723</v>
      </c>
      <c r="Z12" s="15">
        <f>(G29-C29)/C29</f>
        <v>1.4027122984692393E-2</v>
      </c>
      <c r="AB12" s="16">
        <f>C29/(1-W12)</f>
        <v>51543</v>
      </c>
      <c r="AC12" s="14">
        <f>AB12/$AB$12</f>
        <v>1</v>
      </c>
      <c r="AD12" s="16">
        <f>AB12-G29</f>
        <v>-723</v>
      </c>
      <c r="AE12" s="14">
        <f>AD12/$AD$12</f>
        <v>1</v>
      </c>
    </row>
    <row r="13" spans="1:31" x14ac:dyDescent="0.25">
      <c r="A13" s="2" t="s">
        <v>916</v>
      </c>
      <c r="B13" s="9">
        <v>822060</v>
      </c>
      <c r="C13" s="9">
        <v>940140</v>
      </c>
      <c r="D13" s="9">
        <v>587002</v>
      </c>
      <c r="E13" s="9">
        <v>706563</v>
      </c>
      <c r="F13" s="9">
        <v>3055765</v>
      </c>
      <c r="G13" s="9">
        <v>855266</v>
      </c>
      <c r="H13" s="9">
        <v>965282</v>
      </c>
      <c r="I13" s="9">
        <v>1820548</v>
      </c>
    </row>
    <row r="20" spans="1:9" x14ac:dyDescent="0.25">
      <c r="A20" s="10" t="s">
        <v>918</v>
      </c>
      <c r="B20" s="2"/>
      <c r="C20" s="10" t="s">
        <v>930</v>
      </c>
      <c r="D20" s="10" t="s">
        <v>931</v>
      </c>
      <c r="E20" s="10" t="s">
        <v>932</v>
      </c>
      <c r="F20" s="10" t="s">
        <v>61</v>
      </c>
      <c r="G20" s="2"/>
      <c r="H20" s="2"/>
      <c r="I20" s="2"/>
    </row>
    <row r="21" spans="1:9" x14ac:dyDescent="0.25">
      <c r="A21" s="2"/>
      <c r="B21" s="2"/>
      <c r="C21" s="2" t="s">
        <v>954</v>
      </c>
      <c r="D21" s="2" t="s">
        <v>954</v>
      </c>
      <c r="E21" s="2" t="s">
        <v>954</v>
      </c>
      <c r="F21" s="2" t="s">
        <v>954</v>
      </c>
      <c r="G21" s="2" t="s">
        <v>956</v>
      </c>
      <c r="H21" s="2" t="s">
        <v>956</v>
      </c>
      <c r="I21" s="2" t="s">
        <v>916</v>
      </c>
    </row>
    <row r="22" spans="1:9" x14ac:dyDescent="0.25">
      <c r="A22" s="2"/>
      <c r="B22" s="2"/>
      <c r="C22" s="2" t="s">
        <v>919</v>
      </c>
      <c r="D22" s="2" t="s">
        <v>920</v>
      </c>
      <c r="E22" s="2" t="s">
        <v>921</v>
      </c>
      <c r="F22" s="2" t="s">
        <v>922</v>
      </c>
      <c r="G22" s="2" t="s">
        <v>919</v>
      </c>
      <c r="H22" s="2" t="s">
        <v>920</v>
      </c>
      <c r="I22" s="2"/>
    </row>
    <row r="23" spans="1:9" x14ac:dyDescent="0.25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25">
      <c r="A24" s="10" t="s">
        <v>908</v>
      </c>
      <c r="B24" s="10" t="s">
        <v>0</v>
      </c>
      <c r="C24" s="2"/>
      <c r="D24" s="2"/>
      <c r="E24" s="2"/>
      <c r="F24" s="2"/>
      <c r="G24" s="2"/>
      <c r="H24" s="2"/>
      <c r="I24" s="2"/>
    </row>
    <row r="25" spans="1:9" x14ac:dyDescent="0.25">
      <c r="A25" s="2" t="s">
        <v>897</v>
      </c>
      <c r="B25" s="2" t="s">
        <v>7</v>
      </c>
      <c r="C25" s="9">
        <v>95153</v>
      </c>
      <c r="D25" s="9">
        <v>101946</v>
      </c>
      <c r="E25" s="9">
        <v>67976</v>
      </c>
      <c r="F25" s="9">
        <v>74763</v>
      </c>
      <c r="G25" s="9">
        <v>98412</v>
      </c>
      <c r="H25" s="9">
        <v>105213</v>
      </c>
      <c r="I25" s="9">
        <v>543463</v>
      </c>
    </row>
    <row r="26" spans="1:9" x14ac:dyDescent="0.25">
      <c r="A26" s="2" t="s">
        <v>897</v>
      </c>
      <c r="B26" s="2" t="s">
        <v>1</v>
      </c>
      <c r="C26" s="9">
        <v>87224</v>
      </c>
      <c r="D26" s="9">
        <v>93457</v>
      </c>
      <c r="E26" s="9">
        <v>62305</v>
      </c>
      <c r="F26" s="9">
        <v>68540</v>
      </c>
      <c r="G26" s="9">
        <v>89246</v>
      </c>
      <c r="H26" s="9">
        <v>94887</v>
      </c>
      <c r="I26" s="9">
        <v>495659</v>
      </c>
    </row>
    <row r="27" spans="1:9" x14ac:dyDescent="0.25">
      <c r="A27" s="2" t="s">
        <v>897</v>
      </c>
      <c r="B27" s="2" t="s">
        <v>17</v>
      </c>
      <c r="C27" s="9">
        <v>68822</v>
      </c>
      <c r="D27" s="9">
        <v>79019</v>
      </c>
      <c r="E27" s="9">
        <v>48434</v>
      </c>
      <c r="F27" s="9">
        <v>58625</v>
      </c>
      <c r="G27" s="9">
        <v>69761</v>
      </c>
      <c r="H27" s="9">
        <v>81839</v>
      </c>
      <c r="I27" s="9">
        <v>406500</v>
      </c>
    </row>
    <row r="28" spans="1:9" x14ac:dyDescent="0.25">
      <c r="A28" s="2" t="s">
        <v>897</v>
      </c>
      <c r="B28" s="2" t="s">
        <v>36</v>
      </c>
      <c r="C28" s="9">
        <v>57353</v>
      </c>
      <c r="D28" s="9">
        <v>65847</v>
      </c>
      <c r="E28" s="9">
        <v>40364</v>
      </c>
      <c r="F28" s="9">
        <v>48865</v>
      </c>
      <c r="G28" s="9">
        <v>58740</v>
      </c>
      <c r="H28" s="9">
        <v>67226</v>
      </c>
      <c r="I28" s="9">
        <v>338395</v>
      </c>
    </row>
    <row r="29" spans="1:9" x14ac:dyDescent="0.25">
      <c r="A29" s="2" t="s">
        <v>897</v>
      </c>
      <c r="B29" s="2" t="s">
        <v>3</v>
      </c>
      <c r="C29" s="9">
        <v>51543</v>
      </c>
      <c r="D29" s="9">
        <v>63438</v>
      </c>
      <c r="E29" s="9">
        <v>35691</v>
      </c>
      <c r="F29" s="9">
        <v>47581</v>
      </c>
      <c r="G29" s="9">
        <v>52266</v>
      </c>
      <c r="H29" s="9">
        <v>65834</v>
      </c>
      <c r="I29" s="9">
        <v>316353</v>
      </c>
    </row>
    <row r="30" spans="1:9" x14ac:dyDescent="0.25">
      <c r="A30" s="2" t="s">
        <v>897</v>
      </c>
      <c r="B30" s="2" t="s">
        <v>35</v>
      </c>
      <c r="C30" s="9">
        <v>47869</v>
      </c>
      <c r="D30" s="9">
        <v>58910</v>
      </c>
      <c r="E30" s="9">
        <v>33137</v>
      </c>
      <c r="F30" s="9">
        <v>44184</v>
      </c>
      <c r="G30" s="9">
        <v>49385</v>
      </c>
      <c r="H30" s="9">
        <v>60071</v>
      </c>
      <c r="I30" s="9">
        <v>293556</v>
      </c>
    </row>
    <row r="31" spans="1:9" x14ac:dyDescent="0.25">
      <c r="A31" s="2" t="s">
        <v>897</v>
      </c>
      <c r="B31" s="2" t="s">
        <v>21</v>
      </c>
      <c r="C31" s="9">
        <v>38242</v>
      </c>
      <c r="D31" s="9">
        <v>43900</v>
      </c>
      <c r="E31" s="9">
        <v>26910</v>
      </c>
      <c r="F31" s="9">
        <v>32575</v>
      </c>
      <c r="G31" s="9">
        <v>39302</v>
      </c>
      <c r="H31" s="9">
        <v>44111</v>
      </c>
      <c r="I31" s="9">
        <v>225040</v>
      </c>
    </row>
    <row r="32" spans="1:9" x14ac:dyDescent="0.25">
      <c r="A32" s="2" t="s">
        <v>897</v>
      </c>
      <c r="B32" s="2" t="s">
        <v>52</v>
      </c>
      <c r="C32" s="9">
        <v>20189</v>
      </c>
      <c r="D32" s="9">
        <v>20896</v>
      </c>
      <c r="E32" s="9">
        <v>14525</v>
      </c>
      <c r="F32" s="9">
        <v>15234</v>
      </c>
      <c r="G32" s="9">
        <v>20317</v>
      </c>
      <c r="H32" s="9">
        <v>21097</v>
      </c>
      <c r="I32" s="9">
        <v>112258</v>
      </c>
    </row>
    <row r="33" spans="1:19" x14ac:dyDescent="0.25">
      <c r="A33" s="2" t="s">
        <v>897</v>
      </c>
      <c r="B33" s="2" t="s">
        <v>51</v>
      </c>
      <c r="C33" s="9">
        <v>8078</v>
      </c>
      <c r="D33" s="9">
        <v>8367</v>
      </c>
      <c r="E33" s="9">
        <v>5826</v>
      </c>
      <c r="F33" s="9">
        <v>6094</v>
      </c>
      <c r="G33" s="9">
        <v>8296</v>
      </c>
      <c r="H33" s="9">
        <v>8401</v>
      </c>
      <c r="I33" s="9">
        <v>45062</v>
      </c>
    </row>
    <row r="34" spans="1:19" x14ac:dyDescent="0.25">
      <c r="A34" s="2" t="s">
        <v>897</v>
      </c>
      <c r="B34" s="2" t="s">
        <v>48</v>
      </c>
      <c r="C34" s="9">
        <v>5024</v>
      </c>
      <c r="D34" s="9">
        <v>5769</v>
      </c>
      <c r="E34" s="9">
        <v>3536</v>
      </c>
      <c r="F34" s="9">
        <v>4278</v>
      </c>
      <c r="G34" s="9">
        <v>5035</v>
      </c>
      <c r="H34" s="9">
        <v>5895</v>
      </c>
      <c r="I34" s="9">
        <v>29537</v>
      </c>
    </row>
    <row r="35" spans="1:19" x14ac:dyDescent="0.25">
      <c r="A35" s="2" t="s">
        <v>897</v>
      </c>
      <c r="B35" s="2" t="s">
        <v>47</v>
      </c>
      <c r="C35" s="9">
        <v>4798</v>
      </c>
      <c r="D35" s="9">
        <v>5696</v>
      </c>
      <c r="E35" s="9">
        <v>3354</v>
      </c>
      <c r="F35" s="9">
        <v>4261</v>
      </c>
      <c r="G35" s="9">
        <v>4844</v>
      </c>
      <c r="H35" s="9">
        <v>5860</v>
      </c>
      <c r="I35" s="9">
        <v>28813</v>
      </c>
    </row>
    <row r="36" spans="1:19" x14ac:dyDescent="0.25">
      <c r="A36" s="2" t="s">
        <v>897</v>
      </c>
      <c r="B36" s="2" t="s">
        <v>46</v>
      </c>
      <c r="C36" s="9">
        <v>4934</v>
      </c>
      <c r="D36" s="9">
        <v>5281</v>
      </c>
      <c r="E36" s="9">
        <v>3520</v>
      </c>
      <c r="F36" s="9">
        <v>3875</v>
      </c>
      <c r="G36" s="9">
        <v>5039</v>
      </c>
      <c r="H36" s="9">
        <v>5432</v>
      </c>
      <c r="I36" s="9">
        <v>28081</v>
      </c>
    </row>
    <row r="37" spans="1:19" x14ac:dyDescent="0.25">
      <c r="A37" s="2" t="s">
        <v>897</v>
      </c>
      <c r="B37" s="2" t="s">
        <v>45</v>
      </c>
      <c r="C37" s="9">
        <v>4533</v>
      </c>
      <c r="D37" s="9">
        <v>5388</v>
      </c>
      <c r="E37" s="9">
        <v>3167</v>
      </c>
      <c r="F37" s="9">
        <v>4019</v>
      </c>
      <c r="G37" s="9">
        <v>4623</v>
      </c>
      <c r="H37" s="9">
        <v>5591</v>
      </c>
      <c r="I37" s="9">
        <v>27321</v>
      </c>
    </row>
    <row r="38" spans="1:19" x14ac:dyDescent="0.25">
      <c r="A38" s="2" t="s">
        <v>897</v>
      </c>
      <c r="B38" s="2" t="s">
        <v>38</v>
      </c>
      <c r="C38" s="9">
        <v>3809</v>
      </c>
      <c r="D38" s="9">
        <v>4363</v>
      </c>
      <c r="E38" s="9">
        <v>2684</v>
      </c>
      <c r="F38" s="9">
        <v>3246</v>
      </c>
      <c r="G38" s="9">
        <v>3775</v>
      </c>
      <c r="H38" s="9">
        <v>4424</v>
      </c>
      <c r="I38" s="9">
        <v>22301</v>
      </c>
    </row>
    <row r="39" spans="1:19" x14ac:dyDescent="0.25">
      <c r="A39" s="2" t="s">
        <v>897</v>
      </c>
      <c r="B39" s="2" t="s">
        <v>49</v>
      </c>
      <c r="C39" s="9"/>
      <c r="D39" s="9">
        <v>1342</v>
      </c>
      <c r="E39" s="9">
        <v>3824</v>
      </c>
      <c r="F39" s="9">
        <v>4213</v>
      </c>
      <c r="G39" s="9">
        <v>5531</v>
      </c>
      <c r="H39" s="9">
        <v>5817</v>
      </c>
      <c r="I39" s="9">
        <v>20727</v>
      </c>
    </row>
    <row r="40" spans="1:19" x14ac:dyDescent="0.25">
      <c r="A40" s="2" t="s">
        <v>897</v>
      </c>
      <c r="B40" s="2" t="s">
        <v>33</v>
      </c>
      <c r="C40" s="9">
        <v>3584</v>
      </c>
      <c r="D40" s="9">
        <v>3716</v>
      </c>
      <c r="E40" s="9">
        <v>2587</v>
      </c>
      <c r="F40" s="9">
        <v>2713</v>
      </c>
      <c r="G40" s="9">
        <v>3613</v>
      </c>
      <c r="H40" s="9">
        <v>3743</v>
      </c>
      <c r="I40" s="9">
        <v>19956</v>
      </c>
    </row>
    <row r="41" spans="1:19" x14ac:dyDescent="0.25">
      <c r="A41" s="2" t="s">
        <v>897</v>
      </c>
      <c r="B41" s="2" t="s">
        <v>37</v>
      </c>
      <c r="C41" s="9">
        <v>3673</v>
      </c>
      <c r="D41" s="9">
        <v>4216</v>
      </c>
      <c r="E41" s="9">
        <v>2588</v>
      </c>
      <c r="F41" s="9">
        <v>3131</v>
      </c>
      <c r="G41" s="9">
        <v>3759</v>
      </c>
      <c r="H41" s="9">
        <v>1614</v>
      </c>
      <c r="I41" s="9">
        <v>18981</v>
      </c>
    </row>
    <row r="42" spans="1:19" x14ac:dyDescent="0.25">
      <c r="A42" s="2" t="s">
        <v>897</v>
      </c>
      <c r="B42" s="2" t="s">
        <v>26</v>
      </c>
      <c r="C42" s="9">
        <v>2680</v>
      </c>
      <c r="D42" s="9">
        <v>2873</v>
      </c>
      <c r="E42" s="9">
        <v>1919</v>
      </c>
      <c r="F42" s="9">
        <v>2114</v>
      </c>
      <c r="G42" s="9">
        <v>2699</v>
      </c>
      <c r="H42" s="9">
        <v>2912</v>
      </c>
      <c r="I42" s="9">
        <v>15197</v>
      </c>
    </row>
    <row r="43" spans="1:19" x14ac:dyDescent="0.25">
      <c r="A43" s="2" t="s">
        <v>897</v>
      </c>
      <c r="B43" s="2" t="s">
        <v>19</v>
      </c>
      <c r="C43" s="9">
        <v>1911</v>
      </c>
      <c r="D43" s="9">
        <v>2194</v>
      </c>
      <c r="E43" s="9">
        <v>1347</v>
      </c>
      <c r="F43" s="9">
        <v>1631</v>
      </c>
      <c r="G43" s="9">
        <v>1911</v>
      </c>
      <c r="H43" s="9">
        <v>2214</v>
      </c>
      <c r="I43" s="9">
        <v>11208</v>
      </c>
    </row>
    <row r="44" spans="1:19" ht="13" x14ac:dyDescent="0.3">
      <c r="A44" s="2" t="s">
        <v>897</v>
      </c>
      <c r="B44" s="2" t="s">
        <v>34</v>
      </c>
      <c r="C44" s="9"/>
      <c r="D44" s="9"/>
      <c r="E44" s="9"/>
      <c r="F44" s="9">
        <v>2092</v>
      </c>
      <c r="G44" s="9">
        <v>3465</v>
      </c>
      <c r="H44" s="9">
        <v>4321</v>
      </c>
      <c r="I44" s="9">
        <v>9878</v>
      </c>
      <c r="N44" s="17">
        <v>2024</v>
      </c>
      <c r="O44" s="17">
        <v>2024</v>
      </c>
      <c r="P44" s="17">
        <v>2024</v>
      </c>
      <c r="Q44" s="17">
        <v>2024</v>
      </c>
      <c r="R44" s="17">
        <v>2025</v>
      </c>
      <c r="S44" s="17">
        <v>2025</v>
      </c>
    </row>
    <row r="45" spans="1:19" ht="13" x14ac:dyDescent="0.3">
      <c r="A45" s="2" t="s">
        <v>898</v>
      </c>
      <c r="B45" s="2" t="s">
        <v>20</v>
      </c>
      <c r="C45" s="9">
        <v>73638</v>
      </c>
      <c r="D45" s="9">
        <v>90624</v>
      </c>
      <c r="E45" s="9">
        <v>50984</v>
      </c>
      <c r="F45" s="9">
        <v>67962</v>
      </c>
      <c r="G45" s="9">
        <v>74564</v>
      </c>
      <c r="H45" s="9">
        <v>91867</v>
      </c>
      <c r="I45" s="9">
        <v>449639</v>
      </c>
      <c r="N45" s="17" t="s">
        <v>919</v>
      </c>
      <c r="O45" s="17" t="s">
        <v>920</v>
      </c>
      <c r="P45" s="17" t="s">
        <v>921</v>
      </c>
      <c r="Q45" s="17" t="s">
        <v>922</v>
      </c>
      <c r="R45" s="17" t="s">
        <v>919</v>
      </c>
      <c r="S45" s="17" t="s">
        <v>920</v>
      </c>
    </row>
    <row r="46" spans="1:19" ht="13" x14ac:dyDescent="0.3">
      <c r="A46" s="2" t="s">
        <v>898</v>
      </c>
      <c r="B46" s="2" t="s">
        <v>27</v>
      </c>
      <c r="C46" s="9">
        <v>62302</v>
      </c>
      <c r="D46" s="9">
        <v>69102</v>
      </c>
      <c r="E46" s="9">
        <v>44184</v>
      </c>
      <c r="F46" s="9">
        <v>50976</v>
      </c>
      <c r="G46" s="9">
        <v>63613</v>
      </c>
      <c r="H46" s="9">
        <v>71175</v>
      </c>
      <c r="I46" s="9">
        <v>361352</v>
      </c>
      <c r="M46" s="18" t="s">
        <v>897</v>
      </c>
      <c r="N46">
        <f>COUNTIFS(C25:C82,"&gt;0",$A25:$A82,$M46)</f>
        <v>18</v>
      </c>
      <c r="O46">
        <f t="shared" ref="O46:S49" si="6">COUNTIFS(D25:D82,"&gt;0",$A25:$A82,$M46)</f>
        <v>19</v>
      </c>
      <c r="P46">
        <f t="shared" si="6"/>
        <v>19</v>
      </c>
      <c r="Q46">
        <f t="shared" si="6"/>
        <v>20</v>
      </c>
      <c r="R46">
        <f t="shared" si="6"/>
        <v>20</v>
      </c>
      <c r="S46">
        <f t="shared" si="6"/>
        <v>20</v>
      </c>
    </row>
    <row r="47" spans="1:19" ht="13" x14ac:dyDescent="0.3">
      <c r="A47" s="2" t="s">
        <v>898</v>
      </c>
      <c r="B47" s="2" t="s">
        <v>32</v>
      </c>
      <c r="C47" s="9">
        <v>3264</v>
      </c>
      <c r="D47" s="9">
        <v>3740</v>
      </c>
      <c r="E47" s="9">
        <v>2301</v>
      </c>
      <c r="F47" s="9">
        <v>2784</v>
      </c>
      <c r="G47" s="9">
        <v>3295</v>
      </c>
      <c r="H47" s="9">
        <v>3738</v>
      </c>
      <c r="I47" s="9">
        <v>19122</v>
      </c>
      <c r="M47" s="18" t="s">
        <v>898</v>
      </c>
      <c r="N47">
        <f t="shared" ref="N47:N49" si="7">COUNTIFS(C26:C83,"&gt;0",$A26:$A83,$M47)</f>
        <v>8</v>
      </c>
      <c r="O47">
        <f t="shared" si="6"/>
        <v>8</v>
      </c>
      <c r="P47">
        <f t="shared" si="6"/>
        <v>8</v>
      </c>
      <c r="Q47">
        <f t="shared" si="6"/>
        <v>8</v>
      </c>
      <c r="R47">
        <f t="shared" si="6"/>
        <v>8</v>
      </c>
      <c r="S47">
        <f t="shared" si="6"/>
        <v>8</v>
      </c>
    </row>
    <row r="48" spans="1:19" ht="13" x14ac:dyDescent="0.3">
      <c r="A48" s="2" t="s">
        <v>898</v>
      </c>
      <c r="B48" s="2" t="s">
        <v>31</v>
      </c>
      <c r="C48" s="9">
        <v>3070</v>
      </c>
      <c r="D48" s="9">
        <v>3648</v>
      </c>
      <c r="E48" s="9">
        <v>2149</v>
      </c>
      <c r="F48" s="9">
        <v>2719</v>
      </c>
      <c r="G48" s="9">
        <v>3086</v>
      </c>
      <c r="H48" s="9">
        <v>3722</v>
      </c>
      <c r="I48" s="9">
        <v>18394</v>
      </c>
      <c r="M48" s="18" t="s">
        <v>907</v>
      </c>
      <c r="N48">
        <f t="shared" si="7"/>
        <v>13</v>
      </c>
      <c r="O48">
        <f t="shared" si="6"/>
        <v>13</v>
      </c>
      <c r="P48">
        <f t="shared" si="6"/>
        <v>14</v>
      </c>
      <c r="Q48">
        <f t="shared" si="6"/>
        <v>14</v>
      </c>
      <c r="R48">
        <f t="shared" si="6"/>
        <v>14</v>
      </c>
      <c r="S48">
        <f t="shared" si="6"/>
        <v>13</v>
      </c>
    </row>
    <row r="49" spans="1:19" ht="13" x14ac:dyDescent="0.3">
      <c r="A49" s="2" t="s">
        <v>898</v>
      </c>
      <c r="B49" s="2" t="s">
        <v>22</v>
      </c>
      <c r="C49" s="9">
        <v>1974</v>
      </c>
      <c r="D49" s="9">
        <v>2425</v>
      </c>
      <c r="E49" s="9">
        <v>1362</v>
      </c>
      <c r="F49" s="9">
        <v>1821</v>
      </c>
      <c r="G49" s="9">
        <v>1992</v>
      </c>
      <c r="H49" s="9">
        <v>1737</v>
      </c>
      <c r="I49" s="9">
        <v>11311</v>
      </c>
      <c r="M49" s="18" t="s">
        <v>909</v>
      </c>
      <c r="N49">
        <f t="shared" si="7"/>
        <v>10</v>
      </c>
      <c r="O49">
        <f t="shared" si="6"/>
        <v>10</v>
      </c>
      <c r="P49">
        <f t="shared" si="6"/>
        <v>11</v>
      </c>
      <c r="Q49">
        <f t="shared" si="6"/>
        <v>11</v>
      </c>
      <c r="R49">
        <f t="shared" si="6"/>
        <v>11</v>
      </c>
      <c r="S49">
        <f t="shared" si="6"/>
        <v>9</v>
      </c>
    </row>
    <row r="50" spans="1:19" ht="13" x14ac:dyDescent="0.3">
      <c r="A50" s="2" t="s">
        <v>898</v>
      </c>
      <c r="B50" s="2" t="s">
        <v>18</v>
      </c>
      <c r="C50" s="9">
        <v>1877</v>
      </c>
      <c r="D50" s="9">
        <v>1932</v>
      </c>
      <c r="E50" s="9">
        <v>1352</v>
      </c>
      <c r="F50" s="9">
        <v>1420</v>
      </c>
      <c r="G50" s="9">
        <v>1891</v>
      </c>
      <c r="H50" s="9">
        <v>1943</v>
      </c>
      <c r="I50" s="9">
        <v>10415</v>
      </c>
      <c r="M50" s="19" t="s">
        <v>933</v>
      </c>
      <c r="N50">
        <f>SUM(N46:N49)</f>
        <v>49</v>
      </c>
      <c r="O50">
        <f t="shared" ref="O50:S50" si="8">SUM(O46:O49)</f>
        <v>50</v>
      </c>
      <c r="P50">
        <f t="shared" si="8"/>
        <v>52</v>
      </c>
      <c r="Q50">
        <f t="shared" si="8"/>
        <v>53</v>
      </c>
      <c r="R50">
        <f t="shared" si="8"/>
        <v>53</v>
      </c>
      <c r="S50">
        <f t="shared" si="8"/>
        <v>50</v>
      </c>
    </row>
    <row r="51" spans="1:19" x14ac:dyDescent="0.25">
      <c r="A51" s="2" t="s">
        <v>898</v>
      </c>
      <c r="B51" s="2" t="s">
        <v>15</v>
      </c>
      <c r="C51" s="9">
        <v>1442</v>
      </c>
      <c r="D51" s="9">
        <v>1773</v>
      </c>
      <c r="E51" s="9">
        <v>1008</v>
      </c>
      <c r="F51" s="9">
        <v>1337</v>
      </c>
      <c r="G51" s="9">
        <v>1483</v>
      </c>
      <c r="H51" s="9">
        <v>1826</v>
      </c>
      <c r="I51" s="9">
        <v>8869</v>
      </c>
    </row>
    <row r="52" spans="1:19" x14ac:dyDescent="0.25">
      <c r="A52" s="2" t="s">
        <v>898</v>
      </c>
      <c r="B52" s="2" t="s">
        <v>4</v>
      </c>
      <c r="C52" s="9">
        <v>285</v>
      </c>
      <c r="D52" s="9">
        <v>322</v>
      </c>
      <c r="E52" s="9">
        <v>196</v>
      </c>
      <c r="F52" s="9">
        <v>245</v>
      </c>
      <c r="G52" s="9">
        <v>280</v>
      </c>
      <c r="H52" s="9">
        <v>330</v>
      </c>
      <c r="I52" s="9">
        <v>1658</v>
      </c>
    </row>
    <row r="53" spans="1:19" x14ac:dyDescent="0.25">
      <c r="A53" s="2" t="s">
        <v>907</v>
      </c>
      <c r="B53" s="2" t="s">
        <v>43</v>
      </c>
      <c r="C53" s="9">
        <v>45887</v>
      </c>
      <c r="D53" s="9">
        <v>52686</v>
      </c>
      <c r="E53" s="9">
        <v>32292</v>
      </c>
      <c r="F53" s="9">
        <v>39086</v>
      </c>
      <c r="G53" s="9">
        <v>47835</v>
      </c>
      <c r="H53" s="9">
        <v>53170</v>
      </c>
      <c r="I53" s="9">
        <v>270956</v>
      </c>
    </row>
    <row r="54" spans="1:19" x14ac:dyDescent="0.25">
      <c r="A54" s="2" t="s">
        <v>907</v>
      </c>
      <c r="B54" s="2" t="s">
        <v>53</v>
      </c>
      <c r="C54" s="9">
        <v>28263</v>
      </c>
      <c r="D54" s="9">
        <v>29249</v>
      </c>
      <c r="E54" s="9">
        <v>20329</v>
      </c>
      <c r="F54" s="9">
        <v>21319</v>
      </c>
      <c r="G54" s="9">
        <v>28252</v>
      </c>
      <c r="H54" s="9">
        <v>29896</v>
      </c>
      <c r="I54" s="9">
        <v>157308</v>
      </c>
    </row>
    <row r="55" spans="1:19" x14ac:dyDescent="0.25">
      <c r="A55" s="2" t="s">
        <v>907</v>
      </c>
      <c r="B55" s="2" t="s">
        <v>42</v>
      </c>
      <c r="C55" s="9">
        <v>4269</v>
      </c>
      <c r="D55" s="9">
        <v>5070</v>
      </c>
      <c r="E55" s="9">
        <v>2987</v>
      </c>
      <c r="F55" s="9">
        <v>3779</v>
      </c>
      <c r="G55" s="9">
        <v>4356</v>
      </c>
      <c r="H55" s="9">
        <v>5246</v>
      </c>
      <c r="I55" s="9">
        <v>25707</v>
      </c>
    </row>
    <row r="56" spans="1:19" x14ac:dyDescent="0.25">
      <c r="A56" s="2" t="s">
        <v>907</v>
      </c>
      <c r="B56" s="2" t="s">
        <v>39</v>
      </c>
      <c r="C56" s="9">
        <v>4018</v>
      </c>
      <c r="D56" s="9">
        <v>4449</v>
      </c>
      <c r="E56" s="9">
        <v>2852</v>
      </c>
      <c r="F56" s="9">
        <v>3278</v>
      </c>
      <c r="G56" s="9">
        <v>4071</v>
      </c>
      <c r="H56" s="9">
        <v>4522</v>
      </c>
      <c r="I56" s="9">
        <v>23190</v>
      </c>
    </row>
    <row r="57" spans="1:19" x14ac:dyDescent="0.25">
      <c r="A57" s="2" t="s">
        <v>907</v>
      </c>
      <c r="B57" s="2" t="s">
        <v>30</v>
      </c>
      <c r="C57" s="9">
        <v>3050</v>
      </c>
      <c r="D57" s="9">
        <v>3385</v>
      </c>
      <c r="E57" s="9">
        <v>2165</v>
      </c>
      <c r="F57" s="9">
        <v>2490</v>
      </c>
      <c r="G57" s="9">
        <v>3081</v>
      </c>
      <c r="H57" s="9">
        <v>3483</v>
      </c>
      <c r="I57" s="9">
        <v>17654</v>
      </c>
    </row>
    <row r="58" spans="1:19" x14ac:dyDescent="0.25">
      <c r="A58" s="2" t="s">
        <v>907</v>
      </c>
      <c r="B58" s="2" t="s">
        <v>29</v>
      </c>
      <c r="C58" s="9">
        <v>2911</v>
      </c>
      <c r="D58" s="9">
        <v>3228</v>
      </c>
      <c r="E58" s="9">
        <v>2065</v>
      </c>
      <c r="F58" s="9">
        <v>2382</v>
      </c>
      <c r="G58" s="9">
        <v>3001</v>
      </c>
      <c r="H58" s="9">
        <v>3255</v>
      </c>
      <c r="I58" s="9">
        <v>16842</v>
      </c>
    </row>
    <row r="59" spans="1:19" x14ac:dyDescent="0.25">
      <c r="A59" s="2" t="s">
        <v>907</v>
      </c>
      <c r="B59" s="2" t="s">
        <v>25</v>
      </c>
      <c r="C59" s="9">
        <v>1725</v>
      </c>
      <c r="D59" s="9">
        <v>2813</v>
      </c>
      <c r="E59" s="9">
        <v>1724</v>
      </c>
      <c r="F59" s="9">
        <v>2087</v>
      </c>
      <c r="G59" s="9">
        <v>2487</v>
      </c>
      <c r="H59" s="9">
        <v>2885</v>
      </c>
      <c r="I59" s="9">
        <v>13721</v>
      </c>
    </row>
    <row r="60" spans="1:19" x14ac:dyDescent="0.25">
      <c r="A60" s="2" t="s">
        <v>907</v>
      </c>
      <c r="B60" s="2" t="s">
        <v>24</v>
      </c>
      <c r="C60" s="9">
        <v>2272</v>
      </c>
      <c r="D60" s="9">
        <v>2699</v>
      </c>
      <c r="E60" s="9">
        <v>1590</v>
      </c>
      <c r="F60" s="9">
        <v>2014</v>
      </c>
      <c r="G60" s="9">
        <v>2351</v>
      </c>
      <c r="H60" s="9">
        <v>2772</v>
      </c>
      <c r="I60" s="9">
        <v>13698</v>
      </c>
    </row>
    <row r="61" spans="1:19" x14ac:dyDescent="0.25">
      <c r="A61" s="2" t="s">
        <v>907</v>
      </c>
      <c r="B61" s="2" t="s">
        <v>13</v>
      </c>
      <c r="C61" s="9">
        <v>1182</v>
      </c>
      <c r="D61" s="9">
        <v>1455</v>
      </c>
      <c r="E61" s="9">
        <v>823</v>
      </c>
      <c r="F61" s="9">
        <v>1096</v>
      </c>
      <c r="G61" s="9">
        <v>1193</v>
      </c>
      <c r="H61" s="9">
        <v>1459</v>
      </c>
      <c r="I61" s="9">
        <v>7208</v>
      </c>
    </row>
    <row r="62" spans="1:19" x14ac:dyDescent="0.25">
      <c r="A62" s="2" t="s">
        <v>907</v>
      </c>
      <c r="B62" s="2" t="s">
        <v>10</v>
      </c>
      <c r="C62" s="9">
        <v>858</v>
      </c>
      <c r="D62" s="9">
        <v>907</v>
      </c>
      <c r="E62" s="9">
        <v>622</v>
      </c>
      <c r="F62" s="9">
        <v>676</v>
      </c>
      <c r="G62" s="9">
        <v>871</v>
      </c>
      <c r="H62" s="9">
        <v>921</v>
      </c>
      <c r="I62" s="9">
        <v>4855</v>
      </c>
    </row>
    <row r="63" spans="1:19" x14ac:dyDescent="0.25">
      <c r="A63" s="2" t="s">
        <v>907</v>
      </c>
      <c r="B63" s="2" t="s">
        <v>12</v>
      </c>
      <c r="C63" s="9"/>
      <c r="D63" s="9"/>
      <c r="E63" s="9">
        <v>811</v>
      </c>
      <c r="F63" s="9">
        <v>896</v>
      </c>
      <c r="G63" s="9">
        <v>1132</v>
      </c>
      <c r="H63" s="9">
        <v>1254</v>
      </c>
      <c r="I63" s="9">
        <v>4093</v>
      </c>
    </row>
    <row r="64" spans="1:19" x14ac:dyDescent="0.25">
      <c r="A64" s="2" t="s">
        <v>907</v>
      </c>
      <c r="B64" s="2" t="s">
        <v>9</v>
      </c>
      <c r="C64" s="9">
        <v>705</v>
      </c>
      <c r="D64" s="9">
        <v>782</v>
      </c>
      <c r="E64" s="9">
        <v>503</v>
      </c>
      <c r="F64" s="9">
        <v>578</v>
      </c>
      <c r="G64" s="9">
        <v>716</v>
      </c>
      <c r="H64" s="9">
        <v>779</v>
      </c>
      <c r="I64" s="9">
        <v>4063</v>
      </c>
    </row>
    <row r="65" spans="1:9" x14ac:dyDescent="0.25">
      <c r="A65" s="2" t="s">
        <v>907</v>
      </c>
      <c r="B65" s="2" t="s">
        <v>5</v>
      </c>
      <c r="C65" s="9">
        <v>438</v>
      </c>
      <c r="D65" s="9">
        <v>460</v>
      </c>
      <c r="E65" s="9">
        <v>316</v>
      </c>
      <c r="F65" s="9">
        <v>339</v>
      </c>
      <c r="G65" s="9">
        <v>266</v>
      </c>
      <c r="H65" s="9"/>
      <c r="I65" s="9">
        <v>1819</v>
      </c>
    </row>
    <row r="66" spans="1:9" x14ac:dyDescent="0.25">
      <c r="A66" s="2" t="s">
        <v>907</v>
      </c>
      <c r="B66" s="2" t="s">
        <v>2</v>
      </c>
      <c r="C66" s="9">
        <v>158</v>
      </c>
      <c r="D66" s="9">
        <v>155</v>
      </c>
      <c r="E66" s="9">
        <v>119</v>
      </c>
      <c r="F66" s="9">
        <v>124</v>
      </c>
      <c r="G66" s="9">
        <v>166</v>
      </c>
      <c r="H66" s="9">
        <v>169</v>
      </c>
      <c r="I66" s="9">
        <v>891</v>
      </c>
    </row>
    <row r="67" spans="1:9" x14ac:dyDescent="0.25">
      <c r="A67" s="2" t="s">
        <v>909</v>
      </c>
      <c r="B67" s="2" t="s">
        <v>8</v>
      </c>
      <c r="C67" s="9">
        <v>41282</v>
      </c>
      <c r="D67" s="9">
        <v>49071</v>
      </c>
      <c r="E67" s="9">
        <v>28827</v>
      </c>
      <c r="F67" s="9">
        <v>36607</v>
      </c>
      <c r="G67" s="9">
        <v>41985</v>
      </c>
      <c r="H67" s="9">
        <v>50429</v>
      </c>
      <c r="I67" s="9">
        <v>248201</v>
      </c>
    </row>
    <row r="68" spans="1:9" x14ac:dyDescent="0.25">
      <c r="A68" s="2" t="s">
        <v>909</v>
      </c>
      <c r="B68" s="2" t="s">
        <v>50</v>
      </c>
      <c r="C68" s="9">
        <v>11480</v>
      </c>
      <c r="D68" s="9">
        <v>13176</v>
      </c>
      <c r="E68" s="9">
        <v>8078</v>
      </c>
      <c r="F68" s="9">
        <v>9778</v>
      </c>
      <c r="G68" s="9">
        <v>11595</v>
      </c>
      <c r="H68" s="9">
        <v>13523</v>
      </c>
      <c r="I68" s="9">
        <v>67630</v>
      </c>
    </row>
    <row r="69" spans="1:9" x14ac:dyDescent="0.25">
      <c r="A69" s="2" t="s">
        <v>909</v>
      </c>
      <c r="B69" s="2" t="s">
        <v>41</v>
      </c>
      <c r="C69" s="9">
        <v>4139</v>
      </c>
      <c r="D69" s="9">
        <v>4910</v>
      </c>
      <c r="E69" s="9">
        <v>2891</v>
      </c>
      <c r="F69" s="9">
        <v>3665</v>
      </c>
      <c r="G69" s="9">
        <v>4268</v>
      </c>
      <c r="H69" s="9">
        <v>4961</v>
      </c>
      <c r="I69" s="9">
        <v>24834</v>
      </c>
    </row>
    <row r="70" spans="1:9" x14ac:dyDescent="0.25">
      <c r="A70" s="2" t="s">
        <v>909</v>
      </c>
      <c r="B70" s="2" t="s">
        <v>40</v>
      </c>
      <c r="C70" s="9">
        <v>4076</v>
      </c>
      <c r="D70" s="9">
        <v>4680</v>
      </c>
      <c r="E70" s="9">
        <v>2879</v>
      </c>
      <c r="F70" s="9">
        <v>3476</v>
      </c>
      <c r="G70" s="9">
        <v>4222</v>
      </c>
      <c r="H70" s="9">
        <v>4678</v>
      </c>
      <c r="I70" s="9">
        <v>24011</v>
      </c>
    </row>
    <row r="71" spans="1:9" x14ac:dyDescent="0.25">
      <c r="A71" s="2" t="s">
        <v>909</v>
      </c>
      <c r="B71" s="2" t="s">
        <v>28</v>
      </c>
      <c r="C71" s="9">
        <v>2665</v>
      </c>
      <c r="D71" s="9">
        <v>3174</v>
      </c>
      <c r="E71" s="9">
        <v>1864</v>
      </c>
      <c r="F71" s="9">
        <v>2376</v>
      </c>
      <c r="G71" s="9">
        <v>2667</v>
      </c>
      <c r="H71" s="9">
        <v>3248</v>
      </c>
      <c r="I71" s="9">
        <v>15994</v>
      </c>
    </row>
    <row r="72" spans="1:9" x14ac:dyDescent="0.25">
      <c r="A72" s="2" t="s">
        <v>909</v>
      </c>
      <c r="B72" s="2" t="s">
        <v>23</v>
      </c>
      <c r="C72" s="9">
        <v>884</v>
      </c>
      <c r="D72" s="9">
        <v>2418</v>
      </c>
      <c r="E72" s="9">
        <v>1623</v>
      </c>
      <c r="F72" s="9">
        <v>1781</v>
      </c>
      <c r="G72" s="9">
        <v>2315</v>
      </c>
      <c r="H72" s="9">
        <v>2453</v>
      </c>
      <c r="I72" s="9">
        <v>11474</v>
      </c>
    </row>
    <row r="73" spans="1:9" x14ac:dyDescent="0.25">
      <c r="A73" s="2" t="s">
        <v>909</v>
      </c>
      <c r="B73" s="2" t="s">
        <v>44</v>
      </c>
      <c r="C73" s="9"/>
      <c r="D73" s="9"/>
      <c r="E73" s="9">
        <v>1249</v>
      </c>
      <c r="F73" s="9">
        <v>3569</v>
      </c>
      <c r="G73" s="9">
        <v>4809</v>
      </c>
      <c r="H73" s="9"/>
      <c r="I73" s="9">
        <v>9627</v>
      </c>
    </row>
    <row r="74" spans="1:9" x14ac:dyDescent="0.25">
      <c r="A74" s="2" t="s">
        <v>909</v>
      </c>
      <c r="B74" s="2" t="s">
        <v>14</v>
      </c>
      <c r="C74" s="9">
        <v>1324</v>
      </c>
      <c r="D74" s="9">
        <v>1619</v>
      </c>
      <c r="E74" s="9">
        <v>913</v>
      </c>
      <c r="F74" s="9">
        <v>1211</v>
      </c>
      <c r="G74" s="9">
        <v>1336</v>
      </c>
      <c r="H74" s="9">
        <v>1636</v>
      </c>
      <c r="I74" s="9">
        <v>8039</v>
      </c>
    </row>
    <row r="75" spans="1:9" x14ac:dyDescent="0.25">
      <c r="A75" s="2" t="s">
        <v>909</v>
      </c>
      <c r="B75" s="2" t="s">
        <v>16</v>
      </c>
      <c r="C75" s="9">
        <v>1639</v>
      </c>
      <c r="D75" s="9">
        <v>1879</v>
      </c>
      <c r="E75" s="9">
        <v>1153</v>
      </c>
      <c r="F75" s="9">
        <v>1402</v>
      </c>
      <c r="G75" s="9">
        <v>483</v>
      </c>
      <c r="H75" s="9"/>
      <c r="I75" s="9">
        <v>6556</v>
      </c>
    </row>
    <row r="76" spans="1:9" x14ac:dyDescent="0.25">
      <c r="A76" s="2" t="s">
        <v>909</v>
      </c>
      <c r="B76" s="2" t="s">
        <v>11</v>
      </c>
      <c r="C76" s="9">
        <v>982</v>
      </c>
      <c r="D76" s="9">
        <v>1079</v>
      </c>
      <c r="E76" s="9">
        <v>691</v>
      </c>
      <c r="F76" s="9">
        <v>806</v>
      </c>
      <c r="G76" s="9">
        <v>996</v>
      </c>
      <c r="H76" s="9">
        <v>1088</v>
      </c>
      <c r="I76" s="9">
        <v>5642</v>
      </c>
    </row>
    <row r="77" spans="1:9" x14ac:dyDescent="0.25">
      <c r="A77" s="2" t="s">
        <v>909</v>
      </c>
      <c r="B77" s="2" t="s">
        <v>6</v>
      </c>
      <c r="C77" s="9">
        <v>582</v>
      </c>
      <c r="D77" s="9">
        <v>612</v>
      </c>
      <c r="E77" s="9">
        <v>406</v>
      </c>
      <c r="F77" s="9">
        <v>450</v>
      </c>
      <c r="G77" s="9">
        <v>589</v>
      </c>
      <c r="H77" s="9">
        <v>615</v>
      </c>
      <c r="I77" s="9">
        <v>3254</v>
      </c>
    </row>
    <row r="78" spans="1:9" x14ac:dyDescent="0.25">
      <c r="A78" s="2" t="s">
        <v>916</v>
      </c>
      <c r="B78" s="2"/>
      <c r="C78" s="9">
        <v>822060</v>
      </c>
      <c r="D78" s="9">
        <v>940140</v>
      </c>
      <c r="E78" s="9">
        <v>587002</v>
      </c>
      <c r="F78" s="9">
        <v>706563</v>
      </c>
      <c r="G78" s="9">
        <v>855266</v>
      </c>
      <c r="H78" s="9">
        <v>965282</v>
      </c>
      <c r="I78" s="9">
        <v>4876313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EC93A-992D-45E6-BB2B-A7663A4AC844}">
  <dimension ref="A3:Y65"/>
  <sheetViews>
    <sheetView topLeftCell="A8" workbookViewId="0">
      <selection activeCell="A10" sqref="A10"/>
    </sheetView>
  </sheetViews>
  <sheetFormatPr defaultRowHeight="12.5" x14ac:dyDescent="0.25"/>
  <cols>
    <col min="1" max="1" width="13" style="2" bestFit="1" customWidth="1"/>
    <col min="2" max="2" width="15.90625" style="2" bestFit="1" customWidth="1"/>
    <col min="3" max="13" width="8.6328125" style="2" bestFit="1" customWidth="1"/>
    <col min="14" max="15" width="7.6328125" style="2" bestFit="1" customWidth="1"/>
    <col min="16" max="17" width="8.6328125" style="2" bestFit="1" customWidth="1"/>
    <col min="18" max="19" width="7.6328125" style="2" bestFit="1" customWidth="1"/>
    <col min="20" max="20" width="8.6328125" style="2" bestFit="1" customWidth="1"/>
    <col min="21" max="25" width="7.6328125" style="2" bestFit="1" customWidth="1"/>
    <col min="26" max="16384" width="8.7265625" style="2"/>
  </cols>
  <sheetData>
    <row r="3" spans="1:10" x14ac:dyDescent="0.25">
      <c r="A3" s="10" t="s">
        <v>918</v>
      </c>
      <c r="B3" s="10" t="s">
        <v>917</v>
      </c>
      <c r="F3"/>
      <c r="G3"/>
      <c r="H3"/>
      <c r="I3"/>
      <c r="J3"/>
    </row>
    <row r="4" spans="1:10" x14ac:dyDescent="0.25">
      <c r="A4" s="10" t="s">
        <v>915</v>
      </c>
      <c r="B4" s="2" t="s">
        <v>897</v>
      </c>
      <c r="C4" s="2" t="s">
        <v>898</v>
      </c>
      <c r="D4" s="2" t="s">
        <v>907</v>
      </c>
      <c r="E4" s="2" t="s">
        <v>909</v>
      </c>
      <c r="F4"/>
      <c r="G4"/>
      <c r="H4"/>
      <c r="I4"/>
      <c r="J4"/>
    </row>
    <row r="5" spans="1:10" x14ac:dyDescent="0.25">
      <c r="A5" s="11" t="s">
        <v>954</v>
      </c>
      <c r="B5" s="9"/>
      <c r="C5" s="9"/>
      <c r="D5" s="9"/>
      <c r="E5" s="9"/>
      <c r="F5"/>
      <c r="G5"/>
      <c r="H5"/>
      <c r="I5"/>
      <c r="J5"/>
    </row>
    <row r="6" spans="1:10" x14ac:dyDescent="0.25">
      <c r="A6" s="13" t="s">
        <v>919</v>
      </c>
      <c r="B6" s="9">
        <v>509419</v>
      </c>
      <c r="C6" s="9">
        <v>147852</v>
      </c>
      <c r="D6" s="9">
        <v>95736</v>
      </c>
      <c r="E6" s="9">
        <v>69053</v>
      </c>
      <c r="F6"/>
      <c r="G6"/>
      <c r="H6"/>
      <c r="I6"/>
      <c r="J6"/>
    </row>
    <row r="7" spans="1:10" x14ac:dyDescent="0.25">
      <c r="A7" s="13" t="s">
        <v>920</v>
      </c>
      <c r="B7" s="9">
        <v>576618</v>
      </c>
      <c r="C7" s="9">
        <v>173566</v>
      </c>
      <c r="D7" s="9">
        <v>107338</v>
      </c>
      <c r="E7" s="9">
        <v>82618</v>
      </c>
      <c r="F7"/>
      <c r="G7"/>
      <c r="H7"/>
      <c r="I7"/>
      <c r="J7"/>
    </row>
    <row r="8" spans="1:10" x14ac:dyDescent="0.25">
      <c r="A8" s="13" t="s">
        <v>921</v>
      </c>
      <c r="B8" s="9">
        <v>363694</v>
      </c>
      <c r="C8" s="9">
        <v>103536</v>
      </c>
      <c r="D8" s="9">
        <v>69198</v>
      </c>
      <c r="E8" s="9">
        <v>50574</v>
      </c>
      <c r="F8"/>
      <c r="G8"/>
      <c r="H8"/>
      <c r="I8"/>
      <c r="J8"/>
    </row>
    <row r="9" spans="1:10" x14ac:dyDescent="0.25">
      <c r="A9" s="13" t="s">
        <v>922</v>
      </c>
      <c r="B9" s="9">
        <v>432034</v>
      </c>
      <c r="C9" s="9">
        <v>129264</v>
      </c>
      <c r="D9" s="9">
        <v>80144</v>
      </c>
      <c r="E9" s="9">
        <v>65121</v>
      </c>
      <c r="F9"/>
      <c r="G9"/>
      <c r="H9"/>
      <c r="I9"/>
      <c r="J9"/>
    </row>
    <row r="10" spans="1:10" x14ac:dyDescent="0.25">
      <c r="A10" s="11" t="s">
        <v>956</v>
      </c>
      <c r="B10" s="9"/>
      <c r="C10" s="9"/>
      <c r="D10" s="9"/>
      <c r="E10" s="9"/>
      <c r="F10"/>
      <c r="G10"/>
      <c r="H10"/>
      <c r="I10"/>
      <c r="J10"/>
    </row>
    <row r="11" spans="1:10" x14ac:dyDescent="0.25">
      <c r="A11" s="13" t="s">
        <v>919</v>
      </c>
      <c r="B11" s="9">
        <v>530019</v>
      </c>
      <c r="C11" s="9">
        <v>150204</v>
      </c>
      <c r="D11" s="9">
        <v>99778</v>
      </c>
      <c r="E11" s="9">
        <v>75265</v>
      </c>
      <c r="F11"/>
      <c r="G11"/>
      <c r="H11"/>
      <c r="I11"/>
      <c r="J11"/>
    </row>
    <row r="12" spans="1:10" x14ac:dyDescent="0.25">
      <c r="A12" s="13" t="s">
        <v>920</v>
      </c>
      <c r="B12" s="9">
        <v>596502</v>
      </c>
      <c r="C12" s="9">
        <v>176338</v>
      </c>
      <c r="D12" s="9">
        <v>109811</v>
      </c>
      <c r="E12" s="9">
        <v>82631</v>
      </c>
      <c r="F12"/>
      <c r="G12"/>
      <c r="H12"/>
      <c r="I12"/>
      <c r="J12"/>
    </row>
    <row r="13" spans="1:10" x14ac:dyDescent="0.25">
      <c r="A13" s="11" t="s">
        <v>916</v>
      </c>
      <c r="B13" s="9">
        <v>3008286</v>
      </c>
      <c r="C13" s="9">
        <v>880760</v>
      </c>
      <c r="D13" s="9">
        <v>562005</v>
      </c>
      <c r="E13" s="9">
        <v>425262</v>
      </c>
    </row>
    <row r="14" spans="1:10" x14ac:dyDescent="0.25">
      <c r="A14"/>
      <c r="B14"/>
      <c r="C14"/>
      <c r="D14"/>
      <c r="E14"/>
    </row>
    <row r="15" spans="1:10" x14ac:dyDescent="0.25">
      <c r="A15"/>
      <c r="B15"/>
      <c r="C15"/>
      <c r="D15"/>
      <c r="E15"/>
    </row>
    <row r="16" spans="1:10" x14ac:dyDescent="0.25">
      <c r="A16"/>
      <c r="B16"/>
      <c r="C16"/>
      <c r="D16"/>
      <c r="E16"/>
    </row>
    <row r="17" spans="1:5" x14ac:dyDescent="0.25">
      <c r="A17"/>
      <c r="B17"/>
      <c r="C17"/>
      <c r="D17"/>
      <c r="E17"/>
    </row>
    <row r="18" spans="1:5" x14ac:dyDescent="0.25">
      <c r="A18"/>
      <c r="B18"/>
      <c r="C18"/>
      <c r="D18"/>
      <c r="E18"/>
    </row>
    <row r="19" spans="1:5" x14ac:dyDescent="0.25">
      <c r="A19"/>
      <c r="B19"/>
      <c r="C19"/>
      <c r="D19"/>
      <c r="E19"/>
    </row>
    <row r="20" spans="1:5" x14ac:dyDescent="0.25">
      <c r="A20"/>
      <c r="B20"/>
      <c r="C20"/>
      <c r="D20"/>
      <c r="E20"/>
    </row>
    <row r="21" spans="1:5" x14ac:dyDescent="0.25">
      <c r="A21"/>
      <c r="B21"/>
      <c r="C21"/>
      <c r="D21"/>
      <c r="E21"/>
    </row>
    <row r="22" spans="1:5" x14ac:dyDescent="0.25">
      <c r="A22"/>
      <c r="B22"/>
      <c r="C22"/>
      <c r="D22"/>
      <c r="E22"/>
    </row>
    <row r="23" spans="1:5" x14ac:dyDescent="0.25">
      <c r="A23"/>
      <c r="B23"/>
      <c r="C23"/>
      <c r="D23"/>
      <c r="E23"/>
    </row>
    <row r="24" spans="1:5" x14ac:dyDescent="0.25">
      <c r="A24"/>
      <c r="B24"/>
      <c r="C24"/>
      <c r="D24"/>
      <c r="E24"/>
    </row>
    <row r="25" spans="1:5" x14ac:dyDescent="0.25">
      <c r="A25"/>
      <c r="B25"/>
      <c r="C25"/>
      <c r="D25"/>
      <c r="E25"/>
    </row>
    <row r="26" spans="1:5" x14ac:dyDescent="0.25">
      <c r="A26"/>
      <c r="B26"/>
      <c r="C26"/>
      <c r="D26"/>
      <c r="E26"/>
    </row>
    <row r="27" spans="1:5" x14ac:dyDescent="0.25">
      <c r="A27"/>
      <c r="B27"/>
      <c r="C27"/>
      <c r="D27"/>
      <c r="E27"/>
    </row>
    <row r="28" spans="1:5" x14ac:dyDescent="0.25">
      <c r="A28"/>
      <c r="B28"/>
      <c r="C28"/>
      <c r="D28"/>
      <c r="E28"/>
    </row>
    <row r="29" spans="1:5" x14ac:dyDescent="0.25">
      <c r="A29"/>
      <c r="B29"/>
      <c r="C29"/>
      <c r="D29"/>
      <c r="E29"/>
    </row>
    <row r="30" spans="1:5" x14ac:dyDescent="0.25">
      <c r="A30"/>
      <c r="B30"/>
      <c r="C30"/>
      <c r="D30"/>
      <c r="E30"/>
    </row>
    <row r="31" spans="1:5" x14ac:dyDescent="0.25">
      <c r="A31"/>
      <c r="B31"/>
      <c r="C31"/>
      <c r="D31"/>
      <c r="E31"/>
    </row>
    <row r="37" spans="1:25" x14ac:dyDescent="0.25">
      <c r="A37" s="10" t="s">
        <v>918</v>
      </c>
      <c r="B37" s="10" t="s">
        <v>917</v>
      </c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</row>
    <row r="38" spans="1:25" x14ac:dyDescent="0.25">
      <c r="B38" s="2" t="s">
        <v>919</v>
      </c>
      <c r="D38" s="2" t="s">
        <v>920</v>
      </c>
      <c r="F38" s="2" t="s">
        <v>921</v>
      </c>
      <c r="G38" s="2" t="s">
        <v>922</v>
      </c>
      <c r="H38"/>
      <c r="I38" s="2" t="s">
        <v>923</v>
      </c>
      <c r="J38"/>
      <c r="K38" s="2" t="s">
        <v>924</v>
      </c>
      <c r="L38"/>
      <c r="M38"/>
      <c r="N38"/>
      <c r="O38"/>
      <c r="P38"/>
      <c r="Q38"/>
      <c r="R38"/>
      <c r="S38"/>
      <c r="T38"/>
      <c r="U38"/>
      <c r="V38"/>
      <c r="W38"/>
      <c r="X38"/>
      <c r="Y38"/>
    </row>
    <row r="39" spans="1:25" x14ac:dyDescent="0.25">
      <c r="A39" s="10" t="s">
        <v>915</v>
      </c>
      <c r="B39" s="2" t="s">
        <v>954</v>
      </c>
      <c r="C39" s="2" t="s">
        <v>956</v>
      </c>
      <c r="D39" s="2" t="s">
        <v>954</v>
      </c>
      <c r="E39" s="2" t="s">
        <v>956</v>
      </c>
      <c r="F39" s="2" t="s">
        <v>954</v>
      </c>
      <c r="G39" s="2" t="s">
        <v>954</v>
      </c>
      <c r="H39"/>
      <c r="I39" s="2" t="s">
        <v>925</v>
      </c>
      <c r="J39" s="2" t="s">
        <v>926</v>
      </c>
      <c r="K39" s="2" t="s">
        <v>925</v>
      </c>
      <c r="L39" s="2" t="s">
        <v>926</v>
      </c>
      <c r="M39"/>
      <c r="N39"/>
      <c r="O39"/>
      <c r="P39"/>
      <c r="Q39"/>
      <c r="R39"/>
      <c r="S39"/>
      <c r="T39"/>
      <c r="U39"/>
      <c r="V39"/>
      <c r="W39"/>
      <c r="X39"/>
      <c r="Y39"/>
    </row>
    <row r="40" spans="1:25" x14ac:dyDescent="0.25">
      <c r="A40" s="11" t="s">
        <v>897</v>
      </c>
      <c r="B40" s="9">
        <v>509419</v>
      </c>
      <c r="C40" s="9">
        <v>530019</v>
      </c>
      <c r="D40" s="9">
        <v>576618</v>
      </c>
      <c r="E40" s="9">
        <v>596502</v>
      </c>
      <c r="F40" s="9">
        <v>363694</v>
      </c>
      <c r="G40" s="9">
        <v>432034</v>
      </c>
      <c r="H40"/>
      <c r="I40" t="e" cm="1">
        <f t="array" ref="I40">f</f>
        <v>#NAME?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 spans="1:25" x14ac:dyDescent="0.25">
      <c r="A41" s="11" t="s">
        <v>898</v>
      </c>
      <c r="B41" s="9">
        <v>147852</v>
      </c>
      <c r="C41" s="9">
        <v>150204</v>
      </c>
      <c r="D41" s="9">
        <v>173566</v>
      </c>
      <c r="E41" s="9">
        <v>176338</v>
      </c>
      <c r="F41" s="9">
        <v>103536</v>
      </c>
      <c r="G41" s="9">
        <v>129264</v>
      </c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</row>
    <row r="42" spans="1:25" x14ac:dyDescent="0.25">
      <c r="A42" s="11" t="s">
        <v>907</v>
      </c>
      <c r="B42" s="9">
        <v>95736</v>
      </c>
      <c r="C42" s="9">
        <v>99778</v>
      </c>
      <c r="D42" s="9">
        <v>107338</v>
      </c>
      <c r="E42" s="9">
        <v>109811</v>
      </c>
      <c r="F42" s="9">
        <v>69198</v>
      </c>
      <c r="G42" s="9">
        <v>80144</v>
      </c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</row>
    <row r="43" spans="1:25" x14ac:dyDescent="0.25">
      <c r="A43" s="11" t="s">
        <v>909</v>
      </c>
      <c r="B43" s="9">
        <v>69053</v>
      </c>
      <c r="C43" s="9">
        <v>75265</v>
      </c>
      <c r="D43" s="9">
        <v>82618</v>
      </c>
      <c r="E43" s="9">
        <v>82631</v>
      </c>
      <c r="F43" s="9">
        <v>50574</v>
      </c>
      <c r="G43" s="9">
        <v>65121</v>
      </c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</row>
    <row r="44" spans="1:25" x14ac:dyDescent="0.25">
      <c r="A44" s="11" t="s">
        <v>916</v>
      </c>
      <c r="B44" s="9">
        <v>822060</v>
      </c>
      <c r="C44" s="9">
        <v>855266</v>
      </c>
      <c r="D44" s="9">
        <v>940140</v>
      </c>
      <c r="E44" s="9">
        <v>965282</v>
      </c>
      <c r="F44" s="9">
        <v>587002</v>
      </c>
      <c r="G44" s="9">
        <v>706563</v>
      </c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</row>
    <row r="45" spans="1:25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</row>
    <row r="46" spans="1:25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</row>
    <row r="47" spans="1:25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</row>
    <row r="48" spans="1:25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</row>
    <row r="49" spans="1:25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</row>
    <row r="50" spans="1:25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  <row r="51" spans="1:25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</row>
    <row r="52" spans="1:25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</row>
    <row r="53" spans="1:25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</row>
    <row r="54" spans="1:25" x14ac:dyDescent="0.25">
      <c r="A54"/>
      <c r="B54"/>
      <c r="C54"/>
      <c r="D54"/>
      <c r="E54"/>
      <c r="F54"/>
      <c r="G54"/>
      <c r="H54"/>
      <c r="I54"/>
    </row>
    <row r="55" spans="1:25" x14ac:dyDescent="0.25">
      <c r="A55"/>
      <c r="B55"/>
      <c r="C55"/>
      <c r="D55"/>
      <c r="E55"/>
      <c r="F55"/>
      <c r="G55"/>
      <c r="H55"/>
      <c r="I55"/>
    </row>
    <row r="56" spans="1:25" x14ac:dyDescent="0.25">
      <c r="A56"/>
      <c r="B56"/>
      <c r="C56"/>
      <c r="D56"/>
      <c r="E56"/>
      <c r="F56"/>
      <c r="G56"/>
      <c r="H56"/>
      <c r="I56"/>
    </row>
    <row r="57" spans="1:25" x14ac:dyDescent="0.25">
      <c r="A57"/>
      <c r="B57"/>
      <c r="C57"/>
      <c r="D57"/>
      <c r="E57"/>
    </row>
    <row r="58" spans="1:25" x14ac:dyDescent="0.25">
      <c r="A58"/>
      <c r="B58"/>
      <c r="C58"/>
      <c r="D58"/>
      <c r="E58"/>
    </row>
    <row r="59" spans="1:25" x14ac:dyDescent="0.25">
      <c r="A59"/>
      <c r="B59"/>
      <c r="C59"/>
      <c r="D59"/>
      <c r="E59"/>
    </row>
    <row r="60" spans="1:25" x14ac:dyDescent="0.25">
      <c r="A60"/>
      <c r="B60"/>
      <c r="C60"/>
      <c r="D60"/>
      <c r="E60"/>
    </row>
    <row r="61" spans="1:25" x14ac:dyDescent="0.25">
      <c r="A61"/>
      <c r="B61"/>
      <c r="C61"/>
      <c r="D61"/>
      <c r="E61"/>
    </row>
    <row r="62" spans="1:25" x14ac:dyDescent="0.25">
      <c r="A62"/>
      <c r="B62"/>
      <c r="C62"/>
      <c r="D62"/>
      <c r="E62"/>
    </row>
    <row r="63" spans="1:25" x14ac:dyDescent="0.25">
      <c r="A63"/>
      <c r="B63"/>
      <c r="C63"/>
      <c r="D63"/>
      <c r="E63"/>
    </row>
    <row r="64" spans="1:25" x14ac:dyDescent="0.25">
      <c r="A64"/>
      <c r="B64"/>
      <c r="C64"/>
      <c r="D64"/>
      <c r="E64"/>
    </row>
    <row r="65" spans="1:5" x14ac:dyDescent="0.25">
      <c r="A65"/>
      <c r="B65"/>
      <c r="C65"/>
      <c r="D65"/>
      <c r="E65"/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7ED54-646C-4103-A593-3F0BE14E8786}">
  <dimension ref="A1:P908"/>
  <sheetViews>
    <sheetView topLeftCell="C1" zoomScaleNormal="100" workbookViewId="0">
      <selection activeCell="C194" sqref="C194"/>
    </sheetView>
  </sheetViews>
  <sheetFormatPr defaultRowHeight="12.5" x14ac:dyDescent="0.25"/>
  <cols>
    <col min="1" max="1" width="8.08984375" style="2" bestFit="1" customWidth="1"/>
    <col min="2" max="2" width="9.90625" style="2" bestFit="1" customWidth="1"/>
    <col min="3" max="3" width="10.1796875" style="6" bestFit="1" customWidth="1"/>
    <col min="4" max="4" width="8.7265625" style="2"/>
    <col min="5" max="5" width="19" style="2" bestFit="1" customWidth="1"/>
    <col min="6" max="6" width="16.6328125" style="2" bestFit="1" customWidth="1"/>
    <col min="7" max="8" width="8.7265625" style="2"/>
    <col min="9" max="9" width="20.08984375" style="2" bestFit="1" customWidth="1"/>
    <col min="10" max="10" width="11.453125" style="2" customWidth="1"/>
    <col min="11" max="11" width="10.6328125" style="2" customWidth="1"/>
    <col min="12" max="13" width="8.7265625" style="2"/>
    <col min="14" max="14" width="11.7265625" style="2" bestFit="1" customWidth="1"/>
    <col min="15" max="15" width="10.90625" style="2" bestFit="1" customWidth="1"/>
    <col min="16" max="16" width="7.81640625" style="2" bestFit="1" customWidth="1"/>
    <col min="17" max="16384" width="8.7265625" style="2"/>
  </cols>
  <sheetData>
    <row r="1" spans="1:16" x14ac:dyDescent="0.25">
      <c r="A1" s="2" t="s">
        <v>0</v>
      </c>
      <c r="B1" s="2" t="s">
        <v>61</v>
      </c>
      <c r="C1" s="6" t="s">
        <v>133</v>
      </c>
      <c r="D1" s="7" t="s">
        <v>900</v>
      </c>
      <c r="E1" s="2" t="s">
        <v>904</v>
      </c>
      <c r="F1" s="2" t="s">
        <v>905</v>
      </c>
      <c r="G1" s="2" t="s">
        <v>908</v>
      </c>
      <c r="H1" s="2" t="s">
        <v>910</v>
      </c>
      <c r="I1" s="2" t="s">
        <v>914</v>
      </c>
      <c r="N1" s="2" t="s">
        <v>911</v>
      </c>
      <c r="O1" s="2" t="s">
        <v>912</v>
      </c>
      <c r="P1" s="2" t="s">
        <v>913</v>
      </c>
    </row>
    <row r="2" spans="1:16" x14ac:dyDescent="0.25">
      <c r="A2" s="3" t="s">
        <v>23</v>
      </c>
      <c r="B2" s="3">
        <v>45382</v>
      </c>
      <c r="C2" s="6">
        <v>884</v>
      </c>
      <c r="D2" s="2">
        <f>LEN(Table2[[#This Row],[CLID]])</f>
        <v>7</v>
      </c>
      <c r="E2" s="2" t="str">
        <f>_xlfn.XLOOKUP('Volume Data'!A:A,'Geo Data'!D:D,'Geo Data'!B:B)</f>
        <v>GEO1004</v>
      </c>
      <c r="F2" s="2" t="str">
        <f>INDEX(GeoByClient[GEOID],MATCH(Table2[[#This Row],[CLID]],GeoByClient[Right],0))</f>
        <v>GEO1004</v>
      </c>
      <c r="G2" s="2" t="str">
        <f>_xlfn.XLOOKUP(Table2[[#This Row],[Xlookup Region ID]],GEONames[GEOID],GEONames[GEO Name])</f>
        <v>LATAM</v>
      </c>
      <c r="H2" s="2" t="str">
        <f>"Q"&amp;ROUNDUP(MONTH(Table2[[#This Row],[Date]])/3,0)&amp;" "&amp;YEAR(Table2[[#This Row],[Date]])</f>
        <v>Q1 2024</v>
      </c>
      <c r="I2" s="2" t="str">
        <f>VLOOKUP(Table2[[#This Row],[Date]],Table7[],3)</f>
        <v>Q1 2024</v>
      </c>
      <c r="N2" s="3">
        <v>45292</v>
      </c>
      <c r="O2" s="3">
        <v>45382</v>
      </c>
      <c r="P2" s="2" t="s">
        <v>948</v>
      </c>
    </row>
    <row r="3" spans="1:16" x14ac:dyDescent="0.25">
      <c r="A3" s="3" t="s">
        <v>23</v>
      </c>
      <c r="B3" s="3">
        <v>45412</v>
      </c>
      <c r="C3" s="6">
        <v>886</v>
      </c>
      <c r="D3" s="2">
        <f>LEN(Table2[[#This Row],[CLID]])</f>
        <v>7</v>
      </c>
      <c r="E3" s="2" t="str">
        <f>_xlfn.XLOOKUP('Volume Data'!A:A,'Geo Data'!D:D,'Geo Data'!B:B)</f>
        <v>GEO1004</v>
      </c>
      <c r="F3" s="2" t="str">
        <f>INDEX(GeoByClient[GEOID],MATCH(Table2[[#This Row],[CLID]],GeoByClient[Right],0))</f>
        <v>GEO1004</v>
      </c>
      <c r="G3" s="2" t="str">
        <f>_xlfn.XLOOKUP(Table2[[#This Row],[Xlookup Region ID]],GEONames[GEOID],GEONames[GEO Name])</f>
        <v>LATAM</v>
      </c>
      <c r="H3" s="2" t="str">
        <f>"Q"&amp;ROUNDUP(MONTH(Table2[[#This Row],[Date]])/3,0)&amp;" "&amp;YEAR(Table2[[#This Row],[Date]])</f>
        <v>Q2 2024</v>
      </c>
      <c r="I3" s="2" t="str">
        <f>VLOOKUP(Table2[[#This Row],[Date]],Table7[],3)</f>
        <v>Q2 2024</v>
      </c>
      <c r="N3" s="3">
        <f>O2+1</f>
        <v>45383</v>
      </c>
      <c r="O3" s="3">
        <v>45473</v>
      </c>
      <c r="P3" s="2" t="s">
        <v>949</v>
      </c>
    </row>
    <row r="4" spans="1:16" x14ac:dyDescent="0.25">
      <c r="A4" s="3" t="s">
        <v>23</v>
      </c>
      <c r="B4" s="3">
        <v>45443</v>
      </c>
      <c r="C4" s="6">
        <v>968</v>
      </c>
      <c r="D4" s="2">
        <f>LEN(Table2[[#This Row],[CLID]])</f>
        <v>7</v>
      </c>
      <c r="E4" s="2" t="str">
        <f>_xlfn.XLOOKUP('Volume Data'!A:A,'Geo Data'!D:D,'Geo Data'!B:B)</f>
        <v>GEO1004</v>
      </c>
      <c r="F4" s="2" t="str">
        <f>INDEX(GeoByClient[GEOID],MATCH(Table2[[#This Row],[CLID]],GeoByClient[Right],0))</f>
        <v>GEO1004</v>
      </c>
      <c r="G4" s="2" t="str">
        <f>_xlfn.XLOOKUP(Table2[[#This Row],[Xlookup Region ID]],GEONames[GEOID],GEONames[GEO Name])</f>
        <v>LATAM</v>
      </c>
      <c r="H4" s="2" t="str">
        <f>"Q"&amp;ROUNDUP(MONTH(Table2[[#This Row],[Date]])/3,0)&amp;" "&amp;YEAR(Table2[[#This Row],[Date]])</f>
        <v>Q2 2024</v>
      </c>
      <c r="I4" s="2" t="str">
        <f>VLOOKUP(Table2[[#This Row],[Date]],Table7[],3)</f>
        <v>Q2 2024</v>
      </c>
      <c r="N4" s="3">
        <f t="shared" ref="N4:N7" si="0">O3+1</f>
        <v>45474</v>
      </c>
      <c r="O4" s="3">
        <v>45565</v>
      </c>
      <c r="P4" s="2" t="s">
        <v>950</v>
      </c>
    </row>
    <row r="5" spans="1:16" x14ac:dyDescent="0.25">
      <c r="A5" s="3" t="s">
        <v>23</v>
      </c>
      <c r="B5" s="3">
        <v>45473</v>
      </c>
      <c r="C5" s="6">
        <v>564</v>
      </c>
      <c r="D5" s="2">
        <f>LEN(Table2[[#This Row],[CLID]])</f>
        <v>7</v>
      </c>
      <c r="E5" s="2" t="str">
        <f>_xlfn.XLOOKUP('Volume Data'!A:A,'Geo Data'!D:D,'Geo Data'!B:B)</f>
        <v>GEO1004</v>
      </c>
      <c r="F5" s="2" t="str">
        <f>INDEX(GeoByClient[GEOID],MATCH(Table2[[#This Row],[CLID]],GeoByClient[Right],0))</f>
        <v>GEO1004</v>
      </c>
      <c r="G5" s="2" t="str">
        <f>_xlfn.XLOOKUP(Table2[[#This Row],[Xlookup Region ID]],GEONames[GEOID],GEONames[GEO Name])</f>
        <v>LATAM</v>
      </c>
      <c r="H5" s="2" t="str">
        <f>"Q"&amp;ROUNDUP(MONTH(Table2[[#This Row],[Date]])/3,0)&amp;" "&amp;YEAR(Table2[[#This Row],[Date]])</f>
        <v>Q2 2024</v>
      </c>
      <c r="I5" s="2" t="str">
        <f>VLOOKUP(Table2[[#This Row],[Date]],Table7[],3)</f>
        <v>Q2 2024</v>
      </c>
      <c r="N5" s="3">
        <f t="shared" si="0"/>
        <v>45566</v>
      </c>
      <c r="O5" s="3">
        <v>45747</v>
      </c>
      <c r="P5" s="2" t="s">
        <v>951</v>
      </c>
    </row>
    <row r="6" spans="1:16" x14ac:dyDescent="0.25">
      <c r="A6" s="3" t="s">
        <v>23</v>
      </c>
      <c r="B6" s="3">
        <v>45504</v>
      </c>
      <c r="C6" s="6">
        <v>648</v>
      </c>
      <c r="D6" s="2">
        <f>LEN(Table2[[#This Row],[CLID]])</f>
        <v>7</v>
      </c>
      <c r="E6" s="2" t="str">
        <f>_xlfn.XLOOKUP('Volume Data'!A:A,'Geo Data'!D:D,'Geo Data'!B:B)</f>
        <v>GEO1004</v>
      </c>
      <c r="F6" s="2" t="str">
        <f>INDEX(GeoByClient[GEOID],MATCH(Table2[[#This Row],[CLID]],GeoByClient[Right],0))</f>
        <v>GEO1004</v>
      </c>
      <c r="G6" s="2" t="str">
        <f>_xlfn.XLOOKUP(Table2[[#This Row],[Xlookup Region ID]],GEONames[GEOID],GEONames[GEO Name])</f>
        <v>LATAM</v>
      </c>
      <c r="H6" s="2" t="str">
        <f>"Q"&amp;ROUNDUP(MONTH(Table2[[#This Row],[Date]])/3,0)&amp;" "&amp;YEAR(Table2[[#This Row],[Date]])</f>
        <v>Q3 2024</v>
      </c>
      <c r="I6" s="2" t="str">
        <f>VLOOKUP(Table2[[#This Row],[Date]],Table7[],3)</f>
        <v>Q3 2024</v>
      </c>
      <c r="N6" s="3">
        <f t="shared" si="0"/>
        <v>45748</v>
      </c>
      <c r="O6" s="3">
        <v>45747</v>
      </c>
      <c r="P6" s="2" t="s">
        <v>952</v>
      </c>
    </row>
    <row r="7" spans="1:16" x14ac:dyDescent="0.25">
      <c r="A7" s="3" t="s">
        <v>23</v>
      </c>
      <c r="B7" s="3">
        <v>45535</v>
      </c>
      <c r="C7" s="6">
        <v>406</v>
      </c>
      <c r="D7" s="2">
        <f>LEN(Table2[[#This Row],[CLID]])</f>
        <v>7</v>
      </c>
      <c r="E7" s="2" t="str">
        <f>_xlfn.XLOOKUP('Volume Data'!A:A,'Geo Data'!D:D,'Geo Data'!B:B)</f>
        <v>GEO1004</v>
      </c>
      <c r="F7" s="2" t="str">
        <f>INDEX(GeoByClient[GEOID],MATCH(Table2[[#This Row],[CLID]],GeoByClient[Right],0))</f>
        <v>GEO1004</v>
      </c>
      <c r="G7" s="2" t="str">
        <f>_xlfn.XLOOKUP(Table2[[#This Row],[Xlookup Region ID]],GEONames[GEOID],GEONames[GEO Name])</f>
        <v>LATAM</v>
      </c>
      <c r="H7" s="2" t="str">
        <f>"Q"&amp;ROUNDUP(MONTH(Table2[[#This Row],[Date]])/3,0)&amp;" "&amp;YEAR(Table2[[#This Row],[Date]])</f>
        <v>Q3 2024</v>
      </c>
      <c r="I7" s="2" t="str">
        <f>VLOOKUP(Table2[[#This Row],[Date]],Table7[],3)</f>
        <v>Q3 2024</v>
      </c>
      <c r="N7" s="3">
        <f t="shared" si="0"/>
        <v>45748</v>
      </c>
      <c r="O7" s="3">
        <v>45838</v>
      </c>
      <c r="P7" s="2" t="s">
        <v>953</v>
      </c>
    </row>
    <row r="8" spans="1:16" x14ac:dyDescent="0.25">
      <c r="A8" s="3" t="s">
        <v>23</v>
      </c>
      <c r="B8" s="3">
        <v>45565</v>
      </c>
      <c r="C8" s="6">
        <v>569</v>
      </c>
      <c r="D8" s="2">
        <f>LEN(Table2[[#This Row],[CLID]])</f>
        <v>7</v>
      </c>
      <c r="E8" s="2" t="str">
        <f>_xlfn.XLOOKUP('Volume Data'!A:A,'Geo Data'!D:D,'Geo Data'!B:B)</f>
        <v>GEO1004</v>
      </c>
      <c r="F8" s="2" t="str">
        <f>INDEX(GeoByClient[GEOID],MATCH(Table2[[#This Row],[CLID]],GeoByClient[Right],0))</f>
        <v>GEO1004</v>
      </c>
      <c r="G8" s="2" t="str">
        <f>_xlfn.XLOOKUP(Table2[[#This Row],[Xlookup Region ID]],GEONames[GEOID],GEONames[GEO Name])</f>
        <v>LATAM</v>
      </c>
      <c r="H8" s="2" t="str">
        <f>"Q"&amp;ROUNDUP(MONTH(Table2[[#This Row],[Date]])/3,0)&amp;" "&amp;YEAR(Table2[[#This Row],[Date]])</f>
        <v>Q3 2024</v>
      </c>
      <c r="I8" s="2" t="str">
        <f>VLOOKUP(Table2[[#This Row],[Date]],Table7[],3)</f>
        <v>Q3 2024</v>
      </c>
    </row>
    <row r="9" spans="1:16" x14ac:dyDescent="0.25">
      <c r="A9" s="3" t="s">
        <v>23</v>
      </c>
      <c r="B9" s="3">
        <v>45596</v>
      </c>
      <c r="C9" s="6">
        <v>487</v>
      </c>
      <c r="D9" s="2">
        <f>LEN(Table2[[#This Row],[CLID]])</f>
        <v>7</v>
      </c>
      <c r="E9" s="2" t="str">
        <f>_xlfn.XLOOKUP('Volume Data'!A:A,'Geo Data'!D:D,'Geo Data'!B:B)</f>
        <v>GEO1004</v>
      </c>
      <c r="F9" s="2" t="str">
        <f>INDEX(GeoByClient[GEOID],MATCH(Table2[[#This Row],[CLID]],GeoByClient[Right],0))</f>
        <v>GEO1004</v>
      </c>
      <c r="G9" s="2" t="str">
        <f>_xlfn.XLOOKUP(Table2[[#This Row],[Xlookup Region ID]],GEONames[GEOID],GEONames[GEO Name])</f>
        <v>LATAM</v>
      </c>
      <c r="H9" s="2" t="str">
        <f>"Q"&amp;ROUNDUP(MONTH(Table2[[#This Row],[Date]])/3,0)&amp;" "&amp;YEAR(Table2[[#This Row],[Date]])</f>
        <v>Q4 2024</v>
      </c>
      <c r="I9" s="2" t="str">
        <f>VLOOKUP(Table2[[#This Row],[Date]],Table7[],3)</f>
        <v>Q4 2024</v>
      </c>
    </row>
    <row r="10" spans="1:16" x14ac:dyDescent="0.25">
      <c r="A10" s="3" t="s">
        <v>23</v>
      </c>
      <c r="B10" s="3">
        <v>45626</v>
      </c>
      <c r="C10" s="6">
        <v>729</v>
      </c>
      <c r="D10" s="2">
        <f>LEN(Table2[[#This Row],[CLID]])</f>
        <v>7</v>
      </c>
      <c r="E10" s="2" t="str">
        <f>_xlfn.XLOOKUP('Volume Data'!A:A,'Geo Data'!D:D,'Geo Data'!B:B)</f>
        <v>GEO1004</v>
      </c>
      <c r="F10" s="2" t="str">
        <f>INDEX(GeoByClient[GEOID],MATCH(Table2[[#This Row],[CLID]],GeoByClient[Right],0))</f>
        <v>GEO1004</v>
      </c>
      <c r="G10" s="2" t="str">
        <f>_xlfn.XLOOKUP(Table2[[#This Row],[Xlookup Region ID]],GEONames[GEOID],GEONames[GEO Name])</f>
        <v>LATAM</v>
      </c>
      <c r="H10" s="2" t="str">
        <f>"Q"&amp;ROUNDUP(MONTH(Table2[[#This Row],[Date]])/3,0)&amp;" "&amp;YEAR(Table2[[#This Row],[Date]])</f>
        <v>Q4 2024</v>
      </c>
      <c r="I10" s="2" t="str">
        <f>VLOOKUP(Table2[[#This Row],[Date]],Table7[],3)</f>
        <v>Q4 2024</v>
      </c>
    </row>
    <row r="11" spans="1:16" x14ac:dyDescent="0.25">
      <c r="A11" s="3" t="s">
        <v>23</v>
      </c>
      <c r="B11" s="3">
        <v>45657</v>
      </c>
      <c r="C11" s="6">
        <v>565</v>
      </c>
      <c r="D11" s="2">
        <f>LEN(Table2[[#This Row],[CLID]])</f>
        <v>7</v>
      </c>
      <c r="E11" s="2" t="str">
        <f>_xlfn.XLOOKUP('Volume Data'!A:A,'Geo Data'!D:D,'Geo Data'!B:B)</f>
        <v>GEO1004</v>
      </c>
      <c r="F11" s="2" t="str">
        <f>INDEX(GeoByClient[GEOID],MATCH(Table2[[#This Row],[CLID]],GeoByClient[Right],0))</f>
        <v>GEO1004</v>
      </c>
      <c r="G11" s="2" t="str">
        <f>_xlfn.XLOOKUP(Table2[[#This Row],[Xlookup Region ID]],GEONames[GEOID],GEONames[GEO Name])</f>
        <v>LATAM</v>
      </c>
      <c r="H11" s="2" t="str">
        <f>"Q"&amp;ROUNDUP(MONTH(Table2[[#This Row],[Date]])/3,0)&amp;" "&amp;YEAR(Table2[[#This Row],[Date]])</f>
        <v>Q4 2024</v>
      </c>
      <c r="I11" s="2" t="str">
        <f>VLOOKUP(Table2[[#This Row],[Date]],Table7[],3)</f>
        <v>Q4 2024</v>
      </c>
    </row>
    <row r="12" spans="1:16" x14ac:dyDescent="0.25">
      <c r="A12" s="3" t="s">
        <v>23</v>
      </c>
      <c r="B12" s="3">
        <v>45838</v>
      </c>
      <c r="C12" s="6">
        <v>561</v>
      </c>
      <c r="D12" s="2">
        <f>LEN(Table2[[#This Row],[CLID]])</f>
        <v>7</v>
      </c>
      <c r="E12" s="2" t="str">
        <f>_xlfn.XLOOKUP('Volume Data'!A:A,'Geo Data'!D:D,'Geo Data'!B:B)</f>
        <v>GEO1004</v>
      </c>
      <c r="F12" s="2" t="str">
        <f>INDEX(GeoByClient[GEOID],MATCH(Table2[[#This Row],[CLID]],GeoByClient[Right],0))</f>
        <v>GEO1004</v>
      </c>
      <c r="G12" s="2" t="str">
        <f>_xlfn.XLOOKUP(Table2[[#This Row],[Xlookup Region ID]],GEONames[GEOID],GEONames[GEO Name])</f>
        <v>LATAM</v>
      </c>
      <c r="H12" s="2" t="str">
        <f>"Q"&amp;ROUNDUP(MONTH(Table2[[#This Row],[Date]])/3,0)&amp;" "&amp;YEAR(Table2[[#This Row],[Date]])</f>
        <v>Q2 2025</v>
      </c>
      <c r="I12" s="2" t="str">
        <f>VLOOKUP(Table2[[#This Row],[Date]],Table7[],3)</f>
        <v>Q2 2025</v>
      </c>
    </row>
    <row r="13" spans="1:16" x14ac:dyDescent="0.25">
      <c r="A13" s="3" t="s">
        <v>23</v>
      </c>
      <c r="B13" s="3">
        <v>45808</v>
      </c>
      <c r="C13" s="6">
        <v>1014</v>
      </c>
      <c r="D13" s="2">
        <f>LEN(Table2[[#This Row],[CLID]])</f>
        <v>7</v>
      </c>
      <c r="E13" s="2" t="str">
        <f>_xlfn.XLOOKUP('Volume Data'!A:A,'Geo Data'!D:D,'Geo Data'!B:B)</f>
        <v>GEO1004</v>
      </c>
      <c r="F13" s="2" t="str">
        <f>INDEX(GeoByClient[GEOID],MATCH(Table2[[#This Row],[CLID]],GeoByClient[Right],0))</f>
        <v>GEO1004</v>
      </c>
      <c r="G13" s="2" t="str">
        <f>_xlfn.XLOOKUP(Table2[[#This Row],[Xlookup Region ID]],GEONames[GEOID],GEONames[GEO Name])</f>
        <v>LATAM</v>
      </c>
      <c r="H13" s="2" t="str">
        <f>"Q"&amp;ROUNDUP(MONTH(Table2[[#This Row],[Date]])/3,0)&amp;" "&amp;YEAR(Table2[[#This Row],[Date]])</f>
        <v>Q2 2025</v>
      </c>
      <c r="I13" s="2" t="str">
        <f>VLOOKUP(Table2[[#This Row],[Date]],Table7[],3)</f>
        <v>Q2 2025</v>
      </c>
    </row>
    <row r="14" spans="1:16" x14ac:dyDescent="0.25">
      <c r="A14" s="3" t="s">
        <v>23</v>
      </c>
      <c r="B14" s="3">
        <v>45777</v>
      </c>
      <c r="C14" s="6">
        <v>878</v>
      </c>
      <c r="D14" s="2">
        <f>LEN(Table2[[#This Row],[CLID]])</f>
        <v>7</v>
      </c>
      <c r="E14" s="2" t="str">
        <f>_xlfn.XLOOKUP('Volume Data'!A:A,'Geo Data'!D:D,'Geo Data'!B:B)</f>
        <v>GEO1004</v>
      </c>
      <c r="F14" s="2" t="str">
        <f>INDEX(GeoByClient[GEOID],MATCH(Table2[[#This Row],[CLID]],GeoByClient[Right],0))</f>
        <v>GEO1004</v>
      </c>
      <c r="G14" s="2" t="str">
        <f>_xlfn.XLOOKUP(Table2[[#This Row],[Xlookup Region ID]],GEONames[GEOID],GEONames[GEO Name])</f>
        <v>LATAM</v>
      </c>
      <c r="H14" s="2" t="str">
        <f>"Q"&amp;ROUNDUP(MONTH(Table2[[#This Row],[Date]])/3,0)&amp;" "&amp;YEAR(Table2[[#This Row],[Date]])</f>
        <v>Q2 2025</v>
      </c>
      <c r="I14" s="2" t="str">
        <f>VLOOKUP(Table2[[#This Row],[Date]],Table7[],3)</f>
        <v>Q2 2025</v>
      </c>
    </row>
    <row r="15" spans="1:16" x14ac:dyDescent="0.25">
      <c r="A15" s="3" t="s">
        <v>23</v>
      </c>
      <c r="B15" s="3">
        <v>45747</v>
      </c>
      <c r="C15" s="6">
        <v>922</v>
      </c>
      <c r="D15" s="2">
        <f>LEN(Table2[[#This Row],[CLID]])</f>
        <v>7</v>
      </c>
      <c r="E15" s="2" t="str">
        <f>_xlfn.XLOOKUP('Volume Data'!A:A,'Geo Data'!D:D,'Geo Data'!B:B)</f>
        <v>GEO1004</v>
      </c>
      <c r="F15" s="2" t="str">
        <f>INDEX(GeoByClient[GEOID],MATCH(Table2[[#This Row],[CLID]],GeoByClient[Right],0))</f>
        <v>GEO1004</v>
      </c>
      <c r="G15" s="2" t="str">
        <f>_xlfn.XLOOKUP(Table2[[#This Row],[Xlookup Region ID]],GEONames[GEOID],GEONames[GEO Name])</f>
        <v>LATAM</v>
      </c>
      <c r="H15" s="2" t="str">
        <f>"Q"&amp;ROUNDUP(MONTH(Table2[[#This Row],[Date]])/3,0)&amp;" "&amp;YEAR(Table2[[#This Row],[Date]])</f>
        <v>Q1 2025</v>
      </c>
      <c r="I15" s="2" t="str">
        <f>VLOOKUP(Table2[[#This Row],[Date]],Table7[],3)</f>
        <v>Q4 2024</v>
      </c>
    </row>
    <row r="16" spans="1:16" x14ac:dyDescent="0.25">
      <c r="A16" s="3" t="s">
        <v>23</v>
      </c>
      <c r="B16" s="3">
        <v>45716</v>
      </c>
      <c r="C16" s="6">
        <v>668</v>
      </c>
      <c r="D16" s="2">
        <f>LEN(Table2[[#This Row],[CLID]])</f>
        <v>7</v>
      </c>
      <c r="E16" s="2" t="str">
        <f>_xlfn.XLOOKUP('Volume Data'!A:A,'Geo Data'!D:D,'Geo Data'!B:B)</f>
        <v>GEO1004</v>
      </c>
      <c r="F16" s="2" t="str">
        <f>INDEX(GeoByClient[GEOID],MATCH(Table2[[#This Row],[CLID]],GeoByClient[Right],0))</f>
        <v>GEO1004</v>
      </c>
      <c r="G16" s="2" t="str">
        <f>_xlfn.XLOOKUP(Table2[[#This Row],[Xlookup Region ID]],GEONames[GEOID],GEONames[GEO Name])</f>
        <v>LATAM</v>
      </c>
      <c r="H16" s="2" t="str">
        <f>"Q"&amp;ROUNDUP(MONTH(Table2[[#This Row],[Date]])/3,0)&amp;" "&amp;YEAR(Table2[[#This Row],[Date]])</f>
        <v>Q1 2025</v>
      </c>
      <c r="I16" s="2" t="str">
        <f>VLOOKUP(Table2[[#This Row],[Date]],Table7[],3)</f>
        <v>Q4 2024</v>
      </c>
    </row>
    <row r="17" spans="1:9" x14ac:dyDescent="0.25">
      <c r="A17" s="3" t="s">
        <v>23</v>
      </c>
      <c r="B17" s="3">
        <v>45688</v>
      </c>
      <c r="C17" s="6">
        <v>725</v>
      </c>
      <c r="D17" s="2">
        <f>LEN(Table2[[#This Row],[CLID]])</f>
        <v>7</v>
      </c>
      <c r="E17" s="2" t="str">
        <f>_xlfn.XLOOKUP('Volume Data'!A:A,'Geo Data'!D:D,'Geo Data'!B:B)</f>
        <v>GEO1004</v>
      </c>
      <c r="F17" s="2" t="str">
        <f>INDEX(GeoByClient[GEOID],MATCH(Table2[[#This Row],[CLID]],GeoByClient[Right],0))</f>
        <v>GEO1004</v>
      </c>
      <c r="G17" s="2" t="str">
        <f>_xlfn.XLOOKUP(Table2[[#This Row],[Xlookup Region ID]],GEONames[GEOID],GEONames[GEO Name])</f>
        <v>LATAM</v>
      </c>
      <c r="H17" s="2" t="str">
        <f>"Q"&amp;ROUNDUP(MONTH(Table2[[#This Row],[Date]])/3,0)&amp;" "&amp;YEAR(Table2[[#This Row],[Date]])</f>
        <v>Q1 2025</v>
      </c>
      <c r="I17" s="2" t="str">
        <f>VLOOKUP(Table2[[#This Row],[Date]],Table7[],3)</f>
        <v>Q4 2024</v>
      </c>
    </row>
    <row r="18" spans="1:9" x14ac:dyDescent="0.25">
      <c r="A18" s="3" t="s">
        <v>33</v>
      </c>
      <c r="B18" s="3">
        <v>45322</v>
      </c>
      <c r="C18" s="6">
        <v>1194</v>
      </c>
      <c r="D18" s="2">
        <f>LEN(Table2[[#This Row],[CLID]])</f>
        <v>7</v>
      </c>
      <c r="E18" s="2" t="str">
        <f>_xlfn.XLOOKUP('Volume Data'!A:A,'Geo Data'!D:D,'Geo Data'!B:B)</f>
        <v>GEO1001</v>
      </c>
      <c r="F18" s="2" t="str">
        <f>INDEX(GeoByClient[GEOID],MATCH(Table2[[#This Row],[CLID]],GeoByClient[Right],0))</f>
        <v>GEO1001</v>
      </c>
      <c r="G18" s="2" t="str">
        <f>_xlfn.XLOOKUP(Table2[[#This Row],[Xlookup Region ID]],GEONames[GEOID],GEONames[GEO Name])</f>
        <v>NAM</v>
      </c>
      <c r="H18" s="2" t="str">
        <f>"Q"&amp;ROUNDUP(MONTH(Table2[[#This Row],[Date]])/3,0)&amp;" "&amp;YEAR(Table2[[#This Row],[Date]])</f>
        <v>Q1 2024</v>
      </c>
      <c r="I18" s="2" t="str">
        <f>VLOOKUP(Table2[[#This Row],[Date]],Table7[],3)</f>
        <v>Q1 2024</v>
      </c>
    </row>
    <row r="19" spans="1:9" x14ac:dyDescent="0.25">
      <c r="A19" s="3" t="s">
        <v>33</v>
      </c>
      <c r="B19" s="3">
        <v>45351</v>
      </c>
      <c r="C19" s="6">
        <v>942</v>
      </c>
      <c r="D19" s="2">
        <f>LEN(Table2[[#This Row],[CLID]])</f>
        <v>7</v>
      </c>
      <c r="E19" s="2" t="str">
        <f>_xlfn.XLOOKUP('Volume Data'!A:A,'Geo Data'!D:D,'Geo Data'!B:B)</f>
        <v>GEO1001</v>
      </c>
      <c r="F19" s="2" t="str">
        <f>INDEX(GeoByClient[GEOID],MATCH(Table2[[#This Row],[CLID]],GeoByClient[Right],0))</f>
        <v>GEO1001</v>
      </c>
      <c r="G19" s="2" t="str">
        <f>_xlfn.XLOOKUP(Table2[[#This Row],[Xlookup Region ID]],GEONames[GEOID],GEONames[GEO Name])</f>
        <v>NAM</v>
      </c>
      <c r="H19" s="2" t="str">
        <f>"Q"&amp;ROUNDUP(MONTH(Table2[[#This Row],[Date]])/3,0)&amp;" "&amp;YEAR(Table2[[#This Row],[Date]])</f>
        <v>Q1 2024</v>
      </c>
      <c r="I19" s="2" t="str">
        <f>VLOOKUP(Table2[[#This Row],[Date]],Table7[],3)</f>
        <v>Q1 2024</v>
      </c>
    </row>
    <row r="20" spans="1:9" x14ac:dyDescent="0.25">
      <c r="A20" s="3" t="s">
        <v>33</v>
      </c>
      <c r="B20" s="3">
        <v>45382</v>
      </c>
      <c r="C20" s="6">
        <v>1448</v>
      </c>
      <c r="D20" s="2">
        <f>LEN(Table2[[#This Row],[CLID]])</f>
        <v>7</v>
      </c>
      <c r="E20" s="2" t="str">
        <f>_xlfn.XLOOKUP('Volume Data'!A:A,'Geo Data'!D:D,'Geo Data'!B:B)</f>
        <v>GEO1001</v>
      </c>
      <c r="F20" s="2" t="str">
        <f>INDEX(GeoByClient[GEOID],MATCH(Table2[[#This Row],[CLID]],GeoByClient[Right],0))</f>
        <v>GEO1001</v>
      </c>
      <c r="G20" s="2" t="str">
        <f>_xlfn.XLOOKUP(Table2[[#This Row],[Xlookup Region ID]],GEONames[GEOID],GEONames[GEO Name])</f>
        <v>NAM</v>
      </c>
      <c r="H20" s="2" t="str">
        <f>"Q"&amp;ROUNDUP(MONTH(Table2[[#This Row],[Date]])/3,0)&amp;" "&amp;YEAR(Table2[[#This Row],[Date]])</f>
        <v>Q1 2024</v>
      </c>
      <c r="I20" s="2" t="str">
        <f>VLOOKUP(Table2[[#This Row],[Date]],Table7[],3)</f>
        <v>Q1 2024</v>
      </c>
    </row>
    <row r="21" spans="1:9" x14ac:dyDescent="0.25">
      <c r="A21" s="3" t="s">
        <v>33</v>
      </c>
      <c r="B21" s="3">
        <v>45412</v>
      </c>
      <c r="C21" s="6">
        <v>1323</v>
      </c>
      <c r="D21" s="2">
        <f>LEN(Table2[[#This Row],[CLID]])</f>
        <v>7</v>
      </c>
      <c r="E21" s="2" t="str">
        <f>_xlfn.XLOOKUP('Volume Data'!A:A,'Geo Data'!D:D,'Geo Data'!B:B)</f>
        <v>GEO1001</v>
      </c>
      <c r="F21" s="2" t="str">
        <f>INDEX(GeoByClient[GEOID],MATCH(Table2[[#This Row],[CLID]],GeoByClient[Right],0))</f>
        <v>GEO1001</v>
      </c>
      <c r="G21" s="2" t="str">
        <f>_xlfn.XLOOKUP(Table2[[#This Row],[Xlookup Region ID]],GEONames[GEOID],GEONames[GEO Name])</f>
        <v>NAM</v>
      </c>
      <c r="H21" s="2" t="str">
        <f>"Q"&amp;ROUNDUP(MONTH(Table2[[#This Row],[Date]])/3,0)&amp;" "&amp;YEAR(Table2[[#This Row],[Date]])</f>
        <v>Q2 2024</v>
      </c>
      <c r="I21" s="2" t="str">
        <f>VLOOKUP(Table2[[#This Row],[Date]],Table7[],3)</f>
        <v>Q2 2024</v>
      </c>
    </row>
    <row r="22" spans="1:9" x14ac:dyDescent="0.25">
      <c r="A22" s="3" t="s">
        <v>33</v>
      </c>
      <c r="B22" s="3">
        <v>45443</v>
      </c>
      <c r="C22" s="6">
        <v>1573</v>
      </c>
      <c r="D22" s="2">
        <f>LEN(Table2[[#This Row],[CLID]])</f>
        <v>7</v>
      </c>
      <c r="E22" s="2" t="str">
        <f>_xlfn.XLOOKUP('Volume Data'!A:A,'Geo Data'!D:D,'Geo Data'!B:B)</f>
        <v>GEO1001</v>
      </c>
      <c r="F22" s="2" t="str">
        <f>INDEX(GeoByClient[GEOID],MATCH(Table2[[#This Row],[CLID]],GeoByClient[Right],0))</f>
        <v>GEO1001</v>
      </c>
      <c r="G22" s="2" t="str">
        <f>_xlfn.XLOOKUP(Table2[[#This Row],[Xlookup Region ID]],GEONames[GEOID],GEONames[GEO Name])</f>
        <v>NAM</v>
      </c>
      <c r="H22" s="2" t="str">
        <f>"Q"&amp;ROUNDUP(MONTH(Table2[[#This Row],[Date]])/3,0)&amp;" "&amp;YEAR(Table2[[#This Row],[Date]])</f>
        <v>Q2 2024</v>
      </c>
      <c r="I22" s="2" t="str">
        <f>VLOOKUP(Table2[[#This Row],[Date]],Table7[],3)</f>
        <v>Q2 2024</v>
      </c>
    </row>
    <row r="23" spans="1:9" x14ac:dyDescent="0.25">
      <c r="A23" s="3" t="s">
        <v>33</v>
      </c>
      <c r="B23" s="3">
        <v>45473</v>
      </c>
      <c r="C23" s="6">
        <v>820</v>
      </c>
      <c r="D23" s="2">
        <f>LEN(Table2[[#This Row],[CLID]])</f>
        <v>7</v>
      </c>
      <c r="E23" s="2" t="str">
        <f>_xlfn.XLOOKUP('Volume Data'!A:A,'Geo Data'!D:D,'Geo Data'!B:B)</f>
        <v>GEO1001</v>
      </c>
      <c r="F23" s="2" t="str">
        <f>INDEX(GeoByClient[GEOID],MATCH(Table2[[#This Row],[CLID]],GeoByClient[Right],0))</f>
        <v>GEO1001</v>
      </c>
      <c r="G23" s="2" t="str">
        <f>_xlfn.XLOOKUP(Table2[[#This Row],[Xlookup Region ID]],GEONames[GEOID],GEONames[GEO Name])</f>
        <v>NAM</v>
      </c>
      <c r="H23" s="2" t="str">
        <f>"Q"&amp;ROUNDUP(MONTH(Table2[[#This Row],[Date]])/3,0)&amp;" "&amp;YEAR(Table2[[#This Row],[Date]])</f>
        <v>Q2 2024</v>
      </c>
      <c r="I23" s="2" t="str">
        <f>VLOOKUP(Table2[[#This Row],[Date]],Table7[],3)</f>
        <v>Q2 2024</v>
      </c>
    </row>
    <row r="24" spans="1:9" x14ac:dyDescent="0.25">
      <c r="A24" s="3" t="s">
        <v>33</v>
      </c>
      <c r="B24" s="3">
        <v>45504</v>
      </c>
      <c r="C24" s="6">
        <v>1069</v>
      </c>
      <c r="D24" s="2">
        <f>LEN(Table2[[#This Row],[CLID]])</f>
        <v>7</v>
      </c>
      <c r="E24" s="2" t="str">
        <f>_xlfn.XLOOKUP('Volume Data'!A:A,'Geo Data'!D:D,'Geo Data'!B:B)</f>
        <v>GEO1001</v>
      </c>
      <c r="F24" s="2" t="str">
        <f>INDEX(GeoByClient[GEOID],MATCH(Table2[[#This Row],[CLID]],GeoByClient[Right],0))</f>
        <v>GEO1001</v>
      </c>
      <c r="G24" s="2" t="str">
        <f>_xlfn.XLOOKUP(Table2[[#This Row],[Xlookup Region ID]],GEONames[GEOID],GEONames[GEO Name])</f>
        <v>NAM</v>
      </c>
      <c r="H24" s="2" t="str">
        <f>"Q"&amp;ROUNDUP(MONTH(Table2[[#This Row],[Date]])/3,0)&amp;" "&amp;YEAR(Table2[[#This Row],[Date]])</f>
        <v>Q3 2024</v>
      </c>
      <c r="I24" s="2" t="str">
        <f>VLOOKUP(Table2[[#This Row],[Date]],Table7[],3)</f>
        <v>Q3 2024</v>
      </c>
    </row>
    <row r="25" spans="1:9" x14ac:dyDescent="0.25">
      <c r="A25" s="3" t="s">
        <v>33</v>
      </c>
      <c r="B25" s="3">
        <v>45535</v>
      </c>
      <c r="C25" s="6">
        <v>571</v>
      </c>
      <c r="D25" s="2">
        <f>LEN(Table2[[#This Row],[CLID]])</f>
        <v>7</v>
      </c>
      <c r="E25" s="2" t="str">
        <f>_xlfn.XLOOKUP('Volume Data'!A:A,'Geo Data'!D:D,'Geo Data'!B:B)</f>
        <v>GEO1001</v>
      </c>
      <c r="F25" s="2" t="str">
        <f>INDEX(GeoByClient[GEOID],MATCH(Table2[[#This Row],[CLID]],GeoByClient[Right],0))</f>
        <v>GEO1001</v>
      </c>
      <c r="G25" s="2" t="str">
        <f>_xlfn.XLOOKUP(Table2[[#This Row],[Xlookup Region ID]],GEONames[GEOID],GEONames[GEO Name])</f>
        <v>NAM</v>
      </c>
      <c r="H25" s="2" t="str">
        <f>"Q"&amp;ROUNDUP(MONTH(Table2[[#This Row],[Date]])/3,0)&amp;" "&amp;YEAR(Table2[[#This Row],[Date]])</f>
        <v>Q3 2024</v>
      </c>
      <c r="I25" s="2" t="str">
        <f>VLOOKUP(Table2[[#This Row],[Date]],Table7[],3)</f>
        <v>Q3 2024</v>
      </c>
    </row>
    <row r="26" spans="1:9" x14ac:dyDescent="0.25">
      <c r="A26" s="3" t="s">
        <v>33</v>
      </c>
      <c r="B26" s="3">
        <v>45565</v>
      </c>
      <c r="C26" s="6">
        <v>947</v>
      </c>
      <c r="D26" s="2">
        <f>LEN(Table2[[#This Row],[CLID]])</f>
        <v>7</v>
      </c>
      <c r="E26" s="2" t="str">
        <f>_xlfn.XLOOKUP('Volume Data'!A:A,'Geo Data'!D:D,'Geo Data'!B:B)</f>
        <v>GEO1001</v>
      </c>
      <c r="F26" s="2" t="str">
        <f>INDEX(GeoByClient[GEOID],MATCH(Table2[[#This Row],[CLID]],GeoByClient[Right],0))</f>
        <v>GEO1001</v>
      </c>
      <c r="G26" s="2" t="str">
        <f>_xlfn.XLOOKUP(Table2[[#This Row],[Xlookup Region ID]],GEONames[GEOID],GEONames[GEO Name])</f>
        <v>NAM</v>
      </c>
      <c r="H26" s="2" t="str">
        <f>"Q"&amp;ROUNDUP(MONTH(Table2[[#This Row],[Date]])/3,0)&amp;" "&amp;YEAR(Table2[[#This Row],[Date]])</f>
        <v>Q3 2024</v>
      </c>
      <c r="I26" s="2" t="str">
        <f>VLOOKUP(Table2[[#This Row],[Date]],Table7[],3)</f>
        <v>Q3 2024</v>
      </c>
    </row>
    <row r="27" spans="1:9" x14ac:dyDescent="0.25">
      <c r="A27" s="3" t="s">
        <v>33</v>
      </c>
      <c r="B27" s="3">
        <v>45596</v>
      </c>
      <c r="C27" s="6">
        <v>694</v>
      </c>
      <c r="D27" s="2">
        <f>LEN(Table2[[#This Row],[CLID]])</f>
        <v>7</v>
      </c>
      <c r="E27" s="2" t="str">
        <f>_xlfn.XLOOKUP('Volume Data'!A:A,'Geo Data'!D:D,'Geo Data'!B:B)</f>
        <v>GEO1001</v>
      </c>
      <c r="F27" s="2" t="str">
        <f>INDEX(GeoByClient[GEOID],MATCH(Table2[[#This Row],[CLID]],GeoByClient[Right],0))</f>
        <v>GEO1001</v>
      </c>
      <c r="G27" s="2" t="str">
        <f>_xlfn.XLOOKUP(Table2[[#This Row],[Xlookup Region ID]],GEONames[GEOID],GEONames[GEO Name])</f>
        <v>NAM</v>
      </c>
      <c r="H27" s="2" t="str">
        <f>"Q"&amp;ROUNDUP(MONTH(Table2[[#This Row],[Date]])/3,0)&amp;" "&amp;YEAR(Table2[[#This Row],[Date]])</f>
        <v>Q4 2024</v>
      </c>
      <c r="I27" s="2" t="str">
        <f>VLOOKUP(Table2[[#This Row],[Date]],Table7[],3)</f>
        <v>Q4 2024</v>
      </c>
    </row>
    <row r="28" spans="1:9" x14ac:dyDescent="0.25">
      <c r="A28" s="3" t="s">
        <v>33</v>
      </c>
      <c r="B28" s="3">
        <v>45626</v>
      </c>
      <c r="C28" s="6">
        <v>1197</v>
      </c>
      <c r="D28" s="2">
        <f>LEN(Table2[[#This Row],[CLID]])</f>
        <v>7</v>
      </c>
      <c r="E28" s="2" t="str">
        <f>_xlfn.XLOOKUP('Volume Data'!A:A,'Geo Data'!D:D,'Geo Data'!B:B)</f>
        <v>GEO1001</v>
      </c>
      <c r="F28" s="2" t="str">
        <f>INDEX(GeoByClient[GEOID],MATCH(Table2[[#This Row],[CLID]],GeoByClient[Right],0))</f>
        <v>GEO1001</v>
      </c>
      <c r="G28" s="2" t="str">
        <f>_xlfn.XLOOKUP(Table2[[#This Row],[Xlookup Region ID]],GEONames[GEOID],GEONames[GEO Name])</f>
        <v>NAM</v>
      </c>
      <c r="H28" s="2" t="str">
        <f>"Q"&amp;ROUNDUP(MONTH(Table2[[#This Row],[Date]])/3,0)&amp;" "&amp;YEAR(Table2[[#This Row],[Date]])</f>
        <v>Q4 2024</v>
      </c>
      <c r="I28" s="2" t="str">
        <f>VLOOKUP(Table2[[#This Row],[Date]],Table7[],3)</f>
        <v>Q4 2024</v>
      </c>
    </row>
    <row r="29" spans="1:9" x14ac:dyDescent="0.25">
      <c r="A29" s="3" t="s">
        <v>33</v>
      </c>
      <c r="B29" s="3">
        <v>45657</v>
      </c>
      <c r="C29" s="6">
        <v>822</v>
      </c>
      <c r="D29" s="2">
        <f>LEN(Table2[[#This Row],[CLID]])</f>
        <v>7</v>
      </c>
      <c r="E29" s="2" t="str">
        <f>_xlfn.XLOOKUP('Volume Data'!A:A,'Geo Data'!D:D,'Geo Data'!B:B)</f>
        <v>GEO1001</v>
      </c>
      <c r="F29" s="2" t="str">
        <f>INDEX(GeoByClient[GEOID],MATCH(Table2[[#This Row],[CLID]],GeoByClient[Right],0))</f>
        <v>GEO1001</v>
      </c>
      <c r="G29" s="2" t="str">
        <f>_xlfn.XLOOKUP(Table2[[#This Row],[Xlookup Region ID]],GEONames[GEOID],GEONames[GEO Name])</f>
        <v>NAM</v>
      </c>
      <c r="H29" s="2" t="str">
        <f>"Q"&amp;ROUNDUP(MONTH(Table2[[#This Row],[Date]])/3,0)&amp;" "&amp;YEAR(Table2[[#This Row],[Date]])</f>
        <v>Q4 2024</v>
      </c>
      <c r="I29" s="2" t="str">
        <f>VLOOKUP(Table2[[#This Row],[Date]],Table7[],3)</f>
        <v>Q4 2024</v>
      </c>
    </row>
    <row r="30" spans="1:9" x14ac:dyDescent="0.25">
      <c r="A30" s="3" t="s">
        <v>33</v>
      </c>
      <c r="B30" s="3">
        <v>45838</v>
      </c>
      <c r="C30" s="6">
        <v>846</v>
      </c>
      <c r="D30" s="2">
        <f>LEN(Table2[[#This Row],[CLID]])</f>
        <v>7</v>
      </c>
      <c r="E30" s="2" t="str">
        <f>_xlfn.XLOOKUP('Volume Data'!A:A,'Geo Data'!D:D,'Geo Data'!B:B)</f>
        <v>GEO1001</v>
      </c>
      <c r="F30" s="2" t="str">
        <f>INDEX(GeoByClient[GEOID],MATCH(Table2[[#This Row],[CLID]],GeoByClient[Right],0))</f>
        <v>GEO1001</v>
      </c>
      <c r="G30" s="2" t="str">
        <f>_xlfn.XLOOKUP(Table2[[#This Row],[Xlookup Region ID]],GEONames[GEOID],GEONames[GEO Name])</f>
        <v>NAM</v>
      </c>
      <c r="H30" s="2" t="str">
        <f>"Q"&amp;ROUNDUP(MONTH(Table2[[#This Row],[Date]])/3,0)&amp;" "&amp;YEAR(Table2[[#This Row],[Date]])</f>
        <v>Q2 2025</v>
      </c>
      <c r="I30" s="2" t="str">
        <f>VLOOKUP(Table2[[#This Row],[Date]],Table7[],3)</f>
        <v>Q2 2025</v>
      </c>
    </row>
    <row r="31" spans="1:9" x14ac:dyDescent="0.25">
      <c r="A31" s="3" t="s">
        <v>33</v>
      </c>
      <c r="B31" s="3">
        <v>45808</v>
      </c>
      <c r="C31" s="6">
        <v>1553</v>
      </c>
      <c r="D31" s="2">
        <f>LEN(Table2[[#This Row],[CLID]])</f>
        <v>7</v>
      </c>
      <c r="E31" s="2" t="str">
        <f>_xlfn.XLOOKUP('Volume Data'!A:A,'Geo Data'!D:D,'Geo Data'!B:B)</f>
        <v>GEO1001</v>
      </c>
      <c r="F31" s="2" t="str">
        <f>INDEX(GeoByClient[GEOID],MATCH(Table2[[#This Row],[CLID]],GeoByClient[Right],0))</f>
        <v>GEO1001</v>
      </c>
      <c r="G31" s="2" t="str">
        <f>_xlfn.XLOOKUP(Table2[[#This Row],[Xlookup Region ID]],GEONames[GEOID],GEONames[GEO Name])</f>
        <v>NAM</v>
      </c>
      <c r="H31" s="2" t="str">
        <f>"Q"&amp;ROUNDUP(MONTH(Table2[[#This Row],[Date]])/3,0)&amp;" "&amp;YEAR(Table2[[#This Row],[Date]])</f>
        <v>Q2 2025</v>
      </c>
      <c r="I31" s="2" t="str">
        <f>VLOOKUP(Table2[[#This Row],[Date]],Table7[],3)</f>
        <v>Q2 2025</v>
      </c>
    </row>
    <row r="32" spans="1:9" x14ac:dyDescent="0.25">
      <c r="A32" s="3" t="s">
        <v>33</v>
      </c>
      <c r="B32" s="3">
        <v>45777</v>
      </c>
      <c r="C32" s="6">
        <v>1344</v>
      </c>
      <c r="D32" s="2">
        <f>LEN(Table2[[#This Row],[CLID]])</f>
        <v>7</v>
      </c>
      <c r="E32" s="2" t="str">
        <f>_xlfn.XLOOKUP('Volume Data'!A:A,'Geo Data'!D:D,'Geo Data'!B:B)</f>
        <v>GEO1001</v>
      </c>
      <c r="F32" s="2" t="str">
        <f>INDEX(GeoByClient[GEOID],MATCH(Table2[[#This Row],[CLID]],GeoByClient[Right],0))</f>
        <v>GEO1001</v>
      </c>
      <c r="G32" s="2" t="str">
        <f>_xlfn.XLOOKUP(Table2[[#This Row],[Xlookup Region ID]],GEONames[GEOID],GEONames[GEO Name])</f>
        <v>NAM</v>
      </c>
      <c r="H32" s="2" t="str">
        <f>"Q"&amp;ROUNDUP(MONTH(Table2[[#This Row],[Date]])/3,0)&amp;" "&amp;YEAR(Table2[[#This Row],[Date]])</f>
        <v>Q2 2025</v>
      </c>
      <c r="I32" s="2" t="str">
        <f>VLOOKUP(Table2[[#This Row],[Date]],Table7[],3)</f>
        <v>Q2 2025</v>
      </c>
    </row>
    <row r="33" spans="1:9" x14ac:dyDescent="0.25">
      <c r="A33" s="3" t="s">
        <v>33</v>
      </c>
      <c r="B33" s="3">
        <v>45747</v>
      </c>
      <c r="C33" s="6">
        <v>1436</v>
      </c>
      <c r="D33" s="2">
        <f>LEN(Table2[[#This Row],[CLID]])</f>
        <v>7</v>
      </c>
      <c r="E33" s="2" t="str">
        <f>_xlfn.XLOOKUP('Volume Data'!A:A,'Geo Data'!D:D,'Geo Data'!B:B)</f>
        <v>GEO1001</v>
      </c>
      <c r="F33" s="2" t="str">
        <f>INDEX(GeoByClient[GEOID],MATCH(Table2[[#This Row],[CLID]],GeoByClient[Right],0))</f>
        <v>GEO1001</v>
      </c>
      <c r="G33" s="2" t="str">
        <f>_xlfn.XLOOKUP(Table2[[#This Row],[Xlookup Region ID]],GEONames[GEOID],GEONames[GEO Name])</f>
        <v>NAM</v>
      </c>
      <c r="H33" s="2" t="str">
        <f>"Q"&amp;ROUNDUP(MONTH(Table2[[#This Row],[Date]])/3,0)&amp;" "&amp;YEAR(Table2[[#This Row],[Date]])</f>
        <v>Q1 2025</v>
      </c>
      <c r="I33" s="2" t="str">
        <f>VLOOKUP(Table2[[#This Row],[Date]],Table7[],3)</f>
        <v>Q4 2024</v>
      </c>
    </row>
    <row r="34" spans="1:9" x14ac:dyDescent="0.25">
      <c r="A34" s="3" t="s">
        <v>33</v>
      </c>
      <c r="B34" s="3">
        <v>45716</v>
      </c>
      <c r="C34" s="6">
        <v>970</v>
      </c>
      <c r="D34" s="2">
        <f>LEN(Table2[[#This Row],[CLID]])</f>
        <v>7</v>
      </c>
      <c r="E34" s="2" t="str">
        <f>_xlfn.XLOOKUP('Volume Data'!A:A,'Geo Data'!D:D,'Geo Data'!B:B)</f>
        <v>GEO1001</v>
      </c>
      <c r="F34" s="2" t="str">
        <f>INDEX(GeoByClient[GEOID],MATCH(Table2[[#This Row],[CLID]],GeoByClient[Right],0))</f>
        <v>GEO1001</v>
      </c>
      <c r="G34" s="2" t="str">
        <f>_xlfn.XLOOKUP(Table2[[#This Row],[Xlookup Region ID]],GEONames[GEOID],GEONames[GEO Name])</f>
        <v>NAM</v>
      </c>
      <c r="H34" s="2" t="str">
        <f>"Q"&amp;ROUNDUP(MONTH(Table2[[#This Row],[Date]])/3,0)&amp;" "&amp;YEAR(Table2[[#This Row],[Date]])</f>
        <v>Q1 2025</v>
      </c>
      <c r="I34" s="2" t="str">
        <f>VLOOKUP(Table2[[#This Row],[Date]],Table7[],3)</f>
        <v>Q4 2024</v>
      </c>
    </row>
    <row r="35" spans="1:9" x14ac:dyDescent="0.25">
      <c r="A35" s="3" t="s">
        <v>33</v>
      </c>
      <c r="B35" s="3">
        <v>45688</v>
      </c>
      <c r="C35" s="6">
        <v>1207</v>
      </c>
      <c r="D35" s="2">
        <f>LEN(Table2[[#This Row],[CLID]])</f>
        <v>7</v>
      </c>
      <c r="E35" s="2" t="str">
        <f>_xlfn.XLOOKUP('Volume Data'!A:A,'Geo Data'!D:D,'Geo Data'!B:B)</f>
        <v>GEO1001</v>
      </c>
      <c r="F35" s="2" t="str">
        <f>INDEX(GeoByClient[GEOID],MATCH(Table2[[#This Row],[CLID]],GeoByClient[Right],0))</f>
        <v>GEO1001</v>
      </c>
      <c r="G35" s="2" t="str">
        <f>_xlfn.XLOOKUP(Table2[[#This Row],[Xlookup Region ID]],GEONames[GEOID],GEONames[GEO Name])</f>
        <v>NAM</v>
      </c>
      <c r="H35" s="2" t="str">
        <f>"Q"&amp;ROUNDUP(MONTH(Table2[[#This Row],[Date]])/3,0)&amp;" "&amp;YEAR(Table2[[#This Row],[Date]])</f>
        <v>Q1 2025</v>
      </c>
      <c r="I35" s="2" t="str">
        <f>VLOOKUP(Table2[[#This Row],[Date]],Table7[],3)</f>
        <v>Q4 2024</v>
      </c>
    </row>
    <row r="36" spans="1:9" x14ac:dyDescent="0.25">
      <c r="A36" s="3" t="s">
        <v>22</v>
      </c>
      <c r="B36" s="3">
        <v>45322</v>
      </c>
      <c r="C36" s="6">
        <v>532</v>
      </c>
      <c r="D36" s="2">
        <f>LEN(Table2[[#This Row],[CLID]])</f>
        <v>7</v>
      </c>
      <c r="E36" s="2" t="str">
        <f>_xlfn.XLOOKUP('Volume Data'!A:A,'Geo Data'!D:D,'Geo Data'!B:B)</f>
        <v>GEO1003</v>
      </c>
      <c r="F36" s="2" t="str">
        <f>INDEX(GeoByClient[GEOID],MATCH(Table2[[#This Row],[CLID]],GeoByClient[Right],0))</f>
        <v>GEO1003</v>
      </c>
      <c r="G36" s="2" t="str">
        <f>_xlfn.XLOOKUP(Table2[[#This Row],[Xlookup Region ID]],GEONames[GEOID],GEONames[GEO Name])</f>
        <v>EMEA</v>
      </c>
      <c r="H36" s="2" t="str">
        <f>"Q"&amp;ROUNDUP(MONTH(Table2[[#This Row],[Date]])/3,0)&amp;" "&amp;YEAR(Table2[[#This Row],[Date]])</f>
        <v>Q1 2024</v>
      </c>
      <c r="I36" s="2" t="str">
        <f>VLOOKUP(Table2[[#This Row],[Date]],Table7[],3)</f>
        <v>Q1 2024</v>
      </c>
    </row>
    <row r="37" spans="1:9" x14ac:dyDescent="0.25">
      <c r="A37" s="3" t="s">
        <v>22</v>
      </c>
      <c r="B37" s="3">
        <v>45351</v>
      </c>
      <c r="C37" s="6">
        <v>760</v>
      </c>
      <c r="D37" s="2">
        <f>LEN(Table2[[#This Row],[CLID]])</f>
        <v>7</v>
      </c>
      <c r="E37" s="2" t="str">
        <f>_xlfn.XLOOKUP('Volume Data'!A:A,'Geo Data'!D:D,'Geo Data'!B:B)</f>
        <v>GEO1003</v>
      </c>
      <c r="F37" s="2" t="str">
        <f>INDEX(GeoByClient[GEOID],MATCH(Table2[[#This Row],[CLID]],GeoByClient[Right],0))</f>
        <v>GEO1003</v>
      </c>
      <c r="G37" s="2" t="str">
        <f>_xlfn.XLOOKUP(Table2[[#This Row],[Xlookup Region ID]],GEONames[GEOID],GEONames[GEO Name])</f>
        <v>EMEA</v>
      </c>
      <c r="H37" s="2" t="str">
        <f>"Q"&amp;ROUNDUP(MONTH(Table2[[#This Row],[Date]])/3,0)&amp;" "&amp;YEAR(Table2[[#This Row],[Date]])</f>
        <v>Q1 2024</v>
      </c>
      <c r="I37" s="2" t="str">
        <f>VLOOKUP(Table2[[#This Row],[Date]],Table7[],3)</f>
        <v>Q1 2024</v>
      </c>
    </row>
    <row r="38" spans="1:9" x14ac:dyDescent="0.25">
      <c r="A38" s="3" t="s">
        <v>22</v>
      </c>
      <c r="B38" s="3">
        <v>45382</v>
      </c>
      <c r="C38" s="6">
        <v>682</v>
      </c>
      <c r="D38" s="2">
        <f>LEN(Table2[[#This Row],[CLID]])</f>
        <v>7</v>
      </c>
      <c r="E38" s="2" t="str">
        <f>_xlfn.XLOOKUP('Volume Data'!A:A,'Geo Data'!D:D,'Geo Data'!B:B)</f>
        <v>GEO1003</v>
      </c>
      <c r="F38" s="2" t="str">
        <f>INDEX(GeoByClient[GEOID],MATCH(Table2[[#This Row],[CLID]],GeoByClient[Right],0))</f>
        <v>GEO1003</v>
      </c>
      <c r="G38" s="2" t="str">
        <f>_xlfn.XLOOKUP(Table2[[#This Row],[Xlookup Region ID]],GEONames[GEOID],GEONames[GEO Name])</f>
        <v>EMEA</v>
      </c>
      <c r="H38" s="2" t="str">
        <f>"Q"&amp;ROUNDUP(MONTH(Table2[[#This Row],[Date]])/3,0)&amp;" "&amp;YEAR(Table2[[#This Row],[Date]])</f>
        <v>Q1 2024</v>
      </c>
      <c r="I38" s="2" t="str">
        <f>VLOOKUP(Table2[[#This Row],[Date]],Table7[],3)</f>
        <v>Q1 2024</v>
      </c>
    </row>
    <row r="39" spans="1:9" x14ac:dyDescent="0.25">
      <c r="A39" s="3" t="s">
        <v>22</v>
      </c>
      <c r="B39" s="3">
        <v>45412</v>
      </c>
      <c r="C39" s="6">
        <v>984</v>
      </c>
      <c r="D39" s="2">
        <f>LEN(Table2[[#This Row],[CLID]])</f>
        <v>7</v>
      </c>
      <c r="E39" s="2" t="str">
        <f>_xlfn.XLOOKUP('Volume Data'!A:A,'Geo Data'!D:D,'Geo Data'!B:B)</f>
        <v>GEO1003</v>
      </c>
      <c r="F39" s="2" t="str">
        <f>INDEX(GeoByClient[GEOID],MATCH(Table2[[#This Row],[CLID]],GeoByClient[Right],0))</f>
        <v>GEO1003</v>
      </c>
      <c r="G39" s="2" t="str">
        <f>_xlfn.XLOOKUP(Table2[[#This Row],[Xlookup Region ID]],GEONames[GEOID],GEONames[GEO Name])</f>
        <v>EMEA</v>
      </c>
      <c r="H39" s="2" t="str">
        <f>"Q"&amp;ROUNDUP(MONTH(Table2[[#This Row],[Date]])/3,0)&amp;" "&amp;YEAR(Table2[[#This Row],[Date]])</f>
        <v>Q2 2024</v>
      </c>
      <c r="I39" s="2" t="str">
        <f>VLOOKUP(Table2[[#This Row],[Date]],Table7[],3)</f>
        <v>Q2 2024</v>
      </c>
    </row>
    <row r="40" spans="1:9" x14ac:dyDescent="0.25">
      <c r="A40" s="3" t="s">
        <v>22</v>
      </c>
      <c r="B40" s="3">
        <v>45443</v>
      </c>
      <c r="C40" s="6">
        <v>760</v>
      </c>
      <c r="D40" s="2">
        <f>LEN(Table2[[#This Row],[CLID]])</f>
        <v>7</v>
      </c>
      <c r="E40" s="2" t="str">
        <f>_xlfn.XLOOKUP('Volume Data'!A:A,'Geo Data'!D:D,'Geo Data'!B:B)</f>
        <v>GEO1003</v>
      </c>
      <c r="F40" s="2" t="str">
        <f>INDEX(GeoByClient[GEOID],MATCH(Table2[[#This Row],[CLID]],GeoByClient[Right],0))</f>
        <v>GEO1003</v>
      </c>
      <c r="G40" s="2" t="str">
        <f>_xlfn.XLOOKUP(Table2[[#This Row],[Xlookup Region ID]],GEONames[GEOID],GEONames[GEO Name])</f>
        <v>EMEA</v>
      </c>
      <c r="H40" s="2" t="str">
        <f>"Q"&amp;ROUNDUP(MONTH(Table2[[#This Row],[Date]])/3,0)&amp;" "&amp;YEAR(Table2[[#This Row],[Date]])</f>
        <v>Q2 2024</v>
      </c>
      <c r="I40" s="2" t="str">
        <f>VLOOKUP(Table2[[#This Row],[Date]],Table7[],3)</f>
        <v>Q2 2024</v>
      </c>
    </row>
    <row r="41" spans="1:9" x14ac:dyDescent="0.25">
      <c r="A41" s="3" t="s">
        <v>22</v>
      </c>
      <c r="B41" s="3">
        <v>45473</v>
      </c>
      <c r="C41" s="6">
        <v>681</v>
      </c>
      <c r="D41" s="2">
        <f>LEN(Table2[[#This Row],[CLID]])</f>
        <v>7</v>
      </c>
      <c r="E41" s="2" t="str">
        <f>_xlfn.XLOOKUP('Volume Data'!A:A,'Geo Data'!D:D,'Geo Data'!B:B)</f>
        <v>GEO1003</v>
      </c>
      <c r="F41" s="2" t="str">
        <f>INDEX(GeoByClient[GEOID],MATCH(Table2[[#This Row],[CLID]],GeoByClient[Right],0))</f>
        <v>GEO1003</v>
      </c>
      <c r="G41" s="2" t="str">
        <f>_xlfn.XLOOKUP(Table2[[#This Row],[Xlookup Region ID]],GEONames[GEOID],GEONames[GEO Name])</f>
        <v>EMEA</v>
      </c>
      <c r="H41" s="2" t="str">
        <f>"Q"&amp;ROUNDUP(MONTH(Table2[[#This Row],[Date]])/3,0)&amp;" "&amp;YEAR(Table2[[#This Row],[Date]])</f>
        <v>Q2 2024</v>
      </c>
      <c r="I41" s="2" t="str">
        <f>VLOOKUP(Table2[[#This Row],[Date]],Table7[],3)</f>
        <v>Q2 2024</v>
      </c>
    </row>
    <row r="42" spans="1:9" x14ac:dyDescent="0.25">
      <c r="A42" s="3" t="s">
        <v>22</v>
      </c>
      <c r="B42" s="3">
        <v>45504</v>
      </c>
      <c r="C42" s="6">
        <v>457</v>
      </c>
      <c r="D42" s="2">
        <f>LEN(Table2[[#This Row],[CLID]])</f>
        <v>7</v>
      </c>
      <c r="E42" s="2" t="str">
        <f>_xlfn.XLOOKUP('Volume Data'!A:A,'Geo Data'!D:D,'Geo Data'!B:B)</f>
        <v>GEO1003</v>
      </c>
      <c r="F42" s="2" t="str">
        <f>INDEX(GeoByClient[GEOID],MATCH(Table2[[#This Row],[CLID]],GeoByClient[Right],0))</f>
        <v>GEO1003</v>
      </c>
      <c r="G42" s="2" t="str">
        <f>_xlfn.XLOOKUP(Table2[[#This Row],[Xlookup Region ID]],GEONames[GEOID],GEONames[GEO Name])</f>
        <v>EMEA</v>
      </c>
      <c r="H42" s="2" t="str">
        <f>"Q"&amp;ROUNDUP(MONTH(Table2[[#This Row],[Date]])/3,0)&amp;" "&amp;YEAR(Table2[[#This Row],[Date]])</f>
        <v>Q3 2024</v>
      </c>
      <c r="I42" s="2" t="str">
        <f>VLOOKUP(Table2[[#This Row],[Date]],Table7[],3)</f>
        <v>Q3 2024</v>
      </c>
    </row>
    <row r="43" spans="1:9" x14ac:dyDescent="0.25">
      <c r="A43" s="3" t="s">
        <v>22</v>
      </c>
      <c r="B43" s="3">
        <v>45535</v>
      </c>
      <c r="C43" s="6">
        <v>528</v>
      </c>
      <c r="D43" s="2">
        <f>LEN(Table2[[#This Row],[CLID]])</f>
        <v>7</v>
      </c>
      <c r="E43" s="2" t="str">
        <f>_xlfn.XLOOKUP('Volume Data'!A:A,'Geo Data'!D:D,'Geo Data'!B:B)</f>
        <v>GEO1003</v>
      </c>
      <c r="F43" s="2" t="str">
        <f>INDEX(GeoByClient[GEOID],MATCH(Table2[[#This Row],[CLID]],GeoByClient[Right],0))</f>
        <v>GEO1003</v>
      </c>
      <c r="G43" s="2" t="str">
        <f>_xlfn.XLOOKUP(Table2[[#This Row],[Xlookup Region ID]],GEONames[GEOID],GEONames[GEO Name])</f>
        <v>EMEA</v>
      </c>
      <c r="H43" s="2" t="str">
        <f>"Q"&amp;ROUNDUP(MONTH(Table2[[#This Row],[Date]])/3,0)&amp;" "&amp;YEAR(Table2[[#This Row],[Date]])</f>
        <v>Q3 2024</v>
      </c>
      <c r="I43" s="2" t="str">
        <f>VLOOKUP(Table2[[#This Row],[Date]],Table7[],3)</f>
        <v>Q3 2024</v>
      </c>
    </row>
    <row r="44" spans="1:9" x14ac:dyDescent="0.25">
      <c r="A44" s="3" t="s">
        <v>22</v>
      </c>
      <c r="B44" s="3">
        <v>45565</v>
      </c>
      <c r="C44" s="6">
        <v>377</v>
      </c>
      <c r="D44" s="2">
        <f>LEN(Table2[[#This Row],[CLID]])</f>
        <v>7</v>
      </c>
      <c r="E44" s="2" t="str">
        <f>_xlfn.XLOOKUP('Volume Data'!A:A,'Geo Data'!D:D,'Geo Data'!B:B)</f>
        <v>GEO1003</v>
      </c>
      <c r="F44" s="2" t="str">
        <f>INDEX(GeoByClient[GEOID],MATCH(Table2[[#This Row],[CLID]],GeoByClient[Right],0))</f>
        <v>GEO1003</v>
      </c>
      <c r="G44" s="2" t="str">
        <f>_xlfn.XLOOKUP(Table2[[#This Row],[Xlookup Region ID]],GEONames[GEOID],GEONames[GEO Name])</f>
        <v>EMEA</v>
      </c>
      <c r="H44" s="2" t="str">
        <f>"Q"&amp;ROUNDUP(MONTH(Table2[[#This Row],[Date]])/3,0)&amp;" "&amp;YEAR(Table2[[#This Row],[Date]])</f>
        <v>Q3 2024</v>
      </c>
      <c r="I44" s="2" t="str">
        <f>VLOOKUP(Table2[[#This Row],[Date]],Table7[],3)</f>
        <v>Q3 2024</v>
      </c>
    </row>
    <row r="45" spans="1:9" x14ac:dyDescent="0.25">
      <c r="A45" s="3" t="s">
        <v>22</v>
      </c>
      <c r="B45" s="3">
        <v>45596</v>
      </c>
      <c r="C45" s="6">
        <v>606</v>
      </c>
      <c r="D45" s="2">
        <f>LEN(Table2[[#This Row],[CLID]])</f>
        <v>7</v>
      </c>
      <c r="E45" s="2" t="str">
        <f>_xlfn.XLOOKUP('Volume Data'!A:A,'Geo Data'!D:D,'Geo Data'!B:B)</f>
        <v>GEO1003</v>
      </c>
      <c r="F45" s="2" t="str">
        <f>INDEX(GeoByClient[GEOID],MATCH(Table2[[#This Row],[CLID]],GeoByClient[Right],0))</f>
        <v>GEO1003</v>
      </c>
      <c r="G45" s="2" t="str">
        <f>_xlfn.XLOOKUP(Table2[[#This Row],[Xlookup Region ID]],GEONames[GEOID],GEONames[GEO Name])</f>
        <v>EMEA</v>
      </c>
      <c r="H45" s="2" t="str">
        <f>"Q"&amp;ROUNDUP(MONTH(Table2[[#This Row],[Date]])/3,0)&amp;" "&amp;YEAR(Table2[[#This Row],[Date]])</f>
        <v>Q4 2024</v>
      </c>
      <c r="I45" s="2" t="str">
        <f>VLOOKUP(Table2[[#This Row],[Date]],Table7[],3)</f>
        <v>Q4 2024</v>
      </c>
    </row>
    <row r="46" spans="1:9" x14ac:dyDescent="0.25">
      <c r="A46" s="3" t="s">
        <v>22</v>
      </c>
      <c r="B46" s="3">
        <v>45626</v>
      </c>
      <c r="C46" s="6">
        <v>534</v>
      </c>
      <c r="D46" s="2">
        <f>LEN(Table2[[#This Row],[CLID]])</f>
        <v>7</v>
      </c>
      <c r="E46" s="2" t="str">
        <f>_xlfn.XLOOKUP('Volume Data'!A:A,'Geo Data'!D:D,'Geo Data'!B:B)</f>
        <v>GEO1003</v>
      </c>
      <c r="F46" s="2" t="str">
        <f>INDEX(GeoByClient[GEOID],MATCH(Table2[[#This Row],[CLID]],GeoByClient[Right],0))</f>
        <v>GEO1003</v>
      </c>
      <c r="G46" s="2" t="str">
        <f>_xlfn.XLOOKUP(Table2[[#This Row],[Xlookup Region ID]],GEONames[GEOID],GEONames[GEO Name])</f>
        <v>EMEA</v>
      </c>
      <c r="H46" s="2" t="str">
        <f>"Q"&amp;ROUNDUP(MONTH(Table2[[#This Row],[Date]])/3,0)&amp;" "&amp;YEAR(Table2[[#This Row],[Date]])</f>
        <v>Q4 2024</v>
      </c>
      <c r="I46" s="2" t="str">
        <f>VLOOKUP(Table2[[#This Row],[Date]],Table7[],3)</f>
        <v>Q4 2024</v>
      </c>
    </row>
    <row r="47" spans="1:9" x14ac:dyDescent="0.25">
      <c r="A47" s="3" t="s">
        <v>22</v>
      </c>
      <c r="B47" s="3">
        <v>45657</v>
      </c>
      <c r="C47" s="6">
        <v>681</v>
      </c>
      <c r="D47" s="2">
        <f>LEN(Table2[[#This Row],[CLID]])</f>
        <v>7</v>
      </c>
      <c r="E47" s="2" t="str">
        <f>_xlfn.XLOOKUP('Volume Data'!A:A,'Geo Data'!D:D,'Geo Data'!B:B)</f>
        <v>GEO1003</v>
      </c>
      <c r="F47" s="2" t="str">
        <f>INDEX(GeoByClient[GEOID],MATCH(Table2[[#This Row],[CLID]],GeoByClient[Right],0))</f>
        <v>GEO1003</v>
      </c>
      <c r="G47" s="2" t="str">
        <f>_xlfn.XLOOKUP(Table2[[#This Row],[Xlookup Region ID]],GEONames[GEOID],GEONames[GEO Name])</f>
        <v>EMEA</v>
      </c>
      <c r="H47" s="2" t="str">
        <f>"Q"&amp;ROUNDUP(MONTH(Table2[[#This Row],[Date]])/3,0)&amp;" "&amp;YEAR(Table2[[#This Row],[Date]])</f>
        <v>Q4 2024</v>
      </c>
      <c r="I47" s="2" t="str">
        <f>VLOOKUP(Table2[[#This Row],[Date]],Table7[],3)</f>
        <v>Q4 2024</v>
      </c>
    </row>
    <row r="48" spans="1:9" x14ac:dyDescent="0.25">
      <c r="A48" s="3" t="s">
        <v>22</v>
      </c>
      <c r="B48" s="3">
        <v>45808</v>
      </c>
      <c r="C48" s="6">
        <v>764</v>
      </c>
      <c r="D48" s="2">
        <f>LEN(Table2[[#This Row],[CLID]])</f>
        <v>7</v>
      </c>
      <c r="E48" s="2" t="str">
        <f>_xlfn.XLOOKUP('Volume Data'!A:A,'Geo Data'!D:D,'Geo Data'!B:B)</f>
        <v>GEO1003</v>
      </c>
      <c r="F48" s="2" t="str">
        <f>INDEX(GeoByClient[GEOID],MATCH(Table2[[#This Row],[CLID]],GeoByClient[Right],0))</f>
        <v>GEO1003</v>
      </c>
      <c r="G48" s="2" t="str">
        <f>_xlfn.XLOOKUP(Table2[[#This Row],[Xlookup Region ID]],GEONames[GEOID],GEONames[GEO Name])</f>
        <v>EMEA</v>
      </c>
      <c r="H48" s="2" t="str">
        <f>"Q"&amp;ROUNDUP(MONTH(Table2[[#This Row],[Date]])/3,0)&amp;" "&amp;YEAR(Table2[[#This Row],[Date]])</f>
        <v>Q2 2025</v>
      </c>
      <c r="I48" s="2" t="str">
        <f>VLOOKUP(Table2[[#This Row],[Date]],Table7[],3)</f>
        <v>Q2 2025</v>
      </c>
    </row>
    <row r="49" spans="1:9" x14ac:dyDescent="0.25">
      <c r="A49" s="3" t="s">
        <v>22</v>
      </c>
      <c r="B49" s="3">
        <v>45777</v>
      </c>
      <c r="C49" s="6">
        <v>973</v>
      </c>
      <c r="D49" s="2">
        <f>LEN(Table2[[#This Row],[CLID]])</f>
        <v>7</v>
      </c>
      <c r="E49" s="2" t="str">
        <f>_xlfn.XLOOKUP('Volume Data'!A:A,'Geo Data'!D:D,'Geo Data'!B:B)</f>
        <v>GEO1003</v>
      </c>
      <c r="F49" s="2" t="str">
        <f>INDEX(GeoByClient[GEOID],MATCH(Table2[[#This Row],[CLID]],GeoByClient[Right],0))</f>
        <v>GEO1003</v>
      </c>
      <c r="G49" s="2" t="str">
        <f>_xlfn.XLOOKUP(Table2[[#This Row],[Xlookup Region ID]],GEONames[GEOID],GEONames[GEO Name])</f>
        <v>EMEA</v>
      </c>
      <c r="H49" s="2" t="str">
        <f>"Q"&amp;ROUNDUP(MONTH(Table2[[#This Row],[Date]])/3,0)&amp;" "&amp;YEAR(Table2[[#This Row],[Date]])</f>
        <v>Q2 2025</v>
      </c>
      <c r="I49" s="2" t="str">
        <f>VLOOKUP(Table2[[#This Row],[Date]],Table7[],3)</f>
        <v>Q2 2025</v>
      </c>
    </row>
    <row r="50" spans="1:9" x14ac:dyDescent="0.25">
      <c r="A50" s="3" t="s">
        <v>22</v>
      </c>
      <c r="B50" s="3">
        <v>45747</v>
      </c>
      <c r="C50" s="6">
        <v>688</v>
      </c>
      <c r="D50" s="2">
        <f>LEN(Table2[[#This Row],[CLID]])</f>
        <v>7</v>
      </c>
      <c r="E50" s="2" t="str">
        <f>_xlfn.XLOOKUP('Volume Data'!A:A,'Geo Data'!D:D,'Geo Data'!B:B)</f>
        <v>GEO1003</v>
      </c>
      <c r="F50" s="2" t="str">
        <f>INDEX(GeoByClient[GEOID],MATCH(Table2[[#This Row],[CLID]],GeoByClient[Right],0))</f>
        <v>GEO1003</v>
      </c>
      <c r="G50" s="2" t="str">
        <f>_xlfn.XLOOKUP(Table2[[#This Row],[Xlookup Region ID]],GEONames[GEOID],GEONames[GEO Name])</f>
        <v>EMEA</v>
      </c>
      <c r="H50" s="2" t="str">
        <f>"Q"&amp;ROUNDUP(MONTH(Table2[[#This Row],[Date]])/3,0)&amp;" "&amp;YEAR(Table2[[#This Row],[Date]])</f>
        <v>Q1 2025</v>
      </c>
      <c r="I50" s="2" t="str">
        <f>VLOOKUP(Table2[[#This Row],[Date]],Table7[],3)</f>
        <v>Q4 2024</v>
      </c>
    </row>
    <row r="51" spans="1:9" x14ac:dyDescent="0.25">
      <c r="A51" s="3" t="s">
        <v>22</v>
      </c>
      <c r="B51" s="3">
        <v>45716</v>
      </c>
      <c r="C51" s="6">
        <v>750</v>
      </c>
      <c r="D51" s="2">
        <f>LEN(Table2[[#This Row],[CLID]])</f>
        <v>7</v>
      </c>
      <c r="E51" s="2" t="str">
        <f>_xlfn.XLOOKUP('Volume Data'!A:A,'Geo Data'!D:D,'Geo Data'!B:B)</f>
        <v>GEO1003</v>
      </c>
      <c r="F51" s="2" t="str">
        <f>INDEX(GeoByClient[GEOID],MATCH(Table2[[#This Row],[CLID]],GeoByClient[Right],0))</f>
        <v>GEO1003</v>
      </c>
      <c r="G51" s="2" t="str">
        <f>_xlfn.XLOOKUP(Table2[[#This Row],[Xlookup Region ID]],GEONames[GEOID],GEONames[GEO Name])</f>
        <v>EMEA</v>
      </c>
      <c r="H51" s="2" t="str">
        <f>"Q"&amp;ROUNDUP(MONTH(Table2[[#This Row],[Date]])/3,0)&amp;" "&amp;YEAR(Table2[[#This Row],[Date]])</f>
        <v>Q1 2025</v>
      </c>
      <c r="I51" s="2" t="str">
        <f>VLOOKUP(Table2[[#This Row],[Date]],Table7[],3)</f>
        <v>Q4 2024</v>
      </c>
    </row>
    <row r="52" spans="1:9" x14ac:dyDescent="0.25">
      <c r="A52" s="3" t="s">
        <v>22</v>
      </c>
      <c r="B52" s="3">
        <v>45688</v>
      </c>
      <c r="C52" s="6">
        <v>554</v>
      </c>
      <c r="D52" s="2">
        <f>LEN(Table2[[#This Row],[CLID]])</f>
        <v>7</v>
      </c>
      <c r="E52" s="2" t="str">
        <f>_xlfn.XLOOKUP('Volume Data'!A:A,'Geo Data'!D:D,'Geo Data'!B:B)</f>
        <v>GEO1003</v>
      </c>
      <c r="F52" s="2" t="str">
        <f>INDEX(GeoByClient[GEOID],MATCH(Table2[[#This Row],[CLID]],GeoByClient[Right],0))</f>
        <v>GEO1003</v>
      </c>
      <c r="G52" s="2" t="str">
        <f>_xlfn.XLOOKUP(Table2[[#This Row],[Xlookup Region ID]],GEONames[GEOID],GEONames[GEO Name])</f>
        <v>EMEA</v>
      </c>
      <c r="H52" s="2" t="str">
        <f>"Q"&amp;ROUNDUP(MONTH(Table2[[#This Row],[Date]])/3,0)&amp;" "&amp;YEAR(Table2[[#This Row],[Date]])</f>
        <v>Q1 2025</v>
      </c>
      <c r="I52" s="2" t="str">
        <f>VLOOKUP(Table2[[#This Row],[Date]],Table7[],3)</f>
        <v>Q4 2024</v>
      </c>
    </row>
    <row r="53" spans="1:9" x14ac:dyDescent="0.25">
      <c r="A53" s="3" t="s">
        <v>49</v>
      </c>
      <c r="B53" s="3">
        <v>45473</v>
      </c>
      <c r="C53" s="6">
        <v>1342</v>
      </c>
      <c r="D53" s="2">
        <f>LEN(Table2[[#This Row],[CLID]])</f>
        <v>7</v>
      </c>
      <c r="E53" s="2" t="str">
        <f>_xlfn.XLOOKUP('Volume Data'!A:A,'Geo Data'!D:D,'Geo Data'!B:B)</f>
        <v>GEO1001</v>
      </c>
      <c r="F53" s="2" t="str">
        <f>INDEX(GeoByClient[GEOID],MATCH(Table2[[#This Row],[CLID]],GeoByClient[Right],0))</f>
        <v>GEO1001</v>
      </c>
      <c r="G53" s="2" t="str">
        <f>_xlfn.XLOOKUP(Table2[[#This Row],[Xlookup Region ID]],GEONames[GEOID],GEONames[GEO Name])</f>
        <v>NAM</v>
      </c>
      <c r="H53" s="2" t="str">
        <f>"Q"&amp;ROUNDUP(MONTH(Table2[[#This Row],[Date]])/3,0)&amp;" "&amp;YEAR(Table2[[#This Row],[Date]])</f>
        <v>Q2 2024</v>
      </c>
      <c r="I53" s="2" t="str">
        <f>VLOOKUP(Table2[[#This Row],[Date]],Table7[],3)</f>
        <v>Q2 2024</v>
      </c>
    </row>
    <row r="54" spans="1:9" x14ac:dyDescent="0.25">
      <c r="A54" s="3" t="s">
        <v>49</v>
      </c>
      <c r="B54" s="3">
        <v>45504</v>
      </c>
      <c r="C54" s="6">
        <v>1526</v>
      </c>
      <c r="D54" s="2">
        <f>LEN(Table2[[#This Row],[CLID]])</f>
        <v>7</v>
      </c>
      <c r="E54" s="2" t="str">
        <f>_xlfn.XLOOKUP('Volume Data'!A:A,'Geo Data'!D:D,'Geo Data'!B:B)</f>
        <v>GEO1001</v>
      </c>
      <c r="F54" s="2" t="str">
        <f>INDEX(GeoByClient[GEOID],MATCH(Table2[[#This Row],[CLID]],GeoByClient[Right],0))</f>
        <v>GEO1001</v>
      </c>
      <c r="G54" s="2" t="str">
        <f>_xlfn.XLOOKUP(Table2[[#This Row],[Xlookup Region ID]],GEONames[GEOID],GEONames[GEO Name])</f>
        <v>NAM</v>
      </c>
      <c r="H54" s="2" t="str">
        <f>"Q"&amp;ROUNDUP(MONTH(Table2[[#This Row],[Date]])/3,0)&amp;" "&amp;YEAR(Table2[[#This Row],[Date]])</f>
        <v>Q3 2024</v>
      </c>
      <c r="I54" s="2" t="str">
        <f>VLOOKUP(Table2[[#This Row],[Date]],Table7[],3)</f>
        <v>Q3 2024</v>
      </c>
    </row>
    <row r="55" spans="1:9" x14ac:dyDescent="0.25">
      <c r="A55" s="3" t="s">
        <v>49</v>
      </c>
      <c r="B55" s="3">
        <v>45535</v>
      </c>
      <c r="C55" s="6">
        <v>958</v>
      </c>
      <c r="D55" s="2">
        <f>LEN(Table2[[#This Row],[CLID]])</f>
        <v>7</v>
      </c>
      <c r="E55" s="2" t="str">
        <f>_xlfn.XLOOKUP('Volume Data'!A:A,'Geo Data'!D:D,'Geo Data'!B:B)</f>
        <v>GEO1001</v>
      </c>
      <c r="F55" s="2" t="str">
        <f>INDEX(GeoByClient[GEOID],MATCH(Table2[[#This Row],[CLID]],GeoByClient[Right],0))</f>
        <v>GEO1001</v>
      </c>
      <c r="G55" s="2" t="str">
        <f>_xlfn.XLOOKUP(Table2[[#This Row],[Xlookup Region ID]],GEONames[GEOID],GEONames[GEO Name])</f>
        <v>NAM</v>
      </c>
      <c r="H55" s="2" t="str">
        <f>"Q"&amp;ROUNDUP(MONTH(Table2[[#This Row],[Date]])/3,0)&amp;" "&amp;YEAR(Table2[[#This Row],[Date]])</f>
        <v>Q3 2024</v>
      </c>
      <c r="I55" s="2" t="str">
        <f>VLOOKUP(Table2[[#This Row],[Date]],Table7[],3)</f>
        <v>Q3 2024</v>
      </c>
    </row>
    <row r="56" spans="1:9" x14ac:dyDescent="0.25">
      <c r="A56" s="3" t="s">
        <v>49</v>
      </c>
      <c r="B56" s="3">
        <v>45565</v>
      </c>
      <c r="C56" s="6">
        <v>1340</v>
      </c>
      <c r="D56" s="2">
        <f>LEN(Table2[[#This Row],[CLID]])</f>
        <v>7</v>
      </c>
      <c r="E56" s="2" t="str">
        <f>_xlfn.XLOOKUP('Volume Data'!A:A,'Geo Data'!D:D,'Geo Data'!B:B)</f>
        <v>GEO1001</v>
      </c>
      <c r="F56" s="2" t="str">
        <f>INDEX(GeoByClient[GEOID],MATCH(Table2[[#This Row],[CLID]],GeoByClient[Right],0))</f>
        <v>GEO1001</v>
      </c>
      <c r="G56" s="2" t="str">
        <f>_xlfn.XLOOKUP(Table2[[#This Row],[Xlookup Region ID]],GEONames[GEOID],GEONames[GEO Name])</f>
        <v>NAM</v>
      </c>
      <c r="H56" s="2" t="str">
        <f>"Q"&amp;ROUNDUP(MONTH(Table2[[#This Row],[Date]])/3,0)&amp;" "&amp;YEAR(Table2[[#This Row],[Date]])</f>
        <v>Q3 2024</v>
      </c>
      <c r="I56" s="2" t="str">
        <f>VLOOKUP(Table2[[#This Row],[Date]],Table7[],3)</f>
        <v>Q3 2024</v>
      </c>
    </row>
    <row r="57" spans="1:9" x14ac:dyDescent="0.25">
      <c r="A57" s="3" t="s">
        <v>49</v>
      </c>
      <c r="B57" s="3">
        <v>45596</v>
      </c>
      <c r="C57" s="6">
        <v>1150</v>
      </c>
      <c r="D57" s="2">
        <f>LEN(Table2[[#This Row],[CLID]])</f>
        <v>7</v>
      </c>
      <c r="E57" s="2" t="str">
        <f>_xlfn.XLOOKUP('Volume Data'!A:A,'Geo Data'!D:D,'Geo Data'!B:B)</f>
        <v>GEO1001</v>
      </c>
      <c r="F57" s="2" t="str">
        <f>INDEX(GeoByClient[GEOID],MATCH(Table2[[#This Row],[CLID]],GeoByClient[Right],0))</f>
        <v>GEO1001</v>
      </c>
      <c r="G57" s="2" t="str">
        <f>_xlfn.XLOOKUP(Table2[[#This Row],[Xlookup Region ID]],GEONames[GEOID],GEONames[GEO Name])</f>
        <v>NAM</v>
      </c>
      <c r="H57" s="2" t="str">
        <f>"Q"&amp;ROUNDUP(MONTH(Table2[[#This Row],[Date]])/3,0)&amp;" "&amp;YEAR(Table2[[#This Row],[Date]])</f>
        <v>Q4 2024</v>
      </c>
      <c r="I57" s="2" t="str">
        <f>VLOOKUP(Table2[[#This Row],[Date]],Table7[],3)</f>
        <v>Q4 2024</v>
      </c>
    </row>
    <row r="58" spans="1:9" x14ac:dyDescent="0.25">
      <c r="A58" s="3" t="s">
        <v>49</v>
      </c>
      <c r="B58" s="3">
        <v>45626</v>
      </c>
      <c r="C58" s="6">
        <v>1721</v>
      </c>
      <c r="D58" s="2">
        <f>LEN(Table2[[#This Row],[CLID]])</f>
        <v>7</v>
      </c>
      <c r="E58" s="2" t="str">
        <f>_xlfn.XLOOKUP('Volume Data'!A:A,'Geo Data'!D:D,'Geo Data'!B:B)</f>
        <v>GEO1001</v>
      </c>
      <c r="F58" s="2" t="str">
        <f>INDEX(GeoByClient[GEOID],MATCH(Table2[[#This Row],[CLID]],GeoByClient[Right],0))</f>
        <v>GEO1001</v>
      </c>
      <c r="G58" s="2" t="str">
        <f>_xlfn.XLOOKUP(Table2[[#This Row],[Xlookup Region ID]],GEONames[GEOID],GEONames[GEO Name])</f>
        <v>NAM</v>
      </c>
      <c r="H58" s="2" t="str">
        <f>"Q"&amp;ROUNDUP(MONTH(Table2[[#This Row],[Date]])/3,0)&amp;" "&amp;YEAR(Table2[[#This Row],[Date]])</f>
        <v>Q4 2024</v>
      </c>
      <c r="I58" s="2" t="str">
        <f>VLOOKUP(Table2[[#This Row],[Date]],Table7[],3)</f>
        <v>Q4 2024</v>
      </c>
    </row>
    <row r="59" spans="1:9" x14ac:dyDescent="0.25">
      <c r="A59" s="3" t="s">
        <v>49</v>
      </c>
      <c r="B59" s="3">
        <v>45657</v>
      </c>
      <c r="C59" s="6">
        <v>1342</v>
      </c>
      <c r="D59" s="2">
        <f>LEN(Table2[[#This Row],[CLID]])</f>
        <v>7</v>
      </c>
      <c r="E59" s="2" t="str">
        <f>_xlfn.XLOOKUP('Volume Data'!A:A,'Geo Data'!D:D,'Geo Data'!B:B)</f>
        <v>GEO1001</v>
      </c>
      <c r="F59" s="2" t="str">
        <f>INDEX(GeoByClient[GEOID],MATCH(Table2[[#This Row],[CLID]],GeoByClient[Right],0))</f>
        <v>GEO1001</v>
      </c>
      <c r="G59" s="2" t="str">
        <f>_xlfn.XLOOKUP(Table2[[#This Row],[Xlookup Region ID]],GEONames[GEOID],GEONames[GEO Name])</f>
        <v>NAM</v>
      </c>
      <c r="H59" s="2" t="str">
        <f>"Q"&amp;ROUNDUP(MONTH(Table2[[#This Row],[Date]])/3,0)&amp;" "&amp;YEAR(Table2[[#This Row],[Date]])</f>
        <v>Q4 2024</v>
      </c>
      <c r="I59" s="2" t="str">
        <f>VLOOKUP(Table2[[#This Row],[Date]],Table7[],3)</f>
        <v>Q4 2024</v>
      </c>
    </row>
    <row r="60" spans="1:9" x14ac:dyDescent="0.25">
      <c r="A60" s="3" t="s">
        <v>49</v>
      </c>
      <c r="B60" s="3">
        <v>45838</v>
      </c>
      <c r="C60" s="6">
        <v>1325</v>
      </c>
      <c r="D60" s="2">
        <f>LEN(Table2[[#This Row],[CLID]])</f>
        <v>7</v>
      </c>
      <c r="E60" s="2" t="str">
        <f>_xlfn.XLOOKUP('Volume Data'!A:A,'Geo Data'!D:D,'Geo Data'!B:B)</f>
        <v>GEO1001</v>
      </c>
      <c r="F60" s="2" t="str">
        <f>INDEX(GeoByClient[GEOID],MATCH(Table2[[#This Row],[CLID]],GeoByClient[Right],0))</f>
        <v>GEO1001</v>
      </c>
      <c r="G60" s="2" t="str">
        <f>_xlfn.XLOOKUP(Table2[[#This Row],[Xlookup Region ID]],GEONames[GEOID],GEONames[GEO Name])</f>
        <v>NAM</v>
      </c>
      <c r="H60" s="2" t="str">
        <f>"Q"&amp;ROUNDUP(MONTH(Table2[[#This Row],[Date]])/3,0)&amp;" "&amp;YEAR(Table2[[#This Row],[Date]])</f>
        <v>Q2 2025</v>
      </c>
      <c r="I60" s="2" t="str">
        <f>VLOOKUP(Table2[[#This Row],[Date]],Table7[],3)</f>
        <v>Q2 2025</v>
      </c>
    </row>
    <row r="61" spans="1:9" x14ac:dyDescent="0.25">
      <c r="A61" s="3" t="s">
        <v>49</v>
      </c>
      <c r="B61" s="3">
        <v>45808</v>
      </c>
      <c r="C61" s="6">
        <v>2403</v>
      </c>
      <c r="D61" s="2">
        <f>LEN(Table2[[#This Row],[CLID]])</f>
        <v>7</v>
      </c>
      <c r="E61" s="2" t="str">
        <f>_xlfn.XLOOKUP('Volume Data'!A:A,'Geo Data'!D:D,'Geo Data'!B:B)</f>
        <v>GEO1001</v>
      </c>
      <c r="F61" s="2" t="str">
        <f>INDEX(GeoByClient[GEOID],MATCH(Table2[[#This Row],[CLID]],GeoByClient[Right],0))</f>
        <v>GEO1001</v>
      </c>
      <c r="G61" s="2" t="str">
        <f>_xlfn.XLOOKUP(Table2[[#This Row],[Xlookup Region ID]],GEONames[GEOID],GEONames[GEO Name])</f>
        <v>NAM</v>
      </c>
      <c r="H61" s="2" t="str">
        <f>"Q"&amp;ROUNDUP(MONTH(Table2[[#This Row],[Date]])/3,0)&amp;" "&amp;YEAR(Table2[[#This Row],[Date]])</f>
        <v>Q2 2025</v>
      </c>
      <c r="I61" s="2" t="str">
        <f>VLOOKUP(Table2[[#This Row],[Date]],Table7[],3)</f>
        <v>Q2 2025</v>
      </c>
    </row>
    <row r="62" spans="1:9" x14ac:dyDescent="0.25">
      <c r="A62" s="3" t="s">
        <v>49</v>
      </c>
      <c r="B62" s="3">
        <v>45777</v>
      </c>
      <c r="C62" s="6">
        <v>2089</v>
      </c>
      <c r="D62" s="2">
        <f>LEN(Table2[[#This Row],[CLID]])</f>
        <v>7</v>
      </c>
      <c r="E62" s="2" t="str">
        <f>_xlfn.XLOOKUP('Volume Data'!A:A,'Geo Data'!D:D,'Geo Data'!B:B)</f>
        <v>GEO1001</v>
      </c>
      <c r="F62" s="2" t="str">
        <f>INDEX(GeoByClient[GEOID],MATCH(Table2[[#This Row],[CLID]],GeoByClient[Right],0))</f>
        <v>GEO1001</v>
      </c>
      <c r="G62" s="2" t="str">
        <f>_xlfn.XLOOKUP(Table2[[#This Row],[Xlookup Region ID]],GEONames[GEOID],GEONames[GEO Name])</f>
        <v>NAM</v>
      </c>
      <c r="H62" s="2" t="str">
        <f>"Q"&amp;ROUNDUP(MONTH(Table2[[#This Row],[Date]])/3,0)&amp;" "&amp;YEAR(Table2[[#This Row],[Date]])</f>
        <v>Q2 2025</v>
      </c>
      <c r="I62" s="2" t="str">
        <f>VLOOKUP(Table2[[#This Row],[Date]],Table7[],3)</f>
        <v>Q2 2025</v>
      </c>
    </row>
    <row r="63" spans="1:9" x14ac:dyDescent="0.25">
      <c r="A63" s="3" t="s">
        <v>49</v>
      </c>
      <c r="B63" s="3">
        <v>45747</v>
      </c>
      <c r="C63" s="6">
        <v>2185</v>
      </c>
      <c r="D63" s="2">
        <f>LEN(Table2[[#This Row],[CLID]])</f>
        <v>7</v>
      </c>
      <c r="E63" s="2" t="str">
        <f>_xlfn.XLOOKUP('Volume Data'!A:A,'Geo Data'!D:D,'Geo Data'!B:B)</f>
        <v>GEO1001</v>
      </c>
      <c r="F63" s="2" t="str">
        <f>INDEX(GeoByClient[GEOID],MATCH(Table2[[#This Row],[CLID]],GeoByClient[Right],0))</f>
        <v>GEO1001</v>
      </c>
      <c r="G63" s="2" t="str">
        <f>_xlfn.XLOOKUP(Table2[[#This Row],[Xlookup Region ID]],GEONames[GEOID],GEONames[GEO Name])</f>
        <v>NAM</v>
      </c>
      <c r="H63" s="2" t="str">
        <f>"Q"&amp;ROUNDUP(MONTH(Table2[[#This Row],[Date]])/3,0)&amp;" "&amp;YEAR(Table2[[#This Row],[Date]])</f>
        <v>Q1 2025</v>
      </c>
      <c r="I63" s="2" t="str">
        <f>VLOOKUP(Table2[[#This Row],[Date]],Table7[],3)</f>
        <v>Q4 2024</v>
      </c>
    </row>
    <row r="64" spans="1:9" x14ac:dyDescent="0.25">
      <c r="A64" s="3" t="s">
        <v>49</v>
      </c>
      <c r="B64" s="3">
        <v>45716</v>
      </c>
      <c r="C64" s="6">
        <v>1542</v>
      </c>
      <c r="D64" s="2">
        <f>LEN(Table2[[#This Row],[CLID]])</f>
        <v>7</v>
      </c>
      <c r="E64" s="2" t="str">
        <f>_xlfn.XLOOKUP('Volume Data'!A:A,'Geo Data'!D:D,'Geo Data'!B:B)</f>
        <v>GEO1001</v>
      </c>
      <c r="F64" s="2" t="str">
        <f>INDEX(GeoByClient[GEOID],MATCH(Table2[[#This Row],[CLID]],GeoByClient[Right],0))</f>
        <v>GEO1001</v>
      </c>
      <c r="G64" s="2" t="str">
        <f>_xlfn.XLOOKUP(Table2[[#This Row],[Xlookup Region ID]],GEONames[GEOID],GEONames[GEO Name])</f>
        <v>NAM</v>
      </c>
      <c r="H64" s="2" t="str">
        <f>"Q"&amp;ROUNDUP(MONTH(Table2[[#This Row],[Date]])/3,0)&amp;" "&amp;YEAR(Table2[[#This Row],[Date]])</f>
        <v>Q1 2025</v>
      </c>
      <c r="I64" s="2" t="str">
        <f>VLOOKUP(Table2[[#This Row],[Date]],Table7[],3)</f>
        <v>Q4 2024</v>
      </c>
    </row>
    <row r="65" spans="1:9" x14ac:dyDescent="0.25">
      <c r="A65" s="3" t="s">
        <v>49</v>
      </c>
      <c r="B65" s="3">
        <v>45688</v>
      </c>
      <c r="C65" s="6">
        <v>1804</v>
      </c>
      <c r="D65" s="2">
        <f>LEN(Table2[[#This Row],[CLID]])</f>
        <v>7</v>
      </c>
      <c r="E65" s="2" t="str">
        <f>_xlfn.XLOOKUP('Volume Data'!A:A,'Geo Data'!D:D,'Geo Data'!B:B)</f>
        <v>GEO1001</v>
      </c>
      <c r="F65" s="2" t="str">
        <f>INDEX(GeoByClient[GEOID],MATCH(Table2[[#This Row],[CLID]],GeoByClient[Right],0))</f>
        <v>GEO1001</v>
      </c>
      <c r="G65" s="2" t="str">
        <f>_xlfn.XLOOKUP(Table2[[#This Row],[Xlookup Region ID]],GEONames[GEOID],GEONames[GEO Name])</f>
        <v>NAM</v>
      </c>
      <c r="H65" s="2" t="str">
        <f>"Q"&amp;ROUNDUP(MONTH(Table2[[#This Row],[Date]])/3,0)&amp;" "&amp;YEAR(Table2[[#This Row],[Date]])</f>
        <v>Q1 2025</v>
      </c>
      <c r="I65" s="2" t="str">
        <f>VLOOKUP(Table2[[#This Row],[Date]],Table7[],3)</f>
        <v>Q4 2024</v>
      </c>
    </row>
    <row r="66" spans="1:9" x14ac:dyDescent="0.25">
      <c r="A66" s="3" t="s">
        <v>35</v>
      </c>
      <c r="B66" s="3">
        <v>45322</v>
      </c>
      <c r="C66" s="6">
        <v>12887</v>
      </c>
      <c r="D66" s="2">
        <f>LEN(Table2[[#This Row],[CLID]])</f>
        <v>7</v>
      </c>
      <c r="E66" s="2" t="str">
        <f>_xlfn.XLOOKUP('Volume Data'!A:A,'Geo Data'!D:D,'Geo Data'!B:B)</f>
        <v>GEO1001</v>
      </c>
      <c r="F66" s="2" t="str">
        <f>INDEX(GeoByClient[GEOID],MATCH(Table2[[#This Row],[CLID]],GeoByClient[Right],0))</f>
        <v>GEO1001</v>
      </c>
      <c r="G66" s="2" t="str">
        <f>_xlfn.XLOOKUP(Table2[[#This Row],[Xlookup Region ID]],GEONames[GEOID],GEONames[GEO Name])</f>
        <v>NAM</v>
      </c>
      <c r="H66" s="2" t="str">
        <f>"Q"&amp;ROUNDUP(MONTH(Table2[[#This Row],[Date]])/3,0)&amp;" "&amp;YEAR(Table2[[#This Row],[Date]])</f>
        <v>Q1 2024</v>
      </c>
      <c r="I66" s="2" t="str">
        <f>VLOOKUP(Table2[[#This Row],[Date]],Table7[],3)</f>
        <v>Q1 2024</v>
      </c>
    </row>
    <row r="67" spans="1:9" x14ac:dyDescent="0.25">
      <c r="A67" s="3" t="s">
        <v>35</v>
      </c>
      <c r="B67" s="3">
        <v>45351</v>
      </c>
      <c r="C67" s="6">
        <v>18411</v>
      </c>
      <c r="D67" s="2">
        <f>LEN(Table2[[#This Row],[CLID]])</f>
        <v>7</v>
      </c>
      <c r="E67" s="2" t="str">
        <f>_xlfn.XLOOKUP('Volume Data'!A:A,'Geo Data'!D:D,'Geo Data'!B:B)</f>
        <v>GEO1001</v>
      </c>
      <c r="F67" s="2" t="str">
        <f>INDEX(GeoByClient[GEOID],MATCH(Table2[[#This Row],[CLID]],GeoByClient[Right],0))</f>
        <v>GEO1001</v>
      </c>
      <c r="G67" s="2" t="str">
        <f>_xlfn.XLOOKUP(Table2[[#This Row],[Xlookup Region ID]],GEONames[GEOID],GEONames[GEO Name])</f>
        <v>NAM</v>
      </c>
      <c r="H67" s="2" t="str">
        <f>"Q"&amp;ROUNDUP(MONTH(Table2[[#This Row],[Date]])/3,0)&amp;" "&amp;YEAR(Table2[[#This Row],[Date]])</f>
        <v>Q1 2024</v>
      </c>
      <c r="I67" s="2" t="str">
        <f>VLOOKUP(Table2[[#This Row],[Date]],Table7[],3)</f>
        <v>Q1 2024</v>
      </c>
    </row>
    <row r="68" spans="1:9" x14ac:dyDescent="0.25">
      <c r="A68" s="3" t="s">
        <v>35</v>
      </c>
      <c r="B68" s="3">
        <v>45382</v>
      </c>
      <c r="C68" s="6">
        <v>16571</v>
      </c>
      <c r="D68" s="2">
        <f>LEN(Table2[[#This Row],[CLID]])</f>
        <v>7</v>
      </c>
      <c r="E68" s="2" t="str">
        <f>_xlfn.XLOOKUP('Volume Data'!A:A,'Geo Data'!D:D,'Geo Data'!B:B)</f>
        <v>GEO1001</v>
      </c>
      <c r="F68" s="2" t="str">
        <f>INDEX(GeoByClient[GEOID],MATCH(Table2[[#This Row],[CLID]],GeoByClient[Right],0))</f>
        <v>GEO1001</v>
      </c>
      <c r="G68" s="2" t="str">
        <f>_xlfn.XLOOKUP(Table2[[#This Row],[Xlookup Region ID]],GEONames[GEOID],GEONames[GEO Name])</f>
        <v>NAM</v>
      </c>
      <c r="H68" s="2" t="str">
        <f>"Q"&amp;ROUNDUP(MONTH(Table2[[#This Row],[Date]])/3,0)&amp;" "&amp;YEAR(Table2[[#This Row],[Date]])</f>
        <v>Q1 2024</v>
      </c>
      <c r="I68" s="2" t="str">
        <f>VLOOKUP(Table2[[#This Row],[Date]],Table7[],3)</f>
        <v>Q1 2024</v>
      </c>
    </row>
    <row r="69" spans="1:9" x14ac:dyDescent="0.25">
      <c r="A69" s="3" t="s">
        <v>35</v>
      </c>
      <c r="B69" s="3">
        <v>45412</v>
      </c>
      <c r="C69" s="6">
        <v>23929</v>
      </c>
      <c r="D69" s="2">
        <f>LEN(Table2[[#This Row],[CLID]])</f>
        <v>7</v>
      </c>
      <c r="E69" s="2" t="str">
        <f>_xlfn.XLOOKUP('Volume Data'!A:A,'Geo Data'!D:D,'Geo Data'!B:B)</f>
        <v>GEO1001</v>
      </c>
      <c r="F69" s="2" t="str">
        <f>INDEX(GeoByClient[GEOID],MATCH(Table2[[#This Row],[CLID]],GeoByClient[Right],0))</f>
        <v>GEO1001</v>
      </c>
      <c r="G69" s="2" t="str">
        <f>_xlfn.XLOOKUP(Table2[[#This Row],[Xlookup Region ID]],GEONames[GEOID],GEONames[GEO Name])</f>
        <v>NAM</v>
      </c>
      <c r="H69" s="2" t="str">
        <f>"Q"&amp;ROUNDUP(MONTH(Table2[[#This Row],[Date]])/3,0)&amp;" "&amp;YEAR(Table2[[#This Row],[Date]])</f>
        <v>Q2 2024</v>
      </c>
      <c r="I69" s="2" t="str">
        <f>VLOOKUP(Table2[[#This Row],[Date]],Table7[],3)</f>
        <v>Q2 2024</v>
      </c>
    </row>
    <row r="70" spans="1:9" x14ac:dyDescent="0.25">
      <c r="A70" s="3" t="s">
        <v>35</v>
      </c>
      <c r="B70" s="3">
        <v>45443</v>
      </c>
      <c r="C70" s="6">
        <v>18409</v>
      </c>
      <c r="D70" s="2">
        <f>LEN(Table2[[#This Row],[CLID]])</f>
        <v>7</v>
      </c>
      <c r="E70" s="2" t="str">
        <f>_xlfn.XLOOKUP('Volume Data'!A:A,'Geo Data'!D:D,'Geo Data'!B:B)</f>
        <v>GEO1001</v>
      </c>
      <c r="F70" s="2" t="str">
        <f>INDEX(GeoByClient[GEOID],MATCH(Table2[[#This Row],[CLID]],GeoByClient[Right],0))</f>
        <v>GEO1001</v>
      </c>
      <c r="G70" s="2" t="str">
        <f>_xlfn.XLOOKUP(Table2[[#This Row],[Xlookup Region ID]],GEONames[GEOID],GEONames[GEO Name])</f>
        <v>NAM</v>
      </c>
      <c r="H70" s="2" t="str">
        <f>"Q"&amp;ROUNDUP(MONTH(Table2[[#This Row],[Date]])/3,0)&amp;" "&amp;YEAR(Table2[[#This Row],[Date]])</f>
        <v>Q2 2024</v>
      </c>
      <c r="I70" s="2" t="str">
        <f>VLOOKUP(Table2[[#This Row],[Date]],Table7[],3)</f>
        <v>Q2 2024</v>
      </c>
    </row>
    <row r="71" spans="1:9" x14ac:dyDescent="0.25">
      <c r="A71" s="3" t="s">
        <v>35</v>
      </c>
      <c r="B71" s="3">
        <v>45473</v>
      </c>
      <c r="C71" s="6">
        <v>16572</v>
      </c>
      <c r="D71" s="2">
        <f>LEN(Table2[[#This Row],[CLID]])</f>
        <v>7</v>
      </c>
      <c r="E71" s="2" t="str">
        <f>_xlfn.XLOOKUP('Volume Data'!A:A,'Geo Data'!D:D,'Geo Data'!B:B)</f>
        <v>GEO1001</v>
      </c>
      <c r="F71" s="2" t="str">
        <f>INDEX(GeoByClient[GEOID],MATCH(Table2[[#This Row],[CLID]],GeoByClient[Right],0))</f>
        <v>GEO1001</v>
      </c>
      <c r="G71" s="2" t="str">
        <f>_xlfn.XLOOKUP(Table2[[#This Row],[Xlookup Region ID]],GEONames[GEOID],GEONames[GEO Name])</f>
        <v>NAM</v>
      </c>
      <c r="H71" s="2" t="str">
        <f>"Q"&amp;ROUNDUP(MONTH(Table2[[#This Row],[Date]])/3,0)&amp;" "&amp;YEAR(Table2[[#This Row],[Date]])</f>
        <v>Q2 2024</v>
      </c>
      <c r="I71" s="2" t="str">
        <f>VLOOKUP(Table2[[#This Row],[Date]],Table7[],3)</f>
        <v>Q2 2024</v>
      </c>
    </row>
    <row r="72" spans="1:9" x14ac:dyDescent="0.25">
      <c r="A72" s="3" t="s">
        <v>35</v>
      </c>
      <c r="B72" s="3">
        <v>45504</v>
      </c>
      <c r="C72" s="6">
        <v>11044</v>
      </c>
      <c r="D72" s="2">
        <f>LEN(Table2[[#This Row],[CLID]])</f>
        <v>7</v>
      </c>
      <c r="E72" s="2" t="str">
        <f>_xlfn.XLOOKUP('Volume Data'!A:A,'Geo Data'!D:D,'Geo Data'!B:B)</f>
        <v>GEO1001</v>
      </c>
      <c r="F72" s="2" t="str">
        <f>INDEX(GeoByClient[GEOID],MATCH(Table2[[#This Row],[CLID]],GeoByClient[Right],0))</f>
        <v>GEO1001</v>
      </c>
      <c r="G72" s="2" t="str">
        <f>_xlfn.XLOOKUP(Table2[[#This Row],[Xlookup Region ID]],GEONames[GEOID],GEONames[GEO Name])</f>
        <v>NAM</v>
      </c>
      <c r="H72" s="2" t="str">
        <f>"Q"&amp;ROUNDUP(MONTH(Table2[[#This Row],[Date]])/3,0)&amp;" "&amp;YEAR(Table2[[#This Row],[Date]])</f>
        <v>Q3 2024</v>
      </c>
      <c r="I72" s="2" t="str">
        <f>VLOOKUP(Table2[[#This Row],[Date]],Table7[],3)</f>
        <v>Q3 2024</v>
      </c>
    </row>
    <row r="73" spans="1:9" x14ac:dyDescent="0.25">
      <c r="A73" s="3" t="s">
        <v>35</v>
      </c>
      <c r="B73" s="3">
        <v>45535</v>
      </c>
      <c r="C73" s="6">
        <v>12885</v>
      </c>
      <c r="D73" s="2">
        <f>LEN(Table2[[#This Row],[CLID]])</f>
        <v>7</v>
      </c>
      <c r="E73" s="2" t="str">
        <f>_xlfn.XLOOKUP('Volume Data'!A:A,'Geo Data'!D:D,'Geo Data'!B:B)</f>
        <v>GEO1001</v>
      </c>
      <c r="F73" s="2" t="str">
        <f>INDEX(GeoByClient[GEOID],MATCH(Table2[[#This Row],[CLID]],GeoByClient[Right],0))</f>
        <v>GEO1001</v>
      </c>
      <c r="G73" s="2" t="str">
        <f>_xlfn.XLOOKUP(Table2[[#This Row],[Xlookup Region ID]],GEONames[GEOID],GEONames[GEO Name])</f>
        <v>NAM</v>
      </c>
      <c r="H73" s="2" t="str">
        <f>"Q"&amp;ROUNDUP(MONTH(Table2[[#This Row],[Date]])/3,0)&amp;" "&amp;YEAR(Table2[[#This Row],[Date]])</f>
        <v>Q3 2024</v>
      </c>
      <c r="I73" s="2" t="str">
        <f>VLOOKUP(Table2[[#This Row],[Date]],Table7[],3)</f>
        <v>Q3 2024</v>
      </c>
    </row>
    <row r="74" spans="1:9" x14ac:dyDescent="0.25">
      <c r="A74" s="3" t="s">
        <v>35</v>
      </c>
      <c r="B74" s="3">
        <v>45565</v>
      </c>
      <c r="C74" s="6">
        <v>9208</v>
      </c>
      <c r="D74" s="2">
        <f>LEN(Table2[[#This Row],[CLID]])</f>
        <v>7</v>
      </c>
      <c r="E74" s="2" t="str">
        <f>_xlfn.XLOOKUP('Volume Data'!A:A,'Geo Data'!D:D,'Geo Data'!B:B)</f>
        <v>GEO1001</v>
      </c>
      <c r="F74" s="2" t="str">
        <f>INDEX(GeoByClient[GEOID],MATCH(Table2[[#This Row],[CLID]],GeoByClient[Right],0))</f>
        <v>GEO1001</v>
      </c>
      <c r="G74" s="2" t="str">
        <f>_xlfn.XLOOKUP(Table2[[#This Row],[Xlookup Region ID]],GEONames[GEOID],GEONames[GEO Name])</f>
        <v>NAM</v>
      </c>
      <c r="H74" s="2" t="str">
        <f>"Q"&amp;ROUNDUP(MONTH(Table2[[#This Row],[Date]])/3,0)&amp;" "&amp;YEAR(Table2[[#This Row],[Date]])</f>
        <v>Q3 2024</v>
      </c>
      <c r="I74" s="2" t="str">
        <f>VLOOKUP(Table2[[#This Row],[Date]],Table7[],3)</f>
        <v>Q3 2024</v>
      </c>
    </row>
    <row r="75" spans="1:9" x14ac:dyDescent="0.25">
      <c r="A75" s="3" t="s">
        <v>35</v>
      </c>
      <c r="B75" s="3">
        <v>45596</v>
      </c>
      <c r="C75" s="6">
        <v>14725</v>
      </c>
      <c r="D75" s="2">
        <f>LEN(Table2[[#This Row],[CLID]])</f>
        <v>7</v>
      </c>
      <c r="E75" s="2" t="str">
        <f>_xlfn.XLOOKUP('Volume Data'!A:A,'Geo Data'!D:D,'Geo Data'!B:B)</f>
        <v>GEO1001</v>
      </c>
      <c r="F75" s="2" t="str">
        <f>INDEX(GeoByClient[GEOID],MATCH(Table2[[#This Row],[CLID]],GeoByClient[Right],0))</f>
        <v>GEO1001</v>
      </c>
      <c r="G75" s="2" t="str">
        <f>_xlfn.XLOOKUP(Table2[[#This Row],[Xlookup Region ID]],GEONames[GEOID],GEONames[GEO Name])</f>
        <v>NAM</v>
      </c>
      <c r="H75" s="2" t="str">
        <f>"Q"&amp;ROUNDUP(MONTH(Table2[[#This Row],[Date]])/3,0)&amp;" "&amp;YEAR(Table2[[#This Row],[Date]])</f>
        <v>Q4 2024</v>
      </c>
      <c r="I75" s="2" t="str">
        <f>VLOOKUP(Table2[[#This Row],[Date]],Table7[],3)</f>
        <v>Q4 2024</v>
      </c>
    </row>
    <row r="76" spans="1:9" x14ac:dyDescent="0.25">
      <c r="A76" s="3" t="s">
        <v>35</v>
      </c>
      <c r="B76" s="3">
        <v>45626</v>
      </c>
      <c r="C76" s="6">
        <v>12888</v>
      </c>
      <c r="D76" s="2">
        <f>LEN(Table2[[#This Row],[CLID]])</f>
        <v>7</v>
      </c>
      <c r="E76" s="2" t="str">
        <f>_xlfn.XLOOKUP('Volume Data'!A:A,'Geo Data'!D:D,'Geo Data'!B:B)</f>
        <v>GEO1001</v>
      </c>
      <c r="F76" s="2" t="str">
        <f>INDEX(GeoByClient[GEOID],MATCH(Table2[[#This Row],[CLID]],GeoByClient[Right],0))</f>
        <v>GEO1001</v>
      </c>
      <c r="G76" s="2" t="str">
        <f>_xlfn.XLOOKUP(Table2[[#This Row],[Xlookup Region ID]],GEONames[GEOID],GEONames[GEO Name])</f>
        <v>NAM</v>
      </c>
      <c r="H76" s="2" t="str">
        <f>"Q"&amp;ROUNDUP(MONTH(Table2[[#This Row],[Date]])/3,0)&amp;" "&amp;YEAR(Table2[[#This Row],[Date]])</f>
        <v>Q4 2024</v>
      </c>
      <c r="I76" s="2" t="str">
        <f>VLOOKUP(Table2[[#This Row],[Date]],Table7[],3)</f>
        <v>Q4 2024</v>
      </c>
    </row>
    <row r="77" spans="1:9" x14ac:dyDescent="0.25">
      <c r="A77" s="3" t="s">
        <v>35</v>
      </c>
      <c r="B77" s="3">
        <v>45657</v>
      </c>
      <c r="C77" s="6">
        <v>16571</v>
      </c>
      <c r="D77" s="2">
        <f>LEN(Table2[[#This Row],[CLID]])</f>
        <v>7</v>
      </c>
      <c r="E77" s="2" t="str">
        <f>_xlfn.XLOOKUP('Volume Data'!A:A,'Geo Data'!D:D,'Geo Data'!B:B)</f>
        <v>GEO1001</v>
      </c>
      <c r="F77" s="2" t="str">
        <f>INDEX(GeoByClient[GEOID],MATCH(Table2[[#This Row],[CLID]],GeoByClient[Right],0))</f>
        <v>GEO1001</v>
      </c>
      <c r="G77" s="2" t="str">
        <f>_xlfn.XLOOKUP(Table2[[#This Row],[Xlookup Region ID]],GEONames[GEOID],GEONames[GEO Name])</f>
        <v>NAM</v>
      </c>
      <c r="H77" s="2" t="str">
        <f>"Q"&amp;ROUNDUP(MONTH(Table2[[#This Row],[Date]])/3,0)&amp;" "&amp;YEAR(Table2[[#This Row],[Date]])</f>
        <v>Q4 2024</v>
      </c>
      <c r="I77" s="2" t="str">
        <f>VLOOKUP(Table2[[#This Row],[Date]],Table7[],3)</f>
        <v>Q4 2024</v>
      </c>
    </row>
    <row r="78" spans="1:9" x14ac:dyDescent="0.25">
      <c r="A78" s="3" t="s">
        <v>35</v>
      </c>
      <c r="B78" s="3">
        <v>45838</v>
      </c>
      <c r="C78" s="6">
        <v>17235</v>
      </c>
      <c r="D78" s="2">
        <f>LEN(Table2[[#This Row],[CLID]])</f>
        <v>7</v>
      </c>
      <c r="E78" s="2" t="str">
        <f>_xlfn.XLOOKUP('Volume Data'!A:A,'Geo Data'!D:D,'Geo Data'!B:B)</f>
        <v>GEO1001</v>
      </c>
      <c r="F78" s="2" t="str">
        <f>INDEX(GeoByClient[GEOID],MATCH(Table2[[#This Row],[CLID]],GeoByClient[Right],0))</f>
        <v>GEO1001</v>
      </c>
      <c r="G78" s="2" t="str">
        <f>_xlfn.XLOOKUP(Table2[[#This Row],[Xlookup Region ID]],GEONames[GEOID],GEONames[GEO Name])</f>
        <v>NAM</v>
      </c>
      <c r="H78" s="2" t="str">
        <f>"Q"&amp;ROUNDUP(MONTH(Table2[[#This Row],[Date]])/3,0)&amp;" "&amp;YEAR(Table2[[#This Row],[Date]])</f>
        <v>Q2 2025</v>
      </c>
      <c r="I78" s="2" t="str">
        <f>VLOOKUP(Table2[[#This Row],[Date]],Table7[],3)</f>
        <v>Q2 2025</v>
      </c>
    </row>
    <row r="79" spans="1:9" x14ac:dyDescent="0.25">
      <c r="A79" s="3" t="s">
        <v>35</v>
      </c>
      <c r="B79" s="3">
        <v>45808</v>
      </c>
      <c r="C79" s="6">
        <v>19146</v>
      </c>
      <c r="D79" s="2">
        <f>LEN(Table2[[#This Row],[CLID]])</f>
        <v>7</v>
      </c>
      <c r="E79" s="2" t="str">
        <f>_xlfn.XLOOKUP('Volume Data'!A:A,'Geo Data'!D:D,'Geo Data'!B:B)</f>
        <v>GEO1001</v>
      </c>
      <c r="F79" s="2" t="str">
        <f>INDEX(GeoByClient[GEOID],MATCH(Table2[[#This Row],[CLID]],GeoByClient[Right],0))</f>
        <v>GEO1001</v>
      </c>
      <c r="G79" s="2" t="str">
        <f>_xlfn.XLOOKUP(Table2[[#This Row],[Xlookup Region ID]],GEONames[GEOID],GEONames[GEO Name])</f>
        <v>NAM</v>
      </c>
      <c r="H79" s="2" t="str">
        <f>"Q"&amp;ROUNDUP(MONTH(Table2[[#This Row],[Date]])/3,0)&amp;" "&amp;YEAR(Table2[[#This Row],[Date]])</f>
        <v>Q2 2025</v>
      </c>
      <c r="I79" s="2" t="str">
        <f>VLOOKUP(Table2[[#This Row],[Date]],Table7[],3)</f>
        <v>Q2 2025</v>
      </c>
    </row>
    <row r="80" spans="1:9" x14ac:dyDescent="0.25">
      <c r="A80" s="3" t="s">
        <v>35</v>
      </c>
      <c r="B80" s="3">
        <v>45777</v>
      </c>
      <c r="C80" s="6">
        <v>23690</v>
      </c>
      <c r="D80" s="2">
        <f>LEN(Table2[[#This Row],[CLID]])</f>
        <v>7</v>
      </c>
      <c r="E80" s="2" t="str">
        <f>_xlfn.XLOOKUP('Volume Data'!A:A,'Geo Data'!D:D,'Geo Data'!B:B)</f>
        <v>GEO1001</v>
      </c>
      <c r="F80" s="2" t="str">
        <f>INDEX(GeoByClient[GEOID],MATCH(Table2[[#This Row],[CLID]],GeoByClient[Right],0))</f>
        <v>GEO1001</v>
      </c>
      <c r="G80" s="2" t="str">
        <f>_xlfn.XLOOKUP(Table2[[#This Row],[Xlookup Region ID]],GEONames[GEOID],GEONames[GEO Name])</f>
        <v>NAM</v>
      </c>
      <c r="H80" s="2" t="str">
        <f>"Q"&amp;ROUNDUP(MONTH(Table2[[#This Row],[Date]])/3,0)&amp;" "&amp;YEAR(Table2[[#This Row],[Date]])</f>
        <v>Q2 2025</v>
      </c>
      <c r="I80" s="2" t="str">
        <f>VLOOKUP(Table2[[#This Row],[Date]],Table7[],3)</f>
        <v>Q2 2025</v>
      </c>
    </row>
    <row r="81" spans="1:9" x14ac:dyDescent="0.25">
      <c r="A81" s="3" t="s">
        <v>35</v>
      </c>
      <c r="B81" s="3">
        <v>45747</v>
      </c>
      <c r="C81" s="6">
        <v>17229</v>
      </c>
      <c r="D81" s="2">
        <f>LEN(Table2[[#This Row],[CLID]])</f>
        <v>7</v>
      </c>
      <c r="E81" s="2" t="str">
        <f>_xlfn.XLOOKUP('Volume Data'!A:A,'Geo Data'!D:D,'Geo Data'!B:B)</f>
        <v>GEO1001</v>
      </c>
      <c r="F81" s="2" t="str">
        <f>INDEX(GeoByClient[GEOID],MATCH(Table2[[#This Row],[CLID]],GeoByClient[Right],0))</f>
        <v>GEO1001</v>
      </c>
      <c r="G81" s="2" t="str">
        <f>_xlfn.XLOOKUP(Table2[[#This Row],[Xlookup Region ID]],GEONames[GEOID],GEONames[GEO Name])</f>
        <v>NAM</v>
      </c>
      <c r="H81" s="2" t="str">
        <f>"Q"&amp;ROUNDUP(MONTH(Table2[[#This Row],[Date]])/3,0)&amp;" "&amp;YEAR(Table2[[#This Row],[Date]])</f>
        <v>Q1 2025</v>
      </c>
      <c r="I81" s="2" t="str">
        <f>VLOOKUP(Table2[[#This Row],[Date]],Table7[],3)</f>
        <v>Q4 2024</v>
      </c>
    </row>
    <row r="82" spans="1:9" x14ac:dyDescent="0.25">
      <c r="A82" s="3" t="s">
        <v>35</v>
      </c>
      <c r="B82" s="3">
        <v>45716</v>
      </c>
      <c r="C82" s="6">
        <v>19330</v>
      </c>
      <c r="D82" s="2">
        <f>LEN(Table2[[#This Row],[CLID]])</f>
        <v>7</v>
      </c>
      <c r="E82" s="2" t="str">
        <f>_xlfn.XLOOKUP('Volume Data'!A:A,'Geo Data'!D:D,'Geo Data'!B:B)</f>
        <v>GEO1001</v>
      </c>
      <c r="F82" s="2" t="str">
        <f>INDEX(GeoByClient[GEOID],MATCH(Table2[[#This Row],[CLID]],GeoByClient[Right],0))</f>
        <v>GEO1001</v>
      </c>
      <c r="G82" s="2" t="str">
        <f>_xlfn.XLOOKUP(Table2[[#This Row],[Xlookup Region ID]],GEONames[GEOID],GEONames[GEO Name])</f>
        <v>NAM</v>
      </c>
      <c r="H82" s="2" t="str">
        <f>"Q"&amp;ROUNDUP(MONTH(Table2[[#This Row],[Date]])/3,0)&amp;" "&amp;YEAR(Table2[[#This Row],[Date]])</f>
        <v>Q1 2025</v>
      </c>
      <c r="I82" s="2" t="str">
        <f>VLOOKUP(Table2[[#This Row],[Date]],Table7[],3)</f>
        <v>Q4 2024</v>
      </c>
    </row>
    <row r="83" spans="1:9" x14ac:dyDescent="0.25">
      <c r="A83" s="3" t="s">
        <v>35</v>
      </c>
      <c r="B83" s="3">
        <v>45688</v>
      </c>
      <c r="C83" s="6">
        <v>12826</v>
      </c>
      <c r="D83" s="2">
        <f>LEN(Table2[[#This Row],[CLID]])</f>
        <v>7</v>
      </c>
      <c r="E83" s="2" t="str">
        <f>_xlfn.XLOOKUP('Volume Data'!A:A,'Geo Data'!D:D,'Geo Data'!B:B)</f>
        <v>GEO1001</v>
      </c>
      <c r="F83" s="2" t="str">
        <f>INDEX(GeoByClient[GEOID],MATCH(Table2[[#This Row],[CLID]],GeoByClient[Right],0))</f>
        <v>GEO1001</v>
      </c>
      <c r="G83" s="2" t="str">
        <f>_xlfn.XLOOKUP(Table2[[#This Row],[Xlookup Region ID]],GEONames[GEOID],GEONames[GEO Name])</f>
        <v>NAM</v>
      </c>
      <c r="H83" s="2" t="str">
        <f>"Q"&amp;ROUNDUP(MONTH(Table2[[#This Row],[Date]])/3,0)&amp;" "&amp;YEAR(Table2[[#This Row],[Date]])</f>
        <v>Q1 2025</v>
      </c>
      <c r="I83" s="2" t="str">
        <f>VLOOKUP(Table2[[#This Row],[Date]],Table7[],3)</f>
        <v>Q4 2024</v>
      </c>
    </row>
    <row r="84" spans="1:9" x14ac:dyDescent="0.25">
      <c r="A84" s="3" t="s">
        <v>44</v>
      </c>
      <c r="B84" s="3">
        <v>45565</v>
      </c>
      <c r="C84" s="6">
        <v>1249</v>
      </c>
      <c r="D84" s="2">
        <f>LEN(Table2[[#This Row],[CLID]])</f>
        <v>7</v>
      </c>
      <c r="E84" s="2" t="str">
        <f>_xlfn.XLOOKUP('Volume Data'!A:A,'Geo Data'!D:D,'Geo Data'!B:B)</f>
        <v>GEO1004</v>
      </c>
      <c r="F84" s="2" t="str">
        <f>INDEX(GeoByClient[GEOID],MATCH(Table2[[#This Row],[CLID]],GeoByClient[Right],0))</f>
        <v>GEO1004</v>
      </c>
      <c r="G84" s="2" t="str">
        <f>_xlfn.XLOOKUP(Table2[[#This Row],[Xlookup Region ID]],GEONames[GEOID],GEONames[GEO Name])</f>
        <v>LATAM</v>
      </c>
      <c r="H84" s="2" t="str">
        <f>"Q"&amp;ROUNDUP(MONTH(Table2[[#This Row],[Date]])/3,0)&amp;" "&amp;YEAR(Table2[[#This Row],[Date]])</f>
        <v>Q3 2024</v>
      </c>
      <c r="I84" s="2" t="str">
        <f>VLOOKUP(Table2[[#This Row],[Date]],Table7[],3)</f>
        <v>Q3 2024</v>
      </c>
    </row>
    <row r="85" spans="1:9" x14ac:dyDescent="0.25">
      <c r="A85" s="3" t="s">
        <v>44</v>
      </c>
      <c r="B85" s="3">
        <v>45596</v>
      </c>
      <c r="C85" s="6">
        <v>913</v>
      </c>
      <c r="D85" s="2">
        <f>LEN(Table2[[#This Row],[CLID]])</f>
        <v>7</v>
      </c>
      <c r="E85" s="2" t="str">
        <f>_xlfn.XLOOKUP('Volume Data'!A:A,'Geo Data'!D:D,'Geo Data'!B:B)</f>
        <v>GEO1004</v>
      </c>
      <c r="F85" s="2" t="str">
        <f>INDEX(GeoByClient[GEOID],MATCH(Table2[[#This Row],[CLID]],GeoByClient[Right],0))</f>
        <v>GEO1004</v>
      </c>
      <c r="G85" s="2" t="str">
        <f>_xlfn.XLOOKUP(Table2[[#This Row],[Xlookup Region ID]],GEONames[GEOID],GEONames[GEO Name])</f>
        <v>LATAM</v>
      </c>
      <c r="H85" s="2" t="str">
        <f>"Q"&amp;ROUNDUP(MONTH(Table2[[#This Row],[Date]])/3,0)&amp;" "&amp;YEAR(Table2[[#This Row],[Date]])</f>
        <v>Q4 2024</v>
      </c>
      <c r="I85" s="2" t="str">
        <f>VLOOKUP(Table2[[#This Row],[Date]],Table7[],3)</f>
        <v>Q4 2024</v>
      </c>
    </row>
    <row r="86" spans="1:9" x14ac:dyDescent="0.25">
      <c r="A86" s="3" t="s">
        <v>44</v>
      </c>
      <c r="B86" s="3">
        <v>45626</v>
      </c>
      <c r="C86" s="6">
        <v>1574</v>
      </c>
      <c r="D86" s="2">
        <f>LEN(Table2[[#This Row],[CLID]])</f>
        <v>7</v>
      </c>
      <c r="E86" s="2" t="str">
        <f>_xlfn.XLOOKUP('Volume Data'!A:A,'Geo Data'!D:D,'Geo Data'!B:B)</f>
        <v>GEO1004</v>
      </c>
      <c r="F86" s="2" t="str">
        <f>INDEX(GeoByClient[GEOID],MATCH(Table2[[#This Row],[CLID]],GeoByClient[Right],0))</f>
        <v>GEO1004</v>
      </c>
      <c r="G86" s="2" t="str">
        <f>_xlfn.XLOOKUP(Table2[[#This Row],[Xlookup Region ID]],GEONames[GEOID],GEONames[GEO Name])</f>
        <v>LATAM</v>
      </c>
      <c r="H86" s="2" t="str">
        <f>"Q"&amp;ROUNDUP(MONTH(Table2[[#This Row],[Date]])/3,0)&amp;" "&amp;YEAR(Table2[[#This Row],[Date]])</f>
        <v>Q4 2024</v>
      </c>
      <c r="I86" s="2" t="str">
        <f>VLOOKUP(Table2[[#This Row],[Date]],Table7[],3)</f>
        <v>Q4 2024</v>
      </c>
    </row>
    <row r="87" spans="1:9" x14ac:dyDescent="0.25">
      <c r="A87" s="3" t="s">
        <v>44</v>
      </c>
      <c r="B87" s="3">
        <v>45657</v>
      </c>
      <c r="C87" s="6">
        <v>1082</v>
      </c>
      <c r="D87" s="2">
        <f>LEN(Table2[[#This Row],[CLID]])</f>
        <v>7</v>
      </c>
      <c r="E87" s="2" t="str">
        <f>_xlfn.XLOOKUP('Volume Data'!A:A,'Geo Data'!D:D,'Geo Data'!B:B)</f>
        <v>GEO1004</v>
      </c>
      <c r="F87" s="2" t="str">
        <f>INDEX(GeoByClient[GEOID],MATCH(Table2[[#This Row],[CLID]],GeoByClient[Right],0))</f>
        <v>GEO1004</v>
      </c>
      <c r="G87" s="2" t="str">
        <f>_xlfn.XLOOKUP(Table2[[#This Row],[Xlookup Region ID]],GEONames[GEOID],GEONames[GEO Name])</f>
        <v>LATAM</v>
      </c>
      <c r="H87" s="2" t="str">
        <f>"Q"&amp;ROUNDUP(MONTH(Table2[[#This Row],[Date]])/3,0)&amp;" "&amp;YEAR(Table2[[#This Row],[Date]])</f>
        <v>Q4 2024</v>
      </c>
      <c r="I87" s="2" t="str">
        <f>VLOOKUP(Table2[[#This Row],[Date]],Table7[],3)</f>
        <v>Q4 2024</v>
      </c>
    </row>
    <row r="88" spans="1:9" x14ac:dyDescent="0.25">
      <c r="A88" s="3" t="s">
        <v>44</v>
      </c>
      <c r="B88" s="3">
        <v>45747</v>
      </c>
      <c r="C88" s="6">
        <v>1945</v>
      </c>
      <c r="D88" s="2">
        <f>LEN(Table2[[#This Row],[CLID]])</f>
        <v>7</v>
      </c>
      <c r="E88" s="2" t="str">
        <f>_xlfn.XLOOKUP('Volume Data'!A:A,'Geo Data'!D:D,'Geo Data'!B:B)</f>
        <v>GEO1004</v>
      </c>
      <c r="F88" s="2" t="str">
        <f>INDEX(GeoByClient[GEOID],MATCH(Table2[[#This Row],[CLID]],GeoByClient[Right],0))</f>
        <v>GEO1004</v>
      </c>
      <c r="G88" s="2" t="str">
        <f>_xlfn.XLOOKUP(Table2[[#This Row],[Xlookup Region ID]],GEONames[GEOID],GEONames[GEO Name])</f>
        <v>LATAM</v>
      </c>
      <c r="H88" s="2" t="str">
        <f>"Q"&amp;ROUNDUP(MONTH(Table2[[#This Row],[Date]])/3,0)&amp;" "&amp;YEAR(Table2[[#This Row],[Date]])</f>
        <v>Q1 2025</v>
      </c>
      <c r="I88" s="2" t="str">
        <f>VLOOKUP(Table2[[#This Row],[Date]],Table7[],3)</f>
        <v>Q4 2024</v>
      </c>
    </row>
    <row r="89" spans="1:9" x14ac:dyDescent="0.25">
      <c r="A89" s="3" t="s">
        <v>44</v>
      </c>
      <c r="B89" s="3">
        <v>45716</v>
      </c>
      <c r="C89" s="6">
        <v>1296</v>
      </c>
      <c r="D89" s="2">
        <f>LEN(Table2[[#This Row],[CLID]])</f>
        <v>7</v>
      </c>
      <c r="E89" s="2" t="str">
        <f>_xlfn.XLOOKUP('Volume Data'!A:A,'Geo Data'!D:D,'Geo Data'!B:B)</f>
        <v>GEO1004</v>
      </c>
      <c r="F89" s="2" t="str">
        <f>INDEX(GeoByClient[GEOID],MATCH(Table2[[#This Row],[CLID]],GeoByClient[Right],0))</f>
        <v>GEO1004</v>
      </c>
      <c r="G89" s="2" t="str">
        <f>_xlfn.XLOOKUP(Table2[[#This Row],[Xlookup Region ID]],GEONames[GEOID],GEONames[GEO Name])</f>
        <v>LATAM</v>
      </c>
      <c r="H89" s="2" t="str">
        <f>"Q"&amp;ROUNDUP(MONTH(Table2[[#This Row],[Date]])/3,0)&amp;" "&amp;YEAR(Table2[[#This Row],[Date]])</f>
        <v>Q1 2025</v>
      </c>
      <c r="I89" s="2" t="str">
        <f>VLOOKUP(Table2[[#This Row],[Date]],Table7[],3)</f>
        <v>Q4 2024</v>
      </c>
    </row>
    <row r="90" spans="1:9" x14ac:dyDescent="0.25">
      <c r="A90" s="3" t="s">
        <v>44</v>
      </c>
      <c r="B90" s="3">
        <v>45688</v>
      </c>
      <c r="C90" s="6">
        <v>1568</v>
      </c>
      <c r="D90" s="2">
        <f>LEN(Table2[[#This Row],[CLID]])</f>
        <v>7</v>
      </c>
      <c r="E90" s="2" t="str">
        <f>_xlfn.XLOOKUP('Volume Data'!A:A,'Geo Data'!D:D,'Geo Data'!B:B)</f>
        <v>GEO1004</v>
      </c>
      <c r="F90" s="2" t="str">
        <f>INDEX(GeoByClient[GEOID],MATCH(Table2[[#This Row],[CLID]],GeoByClient[Right],0))</f>
        <v>GEO1004</v>
      </c>
      <c r="G90" s="2" t="str">
        <f>_xlfn.XLOOKUP(Table2[[#This Row],[Xlookup Region ID]],GEONames[GEOID],GEONames[GEO Name])</f>
        <v>LATAM</v>
      </c>
      <c r="H90" s="2" t="str">
        <f>"Q"&amp;ROUNDUP(MONTH(Table2[[#This Row],[Date]])/3,0)&amp;" "&amp;YEAR(Table2[[#This Row],[Date]])</f>
        <v>Q1 2025</v>
      </c>
      <c r="I90" s="2" t="str">
        <f>VLOOKUP(Table2[[#This Row],[Date]],Table7[],3)</f>
        <v>Q4 2024</v>
      </c>
    </row>
    <row r="91" spans="1:9" x14ac:dyDescent="0.25">
      <c r="A91" s="3" t="s">
        <v>28</v>
      </c>
      <c r="B91" s="3">
        <v>45322</v>
      </c>
      <c r="C91" s="6">
        <v>756</v>
      </c>
      <c r="D91" s="2">
        <f>LEN(Table2[[#This Row],[CLID]])</f>
        <v>7</v>
      </c>
      <c r="E91" s="2" t="str">
        <f>_xlfn.XLOOKUP('Volume Data'!A:A,'Geo Data'!D:D,'Geo Data'!B:B)</f>
        <v>GEO1004</v>
      </c>
      <c r="F91" s="2" t="str">
        <f>INDEX(GeoByClient[GEOID],MATCH(Table2[[#This Row],[CLID]],GeoByClient[Right],0))</f>
        <v>GEO1004</v>
      </c>
      <c r="G91" s="2" t="str">
        <f>_xlfn.XLOOKUP(Table2[[#This Row],[Xlookup Region ID]],GEONames[GEOID],GEONames[GEO Name])</f>
        <v>LATAM</v>
      </c>
      <c r="H91" s="2" t="str">
        <f>"Q"&amp;ROUNDUP(MONTH(Table2[[#This Row],[Date]])/3,0)&amp;" "&amp;YEAR(Table2[[#This Row],[Date]])</f>
        <v>Q1 2024</v>
      </c>
      <c r="I91" s="2" t="str">
        <f>VLOOKUP(Table2[[#This Row],[Date]],Table7[],3)</f>
        <v>Q1 2024</v>
      </c>
    </row>
    <row r="92" spans="1:9" x14ac:dyDescent="0.25">
      <c r="A92" s="3" t="s">
        <v>28</v>
      </c>
      <c r="B92" s="3">
        <v>45351</v>
      </c>
      <c r="C92" s="6">
        <v>954</v>
      </c>
      <c r="D92" s="2">
        <f>LEN(Table2[[#This Row],[CLID]])</f>
        <v>7</v>
      </c>
      <c r="E92" s="2" t="str">
        <f>_xlfn.XLOOKUP('Volume Data'!A:A,'Geo Data'!D:D,'Geo Data'!B:B)</f>
        <v>GEO1004</v>
      </c>
      <c r="F92" s="2" t="str">
        <f>INDEX(GeoByClient[GEOID],MATCH(Table2[[#This Row],[CLID]],GeoByClient[Right],0))</f>
        <v>GEO1004</v>
      </c>
      <c r="G92" s="2" t="str">
        <f>_xlfn.XLOOKUP(Table2[[#This Row],[Xlookup Region ID]],GEONames[GEOID],GEONames[GEO Name])</f>
        <v>LATAM</v>
      </c>
      <c r="H92" s="2" t="str">
        <f>"Q"&amp;ROUNDUP(MONTH(Table2[[#This Row],[Date]])/3,0)&amp;" "&amp;YEAR(Table2[[#This Row],[Date]])</f>
        <v>Q1 2024</v>
      </c>
      <c r="I92" s="2" t="str">
        <f>VLOOKUP(Table2[[#This Row],[Date]],Table7[],3)</f>
        <v>Q1 2024</v>
      </c>
    </row>
    <row r="93" spans="1:9" x14ac:dyDescent="0.25">
      <c r="A93" s="3" t="s">
        <v>28</v>
      </c>
      <c r="B93" s="3">
        <v>45382</v>
      </c>
      <c r="C93" s="6">
        <v>955</v>
      </c>
      <c r="D93" s="2">
        <f>LEN(Table2[[#This Row],[CLID]])</f>
        <v>7</v>
      </c>
      <c r="E93" s="2" t="str">
        <f>_xlfn.XLOOKUP('Volume Data'!A:A,'Geo Data'!D:D,'Geo Data'!B:B)</f>
        <v>GEO1004</v>
      </c>
      <c r="F93" s="2" t="str">
        <f>INDEX(GeoByClient[GEOID],MATCH(Table2[[#This Row],[CLID]],GeoByClient[Right],0))</f>
        <v>GEO1004</v>
      </c>
      <c r="G93" s="2" t="str">
        <f>_xlfn.XLOOKUP(Table2[[#This Row],[Xlookup Region ID]],GEONames[GEOID],GEONames[GEO Name])</f>
        <v>LATAM</v>
      </c>
      <c r="H93" s="2" t="str">
        <f>"Q"&amp;ROUNDUP(MONTH(Table2[[#This Row],[Date]])/3,0)&amp;" "&amp;YEAR(Table2[[#This Row],[Date]])</f>
        <v>Q1 2024</v>
      </c>
      <c r="I93" s="2" t="str">
        <f>VLOOKUP(Table2[[#This Row],[Date]],Table7[],3)</f>
        <v>Q1 2024</v>
      </c>
    </row>
    <row r="94" spans="1:9" x14ac:dyDescent="0.25">
      <c r="A94" s="3" t="s">
        <v>28</v>
      </c>
      <c r="B94" s="3">
        <v>45412</v>
      </c>
      <c r="C94" s="6">
        <v>1261</v>
      </c>
      <c r="D94" s="2">
        <f>LEN(Table2[[#This Row],[CLID]])</f>
        <v>7</v>
      </c>
      <c r="E94" s="2" t="str">
        <f>_xlfn.XLOOKUP('Volume Data'!A:A,'Geo Data'!D:D,'Geo Data'!B:B)</f>
        <v>GEO1004</v>
      </c>
      <c r="F94" s="2" t="str">
        <f>INDEX(GeoByClient[GEOID],MATCH(Table2[[#This Row],[CLID]],GeoByClient[Right],0))</f>
        <v>GEO1004</v>
      </c>
      <c r="G94" s="2" t="str">
        <f>_xlfn.XLOOKUP(Table2[[#This Row],[Xlookup Region ID]],GEONames[GEOID],GEONames[GEO Name])</f>
        <v>LATAM</v>
      </c>
      <c r="H94" s="2" t="str">
        <f>"Q"&amp;ROUNDUP(MONTH(Table2[[#This Row],[Date]])/3,0)&amp;" "&amp;YEAR(Table2[[#This Row],[Date]])</f>
        <v>Q2 2024</v>
      </c>
      <c r="I94" s="2" t="str">
        <f>VLOOKUP(Table2[[#This Row],[Date]],Table7[],3)</f>
        <v>Q2 2024</v>
      </c>
    </row>
    <row r="95" spans="1:9" x14ac:dyDescent="0.25">
      <c r="A95" s="3" t="s">
        <v>28</v>
      </c>
      <c r="B95" s="3">
        <v>45443</v>
      </c>
      <c r="C95" s="6">
        <v>1058</v>
      </c>
      <c r="D95" s="2">
        <f>LEN(Table2[[#This Row],[CLID]])</f>
        <v>7</v>
      </c>
      <c r="E95" s="2" t="str">
        <f>_xlfn.XLOOKUP('Volume Data'!A:A,'Geo Data'!D:D,'Geo Data'!B:B)</f>
        <v>GEO1004</v>
      </c>
      <c r="F95" s="2" t="str">
        <f>INDEX(GeoByClient[GEOID],MATCH(Table2[[#This Row],[CLID]],GeoByClient[Right],0))</f>
        <v>GEO1004</v>
      </c>
      <c r="G95" s="2" t="str">
        <f>_xlfn.XLOOKUP(Table2[[#This Row],[Xlookup Region ID]],GEONames[GEOID],GEONames[GEO Name])</f>
        <v>LATAM</v>
      </c>
      <c r="H95" s="2" t="str">
        <f>"Q"&amp;ROUNDUP(MONTH(Table2[[#This Row],[Date]])/3,0)&amp;" "&amp;YEAR(Table2[[#This Row],[Date]])</f>
        <v>Q2 2024</v>
      </c>
      <c r="I95" s="2" t="str">
        <f>VLOOKUP(Table2[[#This Row],[Date]],Table7[],3)</f>
        <v>Q2 2024</v>
      </c>
    </row>
    <row r="96" spans="1:9" x14ac:dyDescent="0.25">
      <c r="A96" s="3" t="s">
        <v>28</v>
      </c>
      <c r="B96" s="3">
        <v>45473</v>
      </c>
      <c r="C96" s="6">
        <v>855</v>
      </c>
      <c r="D96" s="2">
        <f>LEN(Table2[[#This Row],[CLID]])</f>
        <v>7</v>
      </c>
      <c r="E96" s="2" t="str">
        <f>_xlfn.XLOOKUP('Volume Data'!A:A,'Geo Data'!D:D,'Geo Data'!B:B)</f>
        <v>GEO1004</v>
      </c>
      <c r="F96" s="2" t="str">
        <f>INDEX(GeoByClient[GEOID],MATCH(Table2[[#This Row],[CLID]],GeoByClient[Right],0))</f>
        <v>GEO1004</v>
      </c>
      <c r="G96" s="2" t="str">
        <f>_xlfn.XLOOKUP(Table2[[#This Row],[Xlookup Region ID]],GEONames[GEOID],GEONames[GEO Name])</f>
        <v>LATAM</v>
      </c>
      <c r="H96" s="2" t="str">
        <f>"Q"&amp;ROUNDUP(MONTH(Table2[[#This Row],[Date]])/3,0)&amp;" "&amp;YEAR(Table2[[#This Row],[Date]])</f>
        <v>Q2 2024</v>
      </c>
      <c r="I96" s="2" t="str">
        <f>VLOOKUP(Table2[[#This Row],[Date]],Table7[],3)</f>
        <v>Q2 2024</v>
      </c>
    </row>
    <row r="97" spans="1:9" x14ac:dyDescent="0.25">
      <c r="A97" s="3" t="s">
        <v>28</v>
      </c>
      <c r="B97" s="3">
        <v>45504</v>
      </c>
      <c r="C97" s="6">
        <v>654</v>
      </c>
      <c r="D97" s="2">
        <f>LEN(Table2[[#This Row],[CLID]])</f>
        <v>7</v>
      </c>
      <c r="E97" s="2" t="str">
        <f>_xlfn.XLOOKUP('Volume Data'!A:A,'Geo Data'!D:D,'Geo Data'!B:B)</f>
        <v>GEO1004</v>
      </c>
      <c r="F97" s="2" t="str">
        <f>INDEX(GeoByClient[GEOID],MATCH(Table2[[#This Row],[CLID]],GeoByClient[Right],0))</f>
        <v>GEO1004</v>
      </c>
      <c r="G97" s="2" t="str">
        <f>_xlfn.XLOOKUP(Table2[[#This Row],[Xlookup Region ID]],GEONames[GEOID],GEONames[GEO Name])</f>
        <v>LATAM</v>
      </c>
      <c r="H97" s="2" t="str">
        <f>"Q"&amp;ROUNDUP(MONTH(Table2[[#This Row],[Date]])/3,0)&amp;" "&amp;YEAR(Table2[[#This Row],[Date]])</f>
        <v>Q3 2024</v>
      </c>
      <c r="I97" s="2" t="str">
        <f>VLOOKUP(Table2[[#This Row],[Date]],Table7[],3)</f>
        <v>Q3 2024</v>
      </c>
    </row>
    <row r="98" spans="1:9" x14ac:dyDescent="0.25">
      <c r="A98" s="3" t="s">
        <v>28</v>
      </c>
      <c r="B98" s="3">
        <v>45535</v>
      </c>
      <c r="C98" s="6">
        <v>656</v>
      </c>
      <c r="D98" s="2">
        <f>LEN(Table2[[#This Row],[CLID]])</f>
        <v>7</v>
      </c>
      <c r="E98" s="2" t="str">
        <f>_xlfn.XLOOKUP('Volume Data'!A:A,'Geo Data'!D:D,'Geo Data'!B:B)</f>
        <v>GEO1004</v>
      </c>
      <c r="F98" s="2" t="str">
        <f>INDEX(GeoByClient[GEOID],MATCH(Table2[[#This Row],[CLID]],GeoByClient[Right],0))</f>
        <v>GEO1004</v>
      </c>
      <c r="G98" s="2" t="str">
        <f>_xlfn.XLOOKUP(Table2[[#This Row],[Xlookup Region ID]],GEONames[GEOID],GEONames[GEO Name])</f>
        <v>LATAM</v>
      </c>
      <c r="H98" s="2" t="str">
        <f>"Q"&amp;ROUNDUP(MONTH(Table2[[#This Row],[Date]])/3,0)&amp;" "&amp;YEAR(Table2[[#This Row],[Date]])</f>
        <v>Q3 2024</v>
      </c>
      <c r="I98" s="2" t="str">
        <f>VLOOKUP(Table2[[#This Row],[Date]],Table7[],3)</f>
        <v>Q3 2024</v>
      </c>
    </row>
    <row r="99" spans="1:9" x14ac:dyDescent="0.25">
      <c r="A99" s="3" t="s">
        <v>28</v>
      </c>
      <c r="B99" s="3">
        <v>45565</v>
      </c>
      <c r="C99" s="6">
        <v>554</v>
      </c>
      <c r="D99" s="2">
        <f>LEN(Table2[[#This Row],[CLID]])</f>
        <v>7</v>
      </c>
      <c r="E99" s="2" t="str">
        <f>_xlfn.XLOOKUP('Volume Data'!A:A,'Geo Data'!D:D,'Geo Data'!B:B)</f>
        <v>GEO1004</v>
      </c>
      <c r="F99" s="2" t="str">
        <f>INDEX(GeoByClient[GEOID],MATCH(Table2[[#This Row],[CLID]],GeoByClient[Right],0))</f>
        <v>GEO1004</v>
      </c>
      <c r="G99" s="2" t="str">
        <f>_xlfn.XLOOKUP(Table2[[#This Row],[Xlookup Region ID]],GEONames[GEOID],GEONames[GEO Name])</f>
        <v>LATAM</v>
      </c>
      <c r="H99" s="2" t="str">
        <f>"Q"&amp;ROUNDUP(MONTH(Table2[[#This Row],[Date]])/3,0)&amp;" "&amp;YEAR(Table2[[#This Row],[Date]])</f>
        <v>Q3 2024</v>
      </c>
      <c r="I99" s="2" t="str">
        <f>VLOOKUP(Table2[[#This Row],[Date]],Table7[],3)</f>
        <v>Q3 2024</v>
      </c>
    </row>
    <row r="100" spans="1:9" x14ac:dyDescent="0.25">
      <c r="A100" s="3" t="s">
        <v>28</v>
      </c>
      <c r="B100" s="3">
        <v>45596</v>
      </c>
      <c r="C100" s="6">
        <v>760</v>
      </c>
      <c r="D100" s="2">
        <f>LEN(Table2[[#This Row],[CLID]])</f>
        <v>7</v>
      </c>
      <c r="E100" s="2" t="str">
        <f>_xlfn.XLOOKUP('Volume Data'!A:A,'Geo Data'!D:D,'Geo Data'!B:B)</f>
        <v>GEO1004</v>
      </c>
      <c r="F100" s="2" t="str">
        <f>INDEX(GeoByClient[GEOID],MATCH(Table2[[#This Row],[CLID]],GeoByClient[Right],0))</f>
        <v>GEO1004</v>
      </c>
      <c r="G100" s="2" t="str">
        <f>_xlfn.XLOOKUP(Table2[[#This Row],[Xlookup Region ID]],GEONames[GEOID],GEONames[GEO Name])</f>
        <v>LATAM</v>
      </c>
      <c r="H100" s="2" t="str">
        <f>"Q"&amp;ROUNDUP(MONTH(Table2[[#This Row],[Date]])/3,0)&amp;" "&amp;YEAR(Table2[[#This Row],[Date]])</f>
        <v>Q4 2024</v>
      </c>
      <c r="I100" s="2" t="str">
        <f>VLOOKUP(Table2[[#This Row],[Date]],Table7[],3)</f>
        <v>Q4 2024</v>
      </c>
    </row>
    <row r="101" spans="1:9" x14ac:dyDescent="0.25">
      <c r="A101" s="3" t="s">
        <v>28</v>
      </c>
      <c r="B101" s="3">
        <v>45626</v>
      </c>
      <c r="C101" s="6">
        <v>759</v>
      </c>
      <c r="D101" s="2">
        <f>LEN(Table2[[#This Row],[CLID]])</f>
        <v>7</v>
      </c>
      <c r="E101" s="2" t="str">
        <f>_xlfn.XLOOKUP('Volume Data'!A:A,'Geo Data'!D:D,'Geo Data'!B:B)</f>
        <v>GEO1004</v>
      </c>
      <c r="F101" s="2" t="str">
        <f>INDEX(GeoByClient[GEOID],MATCH(Table2[[#This Row],[CLID]],GeoByClient[Right],0))</f>
        <v>GEO1004</v>
      </c>
      <c r="G101" s="2" t="str">
        <f>_xlfn.XLOOKUP(Table2[[#This Row],[Xlookup Region ID]],GEONames[GEOID],GEONames[GEO Name])</f>
        <v>LATAM</v>
      </c>
      <c r="H101" s="2" t="str">
        <f>"Q"&amp;ROUNDUP(MONTH(Table2[[#This Row],[Date]])/3,0)&amp;" "&amp;YEAR(Table2[[#This Row],[Date]])</f>
        <v>Q4 2024</v>
      </c>
      <c r="I101" s="2" t="str">
        <f>VLOOKUP(Table2[[#This Row],[Date]],Table7[],3)</f>
        <v>Q4 2024</v>
      </c>
    </row>
    <row r="102" spans="1:9" x14ac:dyDescent="0.25">
      <c r="A102" s="3" t="s">
        <v>28</v>
      </c>
      <c r="B102" s="3">
        <v>45657</v>
      </c>
      <c r="C102" s="6">
        <v>857</v>
      </c>
      <c r="D102" s="2">
        <f>LEN(Table2[[#This Row],[CLID]])</f>
        <v>7</v>
      </c>
      <c r="E102" s="2" t="str">
        <f>_xlfn.XLOOKUP('Volume Data'!A:A,'Geo Data'!D:D,'Geo Data'!B:B)</f>
        <v>GEO1004</v>
      </c>
      <c r="F102" s="2" t="str">
        <f>INDEX(GeoByClient[GEOID],MATCH(Table2[[#This Row],[CLID]],GeoByClient[Right],0))</f>
        <v>GEO1004</v>
      </c>
      <c r="G102" s="2" t="str">
        <f>_xlfn.XLOOKUP(Table2[[#This Row],[Xlookup Region ID]],GEONames[GEOID],GEONames[GEO Name])</f>
        <v>LATAM</v>
      </c>
      <c r="H102" s="2" t="str">
        <f>"Q"&amp;ROUNDUP(MONTH(Table2[[#This Row],[Date]])/3,0)&amp;" "&amp;YEAR(Table2[[#This Row],[Date]])</f>
        <v>Q4 2024</v>
      </c>
      <c r="I102" s="2" t="str">
        <f>VLOOKUP(Table2[[#This Row],[Date]],Table7[],3)</f>
        <v>Q4 2024</v>
      </c>
    </row>
    <row r="103" spans="1:9" x14ac:dyDescent="0.25">
      <c r="A103" s="3" t="s">
        <v>28</v>
      </c>
      <c r="B103" s="3">
        <v>45838</v>
      </c>
      <c r="C103" s="6">
        <v>865</v>
      </c>
      <c r="D103" s="2">
        <f>LEN(Table2[[#This Row],[CLID]])</f>
        <v>7</v>
      </c>
      <c r="E103" s="2" t="str">
        <f>_xlfn.XLOOKUP('Volume Data'!A:A,'Geo Data'!D:D,'Geo Data'!B:B)</f>
        <v>GEO1004</v>
      </c>
      <c r="F103" s="2" t="str">
        <f>INDEX(GeoByClient[GEOID],MATCH(Table2[[#This Row],[CLID]],GeoByClient[Right],0))</f>
        <v>GEO1004</v>
      </c>
      <c r="G103" s="2" t="str">
        <f>_xlfn.XLOOKUP(Table2[[#This Row],[Xlookup Region ID]],GEONames[GEOID],GEONames[GEO Name])</f>
        <v>LATAM</v>
      </c>
      <c r="H103" s="2" t="str">
        <f>"Q"&amp;ROUNDUP(MONTH(Table2[[#This Row],[Date]])/3,0)&amp;" "&amp;YEAR(Table2[[#This Row],[Date]])</f>
        <v>Q2 2025</v>
      </c>
      <c r="I103" s="2" t="str">
        <f>VLOOKUP(Table2[[#This Row],[Date]],Table7[],3)</f>
        <v>Q2 2025</v>
      </c>
    </row>
    <row r="104" spans="1:9" x14ac:dyDescent="0.25">
      <c r="A104" s="3" t="s">
        <v>28</v>
      </c>
      <c r="B104" s="3">
        <v>45808</v>
      </c>
      <c r="C104" s="6">
        <v>1078</v>
      </c>
      <c r="D104" s="2">
        <f>LEN(Table2[[#This Row],[CLID]])</f>
        <v>7</v>
      </c>
      <c r="E104" s="2" t="str">
        <f>_xlfn.XLOOKUP('Volume Data'!A:A,'Geo Data'!D:D,'Geo Data'!B:B)</f>
        <v>GEO1004</v>
      </c>
      <c r="F104" s="2" t="str">
        <f>INDEX(GeoByClient[GEOID],MATCH(Table2[[#This Row],[CLID]],GeoByClient[Right],0))</f>
        <v>GEO1004</v>
      </c>
      <c r="G104" s="2" t="str">
        <f>_xlfn.XLOOKUP(Table2[[#This Row],[Xlookup Region ID]],GEONames[GEOID],GEONames[GEO Name])</f>
        <v>LATAM</v>
      </c>
      <c r="H104" s="2" t="str">
        <f>"Q"&amp;ROUNDUP(MONTH(Table2[[#This Row],[Date]])/3,0)&amp;" "&amp;YEAR(Table2[[#This Row],[Date]])</f>
        <v>Q2 2025</v>
      </c>
      <c r="I104" s="2" t="str">
        <f>VLOOKUP(Table2[[#This Row],[Date]],Table7[],3)</f>
        <v>Q2 2025</v>
      </c>
    </row>
    <row r="105" spans="1:9" x14ac:dyDescent="0.25">
      <c r="A105" s="3" t="s">
        <v>28</v>
      </c>
      <c r="B105" s="3">
        <v>45777</v>
      </c>
      <c r="C105" s="6">
        <v>1305</v>
      </c>
      <c r="D105" s="2">
        <f>LEN(Table2[[#This Row],[CLID]])</f>
        <v>7</v>
      </c>
      <c r="E105" s="2" t="str">
        <f>_xlfn.XLOOKUP('Volume Data'!A:A,'Geo Data'!D:D,'Geo Data'!B:B)</f>
        <v>GEO1004</v>
      </c>
      <c r="F105" s="2" t="str">
        <f>INDEX(GeoByClient[GEOID],MATCH(Table2[[#This Row],[CLID]],GeoByClient[Right],0))</f>
        <v>GEO1004</v>
      </c>
      <c r="G105" s="2" t="str">
        <f>_xlfn.XLOOKUP(Table2[[#This Row],[Xlookup Region ID]],GEONames[GEOID],GEONames[GEO Name])</f>
        <v>LATAM</v>
      </c>
      <c r="H105" s="2" t="str">
        <f>"Q"&amp;ROUNDUP(MONTH(Table2[[#This Row],[Date]])/3,0)&amp;" "&amp;YEAR(Table2[[#This Row],[Date]])</f>
        <v>Q2 2025</v>
      </c>
      <c r="I105" s="2" t="str">
        <f>VLOOKUP(Table2[[#This Row],[Date]],Table7[],3)</f>
        <v>Q2 2025</v>
      </c>
    </row>
    <row r="106" spans="1:9" x14ac:dyDescent="0.25">
      <c r="A106" s="3" t="s">
        <v>28</v>
      </c>
      <c r="B106" s="3">
        <v>45747</v>
      </c>
      <c r="C106" s="6">
        <v>950</v>
      </c>
      <c r="D106" s="2">
        <f>LEN(Table2[[#This Row],[CLID]])</f>
        <v>7</v>
      </c>
      <c r="E106" s="2" t="str">
        <f>_xlfn.XLOOKUP('Volume Data'!A:A,'Geo Data'!D:D,'Geo Data'!B:B)</f>
        <v>GEO1004</v>
      </c>
      <c r="F106" s="2" t="str">
        <f>INDEX(GeoByClient[GEOID],MATCH(Table2[[#This Row],[CLID]],GeoByClient[Right],0))</f>
        <v>GEO1004</v>
      </c>
      <c r="G106" s="2" t="str">
        <f>_xlfn.XLOOKUP(Table2[[#This Row],[Xlookup Region ID]],GEONames[GEOID],GEONames[GEO Name])</f>
        <v>LATAM</v>
      </c>
      <c r="H106" s="2" t="str">
        <f>"Q"&amp;ROUNDUP(MONTH(Table2[[#This Row],[Date]])/3,0)&amp;" "&amp;YEAR(Table2[[#This Row],[Date]])</f>
        <v>Q1 2025</v>
      </c>
      <c r="I106" s="2" t="str">
        <f>VLOOKUP(Table2[[#This Row],[Date]],Table7[],3)</f>
        <v>Q4 2024</v>
      </c>
    </row>
    <row r="107" spans="1:9" x14ac:dyDescent="0.25">
      <c r="A107" s="3" t="s">
        <v>28</v>
      </c>
      <c r="B107" s="3">
        <v>45716</v>
      </c>
      <c r="C107" s="6">
        <v>968</v>
      </c>
      <c r="D107" s="2">
        <f>LEN(Table2[[#This Row],[CLID]])</f>
        <v>7</v>
      </c>
      <c r="E107" s="2" t="str">
        <f>_xlfn.XLOOKUP('Volume Data'!A:A,'Geo Data'!D:D,'Geo Data'!B:B)</f>
        <v>GEO1004</v>
      </c>
      <c r="F107" s="2" t="str">
        <f>INDEX(GeoByClient[GEOID],MATCH(Table2[[#This Row],[CLID]],GeoByClient[Right],0))</f>
        <v>GEO1004</v>
      </c>
      <c r="G107" s="2" t="str">
        <f>_xlfn.XLOOKUP(Table2[[#This Row],[Xlookup Region ID]],GEONames[GEOID],GEONames[GEO Name])</f>
        <v>LATAM</v>
      </c>
      <c r="H107" s="2" t="str">
        <f>"Q"&amp;ROUNDUP(MONTH(Table2[[#This Row],[Date]])/3,0)&amp;" "&amp;YEAR(Table2[[#This Row],[Date]])</f>
        <v>Q1 2025</v>
      </c>
      <c r="I107" s="2" t="str">
        <f>VLOOKUP(Table2[[#This Row],[Date]],Table7[],3)</f>
        <v>Q4 2024</v>
      </c>
    </row>
    <row r="108" spans="1:9" x14ac:dyDescent="0.25">
      <c r="A108" s="3" t="s">
        <v>28</v>
      </c>
      <c r="B108" s="3">
        <v>45688</v>
      </c>
      <c r="C108" s="6">
        <v>749</v>
      </c>
      <c r="D108" s="2">
        <f>LEN(Table2[[#This Row],[CLID]])</f>
        <v>7</v>
      </c>
      <c r="E108" s="2" t="str">
        <f>_xlfn.XLOOKUP('Volume Data'!A:A,'Geo Data'!D:D,'Geo Data'!B:B)</f>
        <v>GEO1004</v>
      </c>
      <c r="F108" s="2" t="str">
        <f>INDEX(GeoByClient[GEOID],MATCH(Table2[[#This Row],[CLID]],GeoByClient[Right],0))</f>
        <v>GEO1004</v>
      </c>
      <c r="G108" s="2" t="str">
        <f>_xlfn.XLOOKUP(Table2[[#This Row],[Xlookup Region ID]],GEONames[GEOID],GEONames[GEO Name])</f>
        <v>LATAM</v>
      </c>
      <c r="H108" s="2" t="str">
        <f>"Q"&amp;ROUNDUP(MONTH(Table2[[#This Row],[Date]])/3,0)&amp;" "&amp;YEAR(Table2[[#This Row],[Date]])</f>
        <v>Q1 2025</v>
      </c>
      <c r="I108" s="2" t="str">
        <f>VLOOKUP(Table2[[#This Row],[Date]],Table7[],3)</f>
        <v>Q4 2024</v>
      </c>
    </row>
    <row r="109" spans="1:9" x14ac:dyDescent="0.25">
      <c r="A109" s="3" t="s">
        <v>30</v>
      </c>
      <c r="B109" s="3">
        <v>45322</v>
      </c>
      <c r="C109" s="6">
        <v>945</v>
      </c>
      <c r="D109" s="2">
        <f>LEN(Table2[[#This Row],[CLID]])</f>
        <v>7</v>
      </c>
      <c r="E109" s="2" t="str">
        <f>_xlfn.XLOOKUP('Volume Data'!A:A,'Geo Data'!D:D,'Geo Data'!B:B)</f>
        <v>GEO1002</v>
      </c>
      <c r="F109" s="2" t="str">
        <f>INDEX(GeoByClient[GEOID],MATCH(Table2[[#This Row],[CLID]],GeoByClient[Right],0))</f>
        <v>GEO1002</v>
      </c>
      <c r="G109" s="2" t="str">
        <f>_xlfn.XLOOKUP(Table2[[#This Row],[Xlookup Region ID]],GEONames[GEOID],GEONames[GEO Name])</f>
        <v>APAC</v>
      </c>
      <c r="H109" s="2" t="str">
        <f>"Q"&amp;ROUNDUP(MONTH(Table2[[#This Row],[Date]])/3,0)&amp;" "&amp;YEAR(Table2[[#This Row],[Date]])</f>
        <v>Q1 2024</v>
      </c>
      <c r="I109" s="2" t="str">
        <f>VLOOKUP(Table2[[#This Row],[Date]],Table7[],3)</f>
        <v>Q1 2024</v>
      </c>
    </row>
    <row r="110" spans="1:9" x14ac:dyDescent="0.25">
      <c r="A110" s="3" t="s">
        <v>30</v>
      </c>
      <c r="B110" s="3">
        <v>45351</v>
      </c>
      <c r="C110" s="6">
        <v>941</v>
      </c>
      <c r="D110" s="2">
        <f>LEN(Table2[[#This Row],[CLID]])</f>
        <v>7</v>
      </c>
      <c r="E110" s="2" t="str">
        <f>_xlfn.XLOOKUP('Volume Data'!A:A,'Geo Data'!D:D,'Geo Data'!B:B)</f>
        <v>GEO1002</v>
      </c>
      <c r="F110" s="2" t="str">
        <f>INDEX(GeoByClient[GEOID],MATCH(Table2[[#This Row],[CLID]],GeoByClient[Right],0))</f>
        <v>GEO1002</v>
      </c>
      <c r="G110" s="2" t="str">
        <f>_xlfn.XLOOKUP(Table2[[#This Row],[Xlookup Region ID]],GEONames[GEOID],GEONames[GEO Name])</f>
        <v>APAC</v>
      </c>
      <c r="H110" s="2" t="str">
        <f>"Q"&amp;ROUNDUP(MONTH(Table2[[#This Row],[Date]])/3,0)&amp;" "&amp;YEAR(Table2[[#This Row],[Date]])</f>
        <v>Q1 2024</v>
      </c>
      <c r="I110" s="2" t="str">
        <f>VLOOKUP(Table2[[#This Row],[Date]],Table7[],3)</f>
        <v>Q1 2024</v>
      </c>
    </row>
    <row r="111" spans="1:9" x14ac:dyDescent="0.25">
      <c r="A111" s="3" t="s">
        <v>30</v>
      </c>
      <c r="B111" s="3">
        <v>45382</v>
      </c>
      <c r="C111" s="6">
        <v>1164</v>
      </c>
      <c r="D111" s="2">
        <f>LEN(Table2[[#This Row],[CLID]])</f>
        <v>7</v>
      </c>
      <c r="E111" s="2" t="str">
        <f>_xlfn.XLOOKUP('Volume Data'!A:A,'Geo Data'!D:D,'Geo Data'!B:B)</f>
        <v>GEO1002</v>
      </c>
      <c r="F111" s="2" t="str">
        <f>INDEX(GeoByClient[GEOID],MATCH(Table2[[#This Row],[CLID]],GeoByClient[Right],0))</f>
        <v>GEO1002</v>
      </c>
      <c r="G111" s="2" t="str">
        <f>_xlfn.XLOOKUP(Table2[[#This Row],[Xlookup Region ID]],GEONames[GEOID],GEONames[GEO Name])</f>
        <v>APAC</v>
      </c>
      <c r="H111" s="2" t="str">
        <f>"Q"&amp;ROUNDUP(MONTH(Table2[[#This Row],[Date]])/3,0)&amp;" "&amp;YEAR(Table2[[#This Row],[Date]])</f>
        <v>Q1 2024</v>
      </c>
      <c r="I111" s="2" t="str">
        <f>VLOOKUP(Table2[[#This Row],[Date]],Table7[],3)</f>
        <v>Q1 2024</v>
      </c>
    </row>
    <row r="112" spans="1:9" x14ac:dyDescent="0.25">
      <c r="A112" s="3" t="s">
        <v>30</v>
      </c>
      <c r="B112" s="3">
        <v>45412</v>
      </c>
      <c r="C112" s="6">
        <v>1276</v>
      </c>
      <c r="D112" s="2">
        <f>LEN(Table2[[#This Row],[CLID]])</f>
        <v>7</v>
      </c>
      <c r="E112" s="2" t="str">
        <f>_xlfn.XLOOKUP('Volume Data'!A:A,'Geo Data'!D:D,'Geo Data'!B:B)</f>
        <v>GEO1002</v>
      </c>
      <c r="F112" s="2" t="str">
        <f>INDEX(GeoByClient[GEOID],MATCH(Table2[[#This Row],[CLID]],GeoByClient[Right],0))</f>
        <v>GEO1002</v>
      </c>
      <c r="G112" s="2" t="str">
        <f>_xlfn.XLOOKUP(Table2[[#This Row],[Xlookup Region ID]],GEONames[GEOID],GEONames[GEO Name])</f>
        <v>APAC</v>
      </c>
      <c r="H112" s="2" t="str">
        <f>"Q"&amp;ROUNDUP(MONTH(Table2[[#This Row],[Date]])/3,0)&amp;" "&amp;YEAR(Table2[[#This Row],[Date]])</f>
        <v>Q2 2024</v>
      </c>
      <c r="I112" s="2" t="str">
        <f>VLOOKUP(Table2[[#This Row],[Date]],Table7[],3)</f>
        <v>Q2 2024</v>
      </c>
    </row>
    <row r="113" spans="1:9" x14ac:dyDescent="0.25">
      <c r="A113" s="3" t="s">
        <v>30</v>
      </c>
      <c r="B113" s="3">
        <v>45443</v>
      </c>
      <c r="C113" s="6">
        <v>1275</v>
      </c>
      <c r="D113" s="2">
        <f>LEN(Table2[[#This Row],[CLID]])</f>
        <v>7</v>
      </c>
      <c r="E113" s="2" t="str">
        <f>_xlfn.XLOOKUP('Volume Data'!A:A,'Geo Data'!D:D,'Geo Data'!B:B)</f>
        <v>GEO1002</v>
      </c>
      <c r="F113" s="2" t="str">
        <f>INDEX(GeoByClient[GEOID],MATCH(Table2[[#This Row],[CLID]],GeoByClient[Right],0))</f>
        <v>GEO1002</v>
      </c>
      <c r="G113" s="2" t="str">
        <f>_xlfn.XLOOKUP(Table2[[#This Row],[Xlookup Region ID]],GEONames[GEOID],GEONames[GEO Name])</f>
        <v>APAC</v>
      </c>
      <c r="H113" s="2" t="str">
        <f>"Q"&amp;ROUNDUP(MONTH(Table2[[#This Row],[Date]])/3,0)&amp;" "&amp;YEAR(Table2[[#This Row],[Date]])</f>
        <v>Q2 2024</v>
      </c>
      <c r="I113" s="2" t="str">
        <f>VLOOKUP(Table2[[#This Row],[Date]],Table7[],3)</f>
        <v>Q2 2024</v>
      </c>
    </row>
    <row r="114" spans="1:9" x14ac:dyDescent="0.25">
      <c r="A114" s="3" t="s">
        <v>30</v>
      </c>
      <c r="B114" s="3">
        <v>45473</v>
      </c>
      <c r="C114" s="6">
        <v>834</v>
      </c>
      <c r="D114" s="2">
        <f>LEN(Table2[[#This Row],[CLID]])</f>
        <v>7</v>
      </c>
      <c r="E114" s="2" t="str">
        <f>_xlfn.XLOOKUP('Volume Data'!A:A,'Geo Data'!D:D,'Geo Data'!B:B)</f>
        <v>GEO1002</v>
      </c>
      <c r="F114" s="2" t="str">
        <f>INDEX(GeoByClient[GEOID],MATCH(Table2[[#This Row],[CLID]],GeoByClient[Right],0))</f>
        <v>GEO1002</v>
      </c>
      <c r="G114" s="2" t="str">
        <f>_xlfn.XLOOKUP(Table2[[#This Row],[Xlookup Region ID]],GEONames[GEOID],GEONames[GEO Name])</f>
        <v>APAC</v>
      </c>
      <c r="H114" s="2" t="str">
        <f>"Q"&amp;ROUNDUP(MONTH(Table2[[#This Row],[Date]])/3,0)&amp;" "&amp;YEAR(Table2[[#This Row],[Date]])</f>
        <v>Q2 2024</v>
      </c>
      <c r="I114" s="2" t="str">
        <f>VLOOKUP(Table2[[#This Row],[Date]],Table7[],3)</f>
        <v>Q2 2024</v>
      </c>
    </row>
    <row r="115" spans="1:9" x14ac:dyDescent="0.25">
      <c r="A115" s="3" t="s">
        <v>30</v>
      </c>
      <c r="B115" s="3">
        <v>45504</v>
      </c>
      <c r="C115" s="6">
        <v>833</v>
      </c>
      <c r="D115" s="2">
        <f>LEN(Table2[[#This Row],[CLID]])</f>
        <v>7</v>
      </c>
      <c r="E115" s="2" t="str">
        <f>_xlfn.XLOOKUP('Volume Data'!A:A,'Geo Data'!D:D,'Geo Data'!B:B)</f>
        <v>GEO1002</v>
      </c>
      <c r="F115" s="2" t="str">
        <f>INDEX(GeoByClient[GEOID],MATCH(Table2[[#This Row],[CLID]],GeoByClient[Right],0))</f>
        <v>GEO1002</v>
      </c>
      <c r="G115" s="2" t="str">
        <f>_xlfn.XLOOKUP(Table2[[#This Row],[Xlookup Region ID]],GEONames[GEOID],GEONames[GEO Name])</f>
        <v>APAC</v>
      </c>
      <c r="H115" s="2" t="str">
        <f>"Q"&amp;ROUNDUP(MONTH(Table2[[#This Row],[Date]])/3,0)&amp;" "&amp;YEAR(Table2[[#This Row],[Date]])</f>
        <v>Q3 2024</v>
      </c>
      <c r="I115" s="2" t="str">
        <f>VLOOKUP(Table2[[#This Row],[Date]],Table7[],3)</f>
        <v>Q3 2024</v>
      </c>
    </row>
    <row r="116" spans="1:9" x14ac:dyDescent="0.25">
      <c r="A116" s="3" t="s">
        <v>30</v>
      </c>
      <c r="B116" s="3">
        <v>45535</v>
      </c>
      <c r="C116" s="6">
        <v>610</v>
      </c>
      <c r="D116" s="2">
        <f>LEN(Table2[[#This Row],[CLID]])</f>
        <v>7</v>
      </c>
      <c r="E116" s="2" t="str">
        <f>_xlfn.XLOOKUP('Volume Data'!A:A,'Geo Data'!D:D,'Geo Data'!B:B)</f>
        <v>GEO1002</v>
      </c>
      <c r="F116" s="2" t="str">
        <f>INDEX(GeoByClient[GEOID],MATCH(Table2[[#This Row],[CLID]],GeoByClient[Right],0))</f>
        <v>GEO1002</v>
      </c>
      <c r="G116" s="2" t="str">
        <f>_xlfn.XLOOKUP(Table2[[#This Row],[Xlookup Region ID]],GEONames[GEOID],GEONames[GEO Name])</f>
        <v>APAC</v>
      </c>
      <c r="H116" s="2" t="str">
        <f>"Q"&amp;ROUNDUP(MONTH(Table2[[#This Row],[Date]])/3,0)&amp;" "&amp;YEAR(Table2[[#This Row],[Date]])</f>
        <v>Q3 2024</v>
      </c>
      <c r="I116" s="2" t="str">
        <f>VLOOKUP(Table2[[#This Row],[Date]],Table7[],3)</f>
        <v>Q3 2024</v>
      </c>
    </row>
    <row r="117" spans="1:9" x14ac:dyDescent="0.25">
      <c r="A117" s="3" t="s">
        <v>30</v>
      </c>
      <c r="B117" s="3">
        <v>45565</v>
      </c>
      <c r="C117" s="6">
        <v>722</v>
      </c>
      <c r="D117" s="2">
        <f>LEN(Table2[[#This Row],[CLID]])</f>
        <v>7</v>
      </c>
      <c r="E117" s="2" t="str">
        <f>_xlfn.XLOOKUP('Volume Data'!A:A,'Geo Data'!D:D,'Geo Data'!B:B)</f>
        <v>GEO1002</v>
      </c>
      <c r="F117" s="2" t="str">
        <f>INDEX(GeoByClient[GEOID],MATCH(Table2[[#This Row],[CLID]],GeoByClient[Right],0))</f>
        <v>GEO1002</v>
      </c>
      <c r="G117" s="2" t="str">
        <f>_xlfn.XLOOKUP(Table2[[#This Row],[Xlookup Region ID]],GEONames[GEOID],GEONames[GEO Name])</f>
        <v>APAC</v>
      </c>
      <c r="H117" s="2" t="str">
        <f>"Q"&amp;ROUNDUP(MONTH(Table2[[#This Row],[Date]])/3,0)&amp;" "&amp;YEAR(Table2[[#This Row],[Date]])</f>
        <v>Q3 2024</v>
      </c>
      <c r="I117" s="2" t="str">
        <f>VLOOKUP(Table2[[#This Row],[Date]],Table7[],3)</f>
        <v>Q3 2024</v>
      </c>
    </row>
    <row r="118" spans="1:9" x14ac:dyDescent="0.25">
      <c r="A118" s="3" t="s">
        <v>30</v>
      </c>
      <c r="B118" s="3">
        <v>45596</v>
      </c>
      <c r="C118" s="6">
        <v>722</v>
      </c>
      <c r="D118" s="2">
        <f>LEN(Table2[[#This Row],[CLID]])</f>
        <v>7</v>
      </c>
      <c r="E118" s="2" t="str">
        <f>_xlfn.XLOOKUP('Volume Data'!A:A,'Geo Data'!D:D,'Geo Data'!B:B)</f>
        <v>GEO1002</v>
      </c>
      <c r="F118" s="2" t="str">
        <f>INDEX(GeoByClient[GEOID],MATCH(Table2[[#This Row],[CLID]],GeoByClient[Right],0))</f>
        <v>GEO1002</v>
      </c>
      <c r="G118" s="2" t="str">
        <f>_xlfn.XLOOKUP(Table2[[#This Row],[Xlookup Region ID]],GEONames[GEOID],GEONames[GEO Name])</f>
        <v>APAC</v>
      </c>
      <c r="H118" s="2" t="str">
        <f>"Q"&amp;ROUNDUP(MONTH(Table2[[#This Row],[Date]])/3,0)&amp;" "&amp;YEAR(Table2[[#This Row],[Date]])</f>
        <v>Q4 2024</v>
      </c>
      <c r="I118" s="2" t="str">
        <f>VLOOKUP(Table2[[#This Row],[Date]],Table7[],3)</f>
        <v>Q4 2024</v>
      </c>
    </row>
    <row r="119" spans="1:9" x14ac:dyDescent="0.25">
      <c r="A119" s="3" t="s">
        <v>30</v>
      </c>
      <c r="B119" s="3">
        <v>45626</v>
      </c>
      <c r="C119" s="6">
        <v>939</v>
      </c>
      <c r="D119" s="2">
        <f>LEN(Table2[[#This Row],[CLID]])</f>
        <v>7</v>
      </c>
      <c r="E119" s="2" t="str">
        <f>_xlfn.XLOOKUP('Volume Data'!A:A,'Geo Data'!D:D,'Geo Data'!B:B)</f>
        <v>GEO1002</v>
      </c>
      <c r="F119" s="2" t="str">
        <f>INDEX(GeoByClient[GEOID],MATCH(Table2[[#This Row],[CLID]],GeoByClient[Right],0))</f>
        <v>GEO1002</v>
      </c>
      <c r="G119" s="2" t="str">
        <f>_xlfn.XLOOKUP(Table2[[#This Row],[Xlookup Region ID]],GEONames[GEOID],GEONames[GEO Name])</f>
        <v>APAC</v>
      </c>
      <c r="H119" s="2" t="str">
        <f>"Q"&amp;ROUNDUP(MONTH(Table2[[#This Row],[Date]])/3,0)&amp;" "&amp;YEAR(Table2[[#This Row],[Date]])</f>
        <v>Q4 2024</v>
      </c>
      <c r="I119" s="2" t="str">
        <f>VLOOKUP(Table2[[#This Row],[Date]],Table7[],3)</f>
        <v>Q4 2024</v>
      </c>
    </row>
    <row r="120" spans="1:9" x14ac:dyDescent="0.25">
      <c r="A120" s="3" t="s">
        <v>30</v>
      </c>
      <c r="B120" s="3">
        <v>45657</v>
      </c>
      <c r="C120" s="6">
        <v>829</v>
      </c>
      <c r="D120" s="2">
        <f>LEN(Table2[[#This Row],[CLID]])</f>
        <v>7</v>
      </c>
      <c r="E120" s="2" t="str">
        <f>_xlfn.XLOOKUP('Volume Data'!A:A,'Geo Data'!D:D,'Geo Data'!B:B)</f>
        <v>GEO1002</v>
      </c>
      <c r="F120" s="2" t="str">
        <f>INDEX(GeoByClient[GEOID],MATCH(Table2[[#This Row],[CLID]],GeoByClient[Right],0))</f>
        <v>GEO1002</v>
      </c>
      <c r="G120" s="2" t="str">
        <f>_xlfn.XLOOKUP(Table2[[#This Row],[Xlookup Region ID]],GEONames[GEOID],GEONames[GEO Name])</f>
        <v>APAC</v>
      </c>
      <c r="H120" s="2" t="str">
        <f>"Q"&amp;ROUNDUP(MONTH(Table2[[#This Row],[Date]])/3,0)&amp;" "&amp;YEAR(Table2[[#This Row],[Date]])</f>
        <v>Q4 2024</v>
      </c>
      <c r="I120" s="2" t="str">
        <f>VLOOKUP(Table2[[#This Row],[Date]],Table7[],3)</f>
        <v>Q4 2024</v>
      </c>
    </row>
    <row r="121" spans="1:9" x14ac:dyDescent="0.25">
      <c r="A121" s="3" t="s">
        <v>30</v>
      </c>
      <c r="B121" s="3">
        <v>45838</v>
      </c>
      <c r="C121" s="6">
        <v>848</v>
      </c>
      <c r="D121" s="2">
        <f>LEN(Table2[[#This Row],[CLID]])</f>
        <v>7</v>
      </c>
      <c r="E121" s="2" t="str">
        <f>_xlfn.XLOOKUP('Volume Data'!A:A,'Geo Data'!D:D,'Geo Data'!B:B)</f>
        <v>GEO1002</v>
      </c>
      <c r="F121" s="2" t="str">
        <f>INDEX(GeoByClient[GEOID],MATCH(Table2[[#This Row],[CLID]],GeoByClient[Right],0))</f>
        <v>GEO1002</v>
      </c>
      <c r="G121" s="2" t="str">
        <f>_xlfn.XLOOKUP(Table2[[#This Row],[Xlookup Region ID]],GEONames[GEOID],GEONames[GEO Name])</f>
        <v>APAC</v>
      </c>
      <c r="H121" s="2" t="str">
        <f>"Q"&amp;ROUNDUP(MONTH(Table2[[#This Row],[Date]])/3,0)&amp;" "&amp;YEAR(Table2[[#This Row],[Date]])</f>
        <v>Q2 2025</v>
      </c>
      <c r="I121" s="2" t="str">
        <f>VLOOKUP(Table2[[#This Row],[Date]],Table7[],3)</f>
        <v>Q2 2025</v>
      </c>
    </row>
    <row r="122" spans="1:9" x14ac:dyDescent="0.25">
      <c r="A122" s="3" t="s">
        <v>30</v>
      </c>
      <c r="B122" s="3">
        <v>45808</v>
      </c>
      <c r="C122" s="6">
        <v>1326</v>
      </c>
      <c r="D122" s="2">
        <f>LEN(Table2[[#This Row],[CLID]])</f>
        <v>7</v>
      </c>
      <c r="E122" s="2" t="str">
        <f>_xlfn.XLOOKUP('Volume Data'!A:A,'Geo Data'!D:D,'Geo Data'!B:B)</f>
        <v>GEO1002</v>
      </c>
      <c r="F122" s="2" t="str">
        <f>INDEX(GeoByClient[GEOID],MATCH(Table2[[#This Row],[CLID]],GeoByClient[Right],0))</f>
        <v>GEO1002</v>
      </c>
      <c r="G122" s="2" t="str">
        <f>_xlfn.XLOOKUP(Table2[[#This Row],[Xlookup Region ID]],GEONames[GEOID],GEONames[GEO Name])</f>
        <v>APAC</v>
      </c>
      <c r="H122" s="2" t="str">
        <f>"Q"&amp;ROUNDUP(MONTH(Table2[[#This Row],[Date]])/3,0)&amp;" "&amp;YEAR(Table2[[#This Row],[Date]])</f>
        <v>Q2 2025</v>
      </c>
      <c r="I122" s="2" t="str">
        <f>VLOOKUP(Table2[[#This Row],[Date]],Table7[],3)</f>
        <v>Q2 2025</v>
      </c>
    </row>
    <row r="123" spans="1:9" x14ac:dyDescent="0.25">
      <c r="A123" s="3" t="s">
        <v>30</v>
      </c>
      <c r="B123" s="3">
        <v>45777</v>
      </c>
      <c r="C123" s="6">
        <v>1309</v>
      </c>
      <c r="D123" s="2">
        <f>LEN(Table2[[#This Row],[CLID]])</f>
        <v>7</v>
      </c>
      <c r="E123" s="2" t="str">
        <f>_xlfn.XLOOKUP('Volume Data'!A:A,'Geo Data'!D:D,'Geo Data'!B:B)</f>
        <v>GEO1002</v>
      </c>
      <c r="F123" s="2" t="str">
        <f>INDEX(GeoByClient[GEOID],MATCH(Table2[[#This Row],[CLID]],GeoByClient[Right],0))</f>
        <v>GEO1002</v>
      </c>
      <c r="G123" s="2" t="str">
        <f>_xlfn.XLOOKUP(Table2[[#This Row],[Xlookup Region ID]],GEONames[GEOID],GEONames[GEO Name])</f>
        <v>APAC</v>
      </c>
      <c r="H123" s="2" t="str">
        <f>"Q"&amp;ROUNDUP(MONTH(Table2[[#This Row],[Date]])/3,0)&amp;" "&amp;YEAR(Table2[[#This Row],[Date]])</f>
        <v>Q2 2025</v>
      </c>
      <c r="I123" s="2" t="str">
        <f>VLOOKUP(Table2[[#This Row],[Date]],Table7[],3)</f>
        <v>Q2 2025</v>
      </c>
    </row>
    <row r="124" spans="1:9" x14ac:dyDescent="0.25">
      <c r="A124" s="3" t="s">
        <v>30</v>
      </c>
      <c r="B124" s="3">
        <v>45747</v>
      </c>
      <c r="C124" s="6">
        <v>1173</v>
      </c>
      <c r="D124" s="2">
        <f>LEN(Table2[[#This Row],[CLID]])</f>
        <v>7</v>
      </c>
      <c r="E124" s="2" t="str">
        <f>_xlfn.XLOOKUP('Volume Data'!A:A,'Geo Data'!D:D,'Geo Data'!B:B)</f>
        <v>GEO1002</v>
      </c>
      <c r="F124" s="2" t="str">
        <f>INDEX(GeoByClient[GEOID],MATCH(Table2[[#This Row],[CLID]],GeoByClient[Right],0))</f>
        <v>GEO1002</v>
      </c>
      <c r="G124" s="2" t="str">
        <f>_xlfn.XLOOKUP(Table2[[#This Row],[Xlookup Region ID]],GEONames[GEOID],GEONames[GEO Name])</f>
        <v>APAC</v>
      </c>
      <c r="H124" s="2" t="str">
        <f>"Q"&amp;ROUNDUP(MONTH(Table2[[#This Row],[Date]])/3,0)&amp;" "&amp;YEAR(Table2[[#This Row],[Date]])</f>
        <v>Q1 2025</v>
      </c>
      <c r="I124" s="2" t="str">
        <f>VLOOKUP(Table2[[#This Row],[Date]],Table7[],3)</f>
        <v>Q4 2024</v>
      </c>
    </row>
    <row r="125" spans="1:9" x14ac:dyDescent="0.25">
      <c r="A125" s="3" t="s">
        <v>30</v>
      </c>
      <c r="B125" s="3">
        <v>45716</v>
      </c>
      <c r="C125" s="6">
        <v>935</v>
      </c>
      <c r="D125" s="2">
        <f>LEN(Table2[[#This Row],[CLID]])</f>
        <v>7</v>
      </c>
      <c r="E125" s="2" t="str">
        <f>_xlfn.XLOOKUP('Volume Data'!A:A,'Geo Data'!D:D,'Geo Data'!B:B)</f>
        <v>GEO1002</v>
      </c>
      <c r="F125" s="2" t="str">
        <f>INDEX(GeoByClient[GEOID],MATCH(Table2[[#This Row],[CLID]],GeoByClient[Right],0))</f>
        <v>GEO1002</v>
      </c>
      <c r="G125" s="2" t="str">
        <f>_xlfn.XLOOKUP(Table2[[#This Row],[Xlookup Region ID]],GEONames[GEOID],GEONames[GEO Name])</f>
        <v>APAC</v>
      </c>
      <c r="H125" s="2" t="str">
        <f>"Q"&amp;ROUNDUP(MONTH(Table2[[#This Row],[Date]])/3,0)&amp;" "&amp;YEAR(Table2[[#This Row],[Date]])</f>
        <v>Q1 2025</v>
      </c>
      <c r="I125" s="2" t="str">
        <f>VLOOKUP(Table2[[#This Row],[Date]],Table7[],3)</f>
        <v>Q4 2024</v>
      </c>
    </row>
    <row r="126" spans="1:9" x14ac:dyDescent="0.25">
      <c r="A126" s="3" t="s">
        <v>30</v>
      </c>
      <c r="B126" s="3">
        <v>45688</v>
      </c>
      <c r="C126" s="6">
        <v>973</v>
      </c>
      <c r="D126" s="2">
        <f>LEN(Table2[[#This Row],[CLID]])</f>
        <v>7</v>
      </c>
      <c r="E126" s="2" t="str">
        <f>_xlfn.XLOOKUP('Volume Data'!A:A,'Geo Data'!D:D,'Geo Data'!B:B)</f>
        <v>GEO1002</v>
      </c>
      <c r="F126" s="2" t="str">
        <f>INDEX(GeoByClient[GEOID],MATCH(Table2[[#This Row],[CLID]],GeoByClient[Right],0))</f>
        <v>GEO1002</v>
      </c>
      <c r="G126" s="2" t="str">
        <f>_xlfn.XLOOKUP(Table2[[#This Row],[Xlookup Region ID]],GEONames[GEOID],GEONames[GEO Name])</f>
        <v>APAC</v>
      </c>
      <c r="H126" s="2" t="str">
        <f>"Q"&amp;ROUNDUP(MONTH(Table2[[#This Row],[Date]])/3,0)&amp;" "&amp;YEAR(Table2[[#This Row],[Date]])</f>
        <v>Q1 2025</v>
      </c>
      <c r="I126" s="2" t="str">
        <f>VLOOKUP(Table2[[#This Row],[Date]],Table7[],3)</f>
        <v>Q4 2024</v>
      </c>
    </row>
    <row r="127" spans="1:9" x14ac:dyDescent="0.25">
      <c r="A127" s="3" t="s">
        <v>6</v>
      </c>
      <c r="B127" s="3">
        <v>45322</v>
      </c>
      <c r="C127" s="6">
        <v>188</v>
      </c>
      <c r="D127" s="2">
        <f>LEN(Table2[[#This Row],[CLID]])</f>
        <v>7</v>
      </c>
      <c r="E127" s="2" t="str">
        <f>_xlfn.XLOOKUP('Volume Data'!A:A,'Geo Data'!D:D,'Geo Data'!B:B)</f>
        <v>GEO1004</v>
      </c>
      <c r="F127" s="2" t="str">
        <f>INDEX(GeoByClient[GEOID],MATCH(Table2[[#This Row],[CLID]],GeoByClient[Right],0))</f>
        <v>GEO1004</v>
      </c>
      <c r="G127" s="2" t="str">
        <f>_xlfn.XLOOKUP(Table2[[#This Row],[Xlookup Region ID]],GEONames[GEOID],GEONames[GEO Name])</f>
        <v>LATAM</v>
      </c>
      <c r="H127" s="2" t="str">
        <f>"Q"&amp;ROUNDUP(MONTH(Table2[[#This Row],[Date]])/3,0)&amp;" "&amp;YEAR(Table2[[#This Row],[Date]])</f>
        <v>Q1 2024</v>
      </c>
      <c r="I127" s="2" t="str">
        <f>VLOOKUP(Table2[[#This Row],[Date]],Table7[],3)</f>
        <v>Q1 2024</v>
      </c>
    </row>
    <row r="128" spans="1:9" x14ac:dyDescent="0.25">
      <c r="A128" s="3" t="s">
        <v>6</v>
      </c>
      <c r="B128" s="3">
        <v>45351</v>
      </c>
      <c r="C128" s="6">
        <v>168</v>
      </c>
      <c r="D128" s="2">
        <f>LEN(Table2[[#This Row],[CLID]])</f>
        <v>7</v>
      </c>
      <c r="E128" s="2" t="str">
        <f>_xlfn.XLOOKUP('Volume Data'!A:A,'Geo Data'!D:D,'Geo Data'!B:B)</f>
        <v>GEO1004</v>
      </c>
      <c r="F128" s="2" t="str">
        <f>INDEX(GeoByClient[GEOID],MATCH(Table2[[#This Row],[CLID]],GeoByClient[Right],0))</f>
        <v>GEO1004</v>
      </c>
      <c r="G128" s="2" t="str">
        <f>_xlfn.XLOOKUP(Table2[[#This Row],[Xlookup Region ID]],GEONames[GEOID],GEONames[GEO Name])</f>
        <v>LATAM</v>
      </c>
      <c r="H128" s="2" t="str">
        <f>"Q"&amp;ROUNDUP(MONTH(Table2[[#This Row],[Date]])/3,0)&amp;" "&amp;YEAR(Table2[[#This Row],[Date]])</f>
        <v>Q1 2024</v>
      </c>
      <c r="I128" s="2" t="str">
        <f>VLOOKUP(Table2[[#This Row],[Date]],Table7[],3)</f>
        <v>Q1 2024</v>
      </c>
    </row>
    <row r="129" spans="1:9" x14ac:dyDescent="0.25">
      <c r="A129" s="3" t="s">
        <v>6</v>
      </c>
      <c r="B129" s="3">
        <v>45382</v>
      </c>
      <c r="C129" s="6">
        <v>226</v>
      </c>
      <c r="D129" s="2">
        <f>LEN(Table2[[#This Row],[CLID]])</f>
        <v>7</v>
      </c>
      <c r="E129" s="2" t="str">
        <f>_xlfn.XLOOKUP('Volume Data'!A:A,'Geo Data'!D:D,'Geo Data'!B:B)</f>
        <v>GEO1004</v>
      </c>
      <c r="F129" s="2" t="str">
        <f>INDEX(GeoByClient[GEOID],MATCH(Table2[[#This Row],[CLID]],GeoByClient[Right],0))</f>
        <v>GEO1004</v>
      </c>
      <c r="G129" s="2" t="str">
        <f>_xlfn.XLOOKUP(Table2[[#This Row],[Xlookup Region ID]],GEONames[GEOID],GEONames[GEO Name])</f>
        <v>LATAM</v>
      </c>
      <c r="H129" s="2" t="str">
        <f>"Q"&amp;ROUNDUP(MONTH(Table2[[#This Row],[Date]])/3,0)&amp;" "&amp;YEAR(Table2[[#This Row],[Date]])</f>
        <v>Q1 2024</v>
      </c>
      <c r="I129" s="2" t="str">
        <f>VLOOKUP(Table2[[#This Row],[Date]],Table7[],3)</f>
        <v>Q1 2024</v>
      </c>
    </row>
    <row r="130" spans="1:9" x14ac:dyDescent="0.25">
      <c r="A130" s="3" t="s">
        <v>6</v>
      </c>
      <c r="B130" s="3">
        <v>45412</v>
      </c>
      <c r="C130" s="6">
        <v>223</v>
      </c>
      <c r="D130" s="2">
        <f>LEN(Table2[[#This Row],[CLID]])</f>
        <v>7</v>
      </c>
      <c r="E130" s="2" t="str">
        <f>_xlfn.XLOOKUP('Volume Data'!A:A,'Geo Data'!D:D,'Geo Data'!B:B)</f>
        <v>GEO1004</v>
      </c>
      <c r="F130" s="2" t="str">
        <f>INDEX(GeoByClient[GEOID],MATCH(Table2[[#This Row],[CLID]],GeoByClient[Right],0))</f>
        <v>GEO1004</v>
      </c>
      <c r="G130" s="2" t="str">
        <f>_xlfn.XLOOKUP(Table2[[#This Row],[Xlookup Region ID]],GEONames[GEOID],GEONames[GEO Name])</f>
        <v>LATAM</v>
      </c>
      <c r="H130" s="2" t="str">
        <f>"Q"&amp;ROUNDUP(MONTH(Table2[[#This Row],[Date]])/3,0)&amp;" "&amp;YEAR(Table2[[#This Row],[Date]])</f>
        <v>Q2 2024</v>
      </c>
      <c r="I130" s="2" t="str">
        <f>VLOOKUP(Table2[[#This Row],[Date]],Table7[],3)</f>
        <v>Q2 2024</v>
      </c>
    </row>
    <row r="131" spans="1:9" x14ac:dyDescent="0.25">
      <c r="A131" s="3" t="s">
        <v>6</v>
      </c>
      <c r="B131" s="3">
        <v>45443</v>
      </c>
      <c r="C131" s="6">
        <v>247</v>
      </c>
      <c r="D131" s="2">
        <f>LEN(Table2[[#This Row],[CLID]])</f>
        <v>7</v>
      </c>
      <c r="E131" s="2" t="str">
        <f>_xlfn.XLOOKUP('Volume Data'!A:A,'Geo Data'!D:D,'Geo Data'!B:B)</f>
        <v>GEO1004</v>
      </c>
      <c r="F131" s="2" t="str">
        <f>INDEX(GeoByClient[GEOID],MATCH(Table2[[#This Row],[CLID]],GeoByClient[Right],0))</f>
        <v>GEO1004</v>
      </c>
      <c r="G131" s="2" t="str">
        <f>_xlfn.XLOOKUP(Table2[[#This Row],[Xlookup Region ID]],GEONames[GEOID],GEONames[GEO Name])</f>
        <v>LATAM</v>
      </c>
      <c r="H131" s="2" t="str">
        <f>"Q"&amp;ROUNDUP(MONTH(Table2[[#This Row],[Date]])/3,0)&amp;" "&amp;YEAR(Table2[[#This Row],[Date]])</f>
        <v>Q2 2024</v>
      </c>
      <c r="I131" s="2" t="str">
        <f>VLOOKUP(Table2[[#This Row],[Date]],Table7[],3)</f>
        <v>Q2 2024</v>
      </c>
    </row>
    <row r="132" spans="1:9" x14ac:dyDescent="0.25">
      <c r="A132" s="3" t="s">
        <v>6</v>
      </c>
      <c r="B132" s="3">
        <v>45473</v>
      </c>
      <c r="C132" s="6">
        <v>142</v>
      </c>
      <c r="D132" s="2">
        <f>LEN(Table2[[#This Row],[CLID]])</f>
        <v>7</v>
      </c>
      <c r="E132" s="2" t="str">
        <f>_xlfn.XLOOKUP('Volume Data'!A:A,'Geo Data'!D:D,'Geo Data'!B:B)</f>
        <v>GEO1004</v>
      </c>
      <c r="F132" s="2" t="str">
        <f>INDEX(GeoByClient[GEOID],MATCH(Table2[[#This Row],[CLID]],GeoByClient[Right],0))</f>
        <v>GEO1004</v>
      </c>
      <c r="G132" s="2" t="str">
        <f>_xlfn.XLOOKUP(Table2[[#This Row],[Xlookup Region ID]],GEONames[GEOID],GEONames[GEO Name])</f>
        <v>LATAM</v>
      </c>
      <c r="H132" s="2" t="str">
        <f>"Q"&amp;ROUNDUP(MONTH(Table2[[#This Row],[Date]])/3,0)&amp;" "&amp;YEAR(Table2[[#This Row],[Date]])</f>
        <v>Q2 2024</v>
      </c>
      <c r="I132" s="2" t="str">
        <f>VLOOKUP(Table2[[#This Row],[Date]],Table7[],3)</f>
        <v>Q2 2024</v>
      </c>
    </row>
    <row r="133" spans="1:9" x14ac:dyDescent="0.25">
      <c r="A133" s="3" t="s">
        <v>6</v>
      </c>
      <c r="B133" s="3">
        <v>45504</v>
      </c>
      <c r="C133" s="6">
        <v>163</v>
      </c>
      <c r="D133" s="2">
        <f>LEN(Table2[[#This Row],[CLID]])</f>
        <v>7</v>
      </c>
      <c r="E133" s="2" t="str">
        <f>_xlfn.XLOOKUP('Volume Data'!A:A,'Geo Data'!D:D,'Geo Data'!B:B)</f>
        <v>GEO1004</v>
      </c>
      <c r="F133" s="2" t="str">
        <f>INDEX(GeoByClient[GEOID],MATCH(Table2[[#This Row],[CLID]],GeoByClient[Right],0))</f>
        <v>GEO1004</v>
      </c>
      <c r="G133" s="2" t="str">
        <f>_xlfn.XLOOKUP(Table2[[#This Row],[Xlookup Region ID]],GEONames[GEOID],GEONames[GEO Name])</f>
        <v>LATAM</v>
      </c>
      <c r="H133" s="2" t="str">
        <f>"Q"&amp;ROUNDUP(MONTH(Table2[[#This Row],[Date]])/3,0)&amp;" "&amp;YEAR(Table2[[#This Row],[Date]])</f>
        <v>Q3 2024</v>
      </c>
      <c r="I133" s="2" t="str">
        <f>VLOOKUP(Table2[[#This Row],[Date]],Table7[],3)</f>
        <v>Q3 2024</v>
      </c>
    </row>
    <row r="134" spans="1:9" x14ac:dyDescent="0.25">
      <c r="A134" s="3" t="s">
        <v>6</v>
      </c>
      <c r="B134" s="3">
        <v>45535</v>
      </c>
      <c r="C134" s="6">
        <v>101</v>
      </c>
      <c r="D134" s="2">
        <f>LEN(Table2[[#This Row],[CLID]])</f>
        <v>7</v>
      </c>
      <c r="E134" s="2" t="str">
        <f>_xlfn.XLOOKUP('Volume Data'!A:A,'Geo Data'!D:D,'Geo Data'!B:B)</f>
        <v>GEO1004</v>
      </c>
      <c r="F134" s="2" t="str">
        <f>INDEX(GeoByClient[GEOID],MATCH(Table2[[#This Row],[CLID]],GeoByClient[Right],0))</f>
        <v>GEO1004</v>
      </c>
      <c r="G134" s="2" t="str">
        <f>_xlfn.XLOOKUP(Table2[[#This Row],[Xlookup Region ID]],GEONames[GEOID],GEONames[GEO Name])</f>
        <v>LATAM</v>
      </c>
      <c r="H134" s="2" t="str">
        <f>"Q"&amp;ROUNDUP(MONTH(Table2[[#This Row],[Date]])/3,0)&amp;" "&amp;YEAR(Table2[[#This Row],[Date]])</f>
        <v>Q3 2024</v>
      </c>
      <c r="I134" s="2" t="str">
        <f>VLOOKUP(Table2[[#This Row],[Date]],Table7[],3)</f>
        <v>Q3 2024</v>
      </c>
    </row>
    <row r="135" spans="1:9" x14ac:dyDescent="0.25">
      <c r="A135" s="3" t="s">
        <v>6</v>
      </c>
      <c r="B135" s="3">
        <v>45565</v>
      </c>
      <c r="C135" s="6">
        <v>142</v>
      </c>
      <c r="D135" s="2">
        <f>LEN(Table2[[#This Row],[CLID]])</f>
        <v>7</v>
      </c>
      <c r="E135" s="2" t="str">
        <f>_xlfn.XLOOKUP('Volume Data'!A:A,'Geo Data'!D:D,'Geo Data'!B:B)</f>
        <v>GEO1004</v>
      </c>
      <c r="F135" s="2" t="str">
        <f>INDEX(GeoByClient[GEOID],MATCH(Table2[[#This Row],[CLID]],GeoByClient[Right],0))</f>
        <v>GEO1004</v>
      </c>
      <c r="G135" s="2" t="str">
        <f>_xlfn.XLOOKUP(Table2[[#This Row],[Xlookup Region ID]],GEONames[GEOID],GEONames[GEO Name])</f>
        <v>LATAM</v>
      </c>
      <c r="H135" s="2" t="str">
        <f>"Q"&amp;ROUNDUP(MONTH(Table2[[#This Row],[Date]])/3,0)&amp;" "&amp;YEAR(Table2[[#This Row],[Date]])</f>
        <v>Q3 2024</v>
      </c>
      <c r="I135" s="2" t="str">
        <f>VLOOKUP(Table2[[#This Row],[Date]],Table7[],3)</f>
        <v>Q3 2024</v>
      </c>
    </row>
    <row r="136" spans="1:9" x14ac:dyDescent="0.25">
      <c r="A136" s="3" t="s">
        <v>6</v>
      </c>
      <c r="B136" s="3">
        <v>45596</v>
      </c>
      <c r="C136" s="6">
        <v>123</v>
      </c>
      <c r="D136" s="2">
        <f>LEN(Table2[[#This Row],[CLID]])</f>
        <v>7</v>
      </c>
      <c r="E136" s="2" t="str">
        <f>_xlfn.XLOOKUP('Volume Data'!A:A,'Geo Data'!D:D,'Geo Data'!B:B)</f>
        <v>GEO1004</v>
      </c>
      <c r="F136" s="2" t="str">
        <f>INDEX(GeoByClient[GEOID],MATCH(Table2[[#This Row],[CLID]],GeoByClient[Right],0))</f>
        <v>GEO1004</v>
      </c>
      <c r="G136" s="2" t="str">
        <f>_xlfn.XLOOKUP(Table2[[#This Row],[Xlookup Region ID]],GEONames[GEOID],GEONames[GEO Name])</f>
        <v>LATAM</v>
      </c>
      <c r="H136" s="2" t="str">
        <f>"Q"&amp;ROUNDUP(MONTH(Table2[[#This Row],[Date]])/3,0)&amp;" "&amp;YEAR(Table2[[#This Row],[Date]])</f>
        <v>Q4 2024</v>
      </c>
      <c r="I136" s="2" t="str">
        <f>VLOOKUP(Table2[[#This Row],[Date]],Table7[],3)</f>
        <v>Q4 2024</v>
      </c>
    </row>
    <row r="137" spans="1:9" x14ac:dyDescent="0.25">
      <c r="A137" s="3" t="s">
        <v>6</v>
      </c>
      <c r="B137" s="3">
        <v>45626</v>
      </c>
      <c r="C137" s="6">
        <v>183</v>
      </c>
      <c r="D137" s="2">
        <f>LEN(Table2[[#This Row],[CLID]])</f>
        <v>7</v>
      </c>
      <c r="E137" s="2" t="str">
        <f>_xlfn.XLOOKUP('Volume Data'!A:A,'Geo Data'!D:D,'Geo Data'!B:B)</f>
        <v>GEO1004</v>
      </c>
      <c r="F137" s="2" t="str">
        <f>INDEX(GeoByClient[GEOID],MATCH(Table2[[#This Row],[CLID]],GeoByClient[Right],0))</f>
        <v>GEO1004</v>
      </c>
      <c r="G137" s="2" t="str">
        <f>_xlfn.XLOOKUP(Table2[[#This Row],[Xlookup Region ID]],GEONames[GEOID],GEONames[GEO Name])</f>
        <v>LATAM</v>
      </c>
      <c r="H137" s="2" t="str">
        <f>"Q"&amp;ROUNDUP(MONTH(Table2[[#This Row],[Date]])/3,0)&amp;" "&amp;YEAR(Table2[[#This Row],[Date]])</f>
        <v>Q4 2024</v>
      </c>
      <c r="I137" s="2" t="str">
        <f>VLOOKUP(Table2[[#This Row],[Date]],Table7[],3)</f>
        <v>Q4 2024</v>
      </c>
    </row>
    <row r="138" spans="1:9" x14ac:dyDescent="0.25">
      <c r="A138" s="3" t="s">
        <v>6</v>
      </c>
      <c r="B138" s="3">
        <v>45657</v>
      </c>
      <c r="C138" s="6">
        <v>144</v>
      </c>
      <c r="D138" s="2">
        <f>LEN(Table2[[#This Row],[CLID]])</f>
        <v>7</v>
      </c>
      <c r="E138" s="2" t="str">
        <f>_xlfn.XLOOKUP('Volume Data'!A:A,'Geo Data'!D:D,'Geo Data'!B:B)</f>
        <v>GEO1004</v>
      </c>
      <c r="F138" s="2" t="str">
        <f>INDEX(GeoByClient[GEOID],MATCH(Table2[[#This Row],[CLID]],GeoByClient[Right],0))</f>
        <v>GEO1004</v>
      </c>
      <c r="G138" s="2" t="str">
        <f>_xlfn.XLOOKUP(Table2[[#This Row],[Xlookup Region ID]],GEONames[GEOID],GEONames[GEO Name])</f>
        <v>LATAM</v>
      </c>
      <c r="H138" s="2" t="str">
        <f>"Q"&amp;ROUNDUP(MONTH(Table2[[#This Row],[Date]])/3,0)&amp;" "&amp;YEAR(Table2[[#This Row],[Date]])</f>
        <v>Q4 2024</v>
      </c>
      <c r="I138" s="2" t="str">
        <f>VLOOKUP(Table2[[#This Row],[Date]],Table7[],3)</f>
        <v>Q4 2024</v>
      </c>
    </row>
    <row r="139" spans="1:9" x14ac:dyDescent="0.25">
      <c r="A139" s="3" t="s">
        <v>6</v>
      </c>
      <c r="B139" s="3">
        <v>45838</v>
      </c>
      <c r="C139" s="6">
        <v>145</v>
      </c>
      <c r="D139" s="2">
        <f>LEN(Table2[[#This Row],[CLID]])</f>
        <v>7</v>
      </c>
      <c r="E139" s="2" t="str">
        <f>_xlfn.XLOOKUP('Volume Data'!A:A,'Geo Data'!D:D,'Geo Data'!B:B)</f>
        <v>GEO1004</v>
      </c>
      <c r="F139" s="2" t="str">
        <f>INDEX(GeoByClient[GEOID],MATCH(Table2[[#This Row],[CLID]],GeoByClient[Right],0))</f>
        <v>GEO1004</v>
      </c>
      <c r="G139" s="2" t="str">
        <f>_xlfn.XLOOKUP(Table2[[#This Row],[Xlookup Region ID]],GEONames[GEOID],GEONames[GEO Name])</f>
        <v>LATAM</v>
      </c>
      <c r="H139" s="2" t="str">
        <f>"Q"&amp;ROUNDUP(MONTH(Table2[[#This Row],[Date]])/3,0)&amp;" "&amp;YEAR(Table2[[#This Row],[Date]])</f>
        <v>Q2 2025</v>
      </c>
      <c r="I139" s="2" t="str">
        <f>VLOOKUP(Table2[[#This Row],[Date]],Table7[],3)</f>
        <v>Q2 2025</v>
      </c>
    </row>
    <row r="140" spans="1:9" x14ac:dyDescent="0.25">
      <c r="A140" s="3" t="s">
        <v>6</v>
      </c>
      <c r="B140" s="3">
        <v>45808</v>
      </c>
      <c r="C140" s="6">
        <v>244</v>
      </c>
      <c r="D140" s="2">
        <f>LEN(Table2[[#This Row],[CLID]])</f>
        <v>7</v>
      </c>
      <c r="E140" s="2" t="str">
        <f>_xlfn.XLOOKUP('Volume Data'!A:A,'Geo Data'!D:D,'Geo Data'!B:B)</f>
        <v>GEO1004</v>
      </c>
      <c r="F140" s="2" t="str">
        <f>INDEX(GeoByClient[GEOID],MATCH(Table2[[#This Row],[CLID]],GeoByClient[Right],0))</f>
        <v>GEO1004</v>
      </c>
      <c r="G140" s="2" t="str">
        <f>_xlfn.XLOOKUP(Table2[[#This Row],[Xlookup Region ID]],GEONames[GEOID],GEONames[GEO Name])</f>
        <v>LATAM</v>
      </c>
      <c r="H140" s="2" t="str">
        <f>"Q"&amp;ROUNDUP(MONTH(Table2[[#This Row],[Date]])/3,0)&amp;" "&amp;YEAR(Table2[[#This Row],[Date]])</f>
        <v>Q2 2025</v>
      </c>
      <c r="I140" s="2" t="str">
        <f>VLOOKUP(Table2[[#This Row],[Date]],Table7[],3)</f>
        <v>Q2 2025</v>
      </c>
    </row>
    <row r="141" spans="1:9" x14ac:dyDescent="0.25">
      <c r="A141" s="3" t="s">
        <v>6</v>
      </c>
      <c r="B141" s="3">
        <v>45777</v>
      </c>
      <c r="C141" s="6">
        <v>226</v>
      </c>
      <c r="D141" s="2">
        <f>LEN(Table2[[#This Row],[CLID]])</f>
        <v>7</v>
      </c>
      <c r="E141" s="2" t="str">
        <f>_xlfn.XLOOKUP('Volume Data'!A:A,'Geo Data'!D:D,'Geo Data'!B:B)</f>
        <v>GEO1004</v>
      </c>
      <c r="F141" s="2" t="str">
        <f>INDEX(GeoByClient[GEOID],MATCH(Table2[[#This Row],[CLID]],GeoByClient[Right],0))</f>
        <v>GEO1004</v>
      </c>
      <c r="G141" s="2" t="str">
        <f>_xlfn.XLOOKUP(Table2[[#This Row],[Xlookup Region ID]],GEONames[GEOID],GEONames[GEO Name])</f>
        <v>LATAM</v>
      </c>
      <c r="H141" s="2" t="str">
        <f>"Q"&amp;ROUNDUP(MONTH(Table2[[#This Row],[Date]])/3,0)&amp;" "&amp;YEAR(Table2[[#This Row],[Date]])</f>
        <v>Q2 2025</v>
      </c>
      <c r="I141" s="2" t="str">
        <f>VLOOKUP(Table2[[#This Row],[Date]],Table7[],3)</f>
        <v>Q2 2025</v>
      </c>
    </row>
    <row r="142" spans="1:9" x14ac:dyDescent="0.25">
      <c r="A142" s="3" t="s">
        <v>6</v>
      </c>
      <c r="B142" s="3">
        <v>45747</v>
      </c>
      <c r="C142" s="6">
        <v>227</v>
      </c>
      <c r="D142" s="2">
        <f>LEN(Table2[[#This Row],[CLID]])</f>
        <v>7</v>
      </c>
      <c r="E142" s="2" t="str">
        <f>_xlfn.XLOOKUP('Volume Data'!A:A,'Geo Data'!D:D,'Geo Data'!B:B)</f>
        <v>GEO1004</v>
      </c>
      <c r="F142" s="2" t="str">
        <f>INDEX(GeoByClient[GEOID],MATCH(Table2[[#This Row],[CLID]],GeoByClient[Right],0))</f>
        <v>GEO1004</v>
      </c>
      <c r="G142" s="2" t="str">
        <f>_xlfn.XLOOKUP(Table2[[#This Row],[Xlookup Region ID]],GEONames[GEOID],GEONames[GEO Name])</f>
        <v>LATAM</v>
      </c>
      <c r="H142" s="2" t="str">
        <f>"Q"&amp;ROUNDUP(MONTH(Table2[[#This Row],[Date]])/3,0)&amp;" "&amp;YEAR(Table2[[#This Row],[Date]])</f>
        <v>Q1 2025</v>
      </c>
      <c r="I142" s="2" t="str">
        <f>VLOOKUP(Table2[[#This Row],[Date]],Table7[],3)</f>
        <v>Q4 2024</v>
      </c>
    </row>
    <row r="143" spans="1:9" x14ac:dyDescent="0.25">
      <c r="A143" s="3" t="s">
        <v>6</v>
      </c>
      <c r="B143" s="3">
        <v>45716</v>
      </c>
      <c r="C143" s="6">
        <v>172</v>
      </c>
      <c r="D143" s="2">
        <f>LEN(Table2[[#This Row],[CLID]])</f>
        <v>7</v>
      </c>
      <c r="E143" s="2" t="str">
        <f>_xlfn.XLOOKUP('Volume Data'!A:A,'Geo Data'!D:D,'Geo Data'!B:B)</f>
        <v>GEO1004</v>
      </c>
      <c r="F143" s="2" t="str">
        <f>INDEX(GeoByClient[GEOID],MATCH(Table2[[#This Row],[CLID]],GeoByClient[Right],0))</f>
        <v>GEO1004</v>
      </c>
      <c r="G143" s="2" t="str">
        <f>_xlfn.XLOOKUP(Table2[[#This Row],[Xlookup Region ID]],GEONames[GEOID],GEONames[GEO Name])</f>
        <v>LATAM</v>
      </c>
      <c r="H143" s="2" t="str">
        <f>"Q"&amp;ROUNDUP(MONTH(Table2[[#This Row],[Date]])/3,0)&amp;" "&amp;YEAR(Table2[[#This Row],[Date]])</f>
        <v>Q1 2025</v>
      </c>
      <c r="I143" s="2" t="str">
        <f>VLOOKUP(Table2[[#This Row],[Date]],Table7[],3)</f>
        <v>Q4 2024</v>
      </c>
    </row>
    <row r="144" spans="1:9" x14ac:dyDescent="0.25">
      <c r="A144" s="3" t="s">
        <v>6</v>
      </c>
      <c r="B144" s="3">
        <v>45688</v>
      </c>
      <c r="C144" s="6">
        <v>190</v>
      </c>
      <c r="D144" s="2">
        <f>LEN(Table2[[#This Row],[CLID]])</f>
        <v>7</v>
      </c>
      <c r="E144" s="2" t="str">
        <f>_xlfn.XLOOKUP('Volume Data'!A:A,'Geo Data'!D:D,'Geo Data'!B:B)</f>
        <v>GEO1004</v>
      </c>
      <c r="F144" s="2" t="str">
        <f>INDEX(GeoByClient[GEOID],MATCH(Table2[[#This Row],[CLID]],GeoByClient[Right],0))</f>
        <v>GEO1004</v>
      </c>
      <c r="G144" s="2" t="str">
        <f>_xlfn.XLOOKUP(Table2[[#This Row],[Xlookup Region ID]],GEONames[GEOID],GEONames[GEO Name])</f>
        <v>LATAM</v>
      </c>
      <c r="H144" s="2" t="str">
        <f>"Q"&amp;ROUNDUP(MONTH(Table2[[#This Row],[Date]])/3,0)&amp;" "&amp;YEAR(Table2[[#This Row],[Date]])</f>
        <v>Q1 2025</v>
      </c>
      <c r="I144" s="2" t="str">
        <f>VLOOKUP(Table2[[#This Row],[Date]],Table7[],3)</f>
        <v>Q4 2024</v>
      </c>
    </row>
    <row r="145" spans="1:9" x14ac:dyDescent="0.25">
      <c r="A145" s="3" t="s">
        <v>15</v>
      </c>
      <c r="B145" s="3">
        <v>45322</v>
      </c>
      <c r="C145" s="6">
        <v>391</v>
      </c>
      <c r="D145" s="2">
        <f>LEN(Table2[[#This Row],[CLID]])</f>
        <v>7</v>
      </c>
      <c r="E145" s="2" t="str">
        <f>_xlfn.XLOOKUP('Volume Data'!A:A,'Geo Data'!D:D,'Geo Data'!B:B)</f>
        <v>GEO1003</v>
      </c>
      <c r="F145" s="2" t="str">
        <f>INDEX(GeoByClient[GEOID],MATCH(Table2[[#This Row],[CLID]],GeoByClient[Right],0))</f>
        <v>GEO1003</v>
      </c>
      <c r="G145" s="2" t="str">
        <f>_xlfn.XLOOKUP(Table2[[#This Row],[Xlookup Region ID]],GEONames[GEOID],GEONames[GEO Name])</f>
        <v>EMEA</v>
      </c>
      <c r="H145" s="2" t="str">
        <f>"Q"&amp;ROUNDUP(MONTH(Table2[[#This Row],[Date]])/3,0)&amp;" "&amp;YEAR(Table2[[#This Row],[Date]])</f>
        <v>Q1 2024</v>
      </c>
      <c r="I145" s="2" t="str">
        <f>VLOOKUP(Table2[[#This Row],[Date]],Table7[],3)</f>
        <v>Q1 2024</v>
      </c>
    </row>
    <row r="146" spans="1:9" x14ac:dyDescent="0.25">
      <c r="A146" s="3" t="s">
        <v>15</v>
      </c>
      <c r="B146" s="3">
        <v>45351</v>
      </c>
      <c r="C146" s="6">
        <v>553</v>
      </c>
      <c r="D146" s="2">
        <f>LEN(Table2[[#This Row],[CLID]])</f>
        <v>7</v>
      </c>
      <c r="E146" s="2" t="str">
        <f>_xlfn.XLOOKUP('Volume Data'!A:A,'Geo Data'!D:D,'Geo Data'!B:B)</f>
        <v>GEO1003</v>
      </c>
      <c r="F146" s="2" t="str">
        <f>INDEX(GeoByClient[GEOID],MATCH(Table2[[#This Row],[CLID]],GeoByClient[Right],0))</f>
        <v>GEO1003</v>
      </c>
      <c r="G146" s="2" t="str">
        <f>_xlfn.XLOOKUP(Table2[[#This Row],[Xlookup Region ID]],GEONames[GEOID],GEONames[GEO Name])</f>
        <v>EMEA</v>
      </c>
      <c r="H146" s="2" t="str">
        <f>"Q"&amp;ROUNDUP(MONTH(Table2[[#This Row],[Date]])/3,0)&amp;" "&amp;YEAR(Table2[[#This Row],[Date]])</f>
        <v>Q1 2024</v>
      </c>
      <c r="I146" s="2" t="str">
        <f>VLOOKUP(Table2[[#This Row],[Date]],Table7[],3)</f>
        <v>Q1 2024</v>
      </c>
    </row>
    <row r="147" spans="1:9" x14ac:dyDescent="0.25">
      <c r="A147" s="3" t="s">
        <v>15</v>
      </c>
      <c r="B147" s="3">
        <v>45382</v>
      </c>
      <c r="C147" s="6">
        <v>498</v>
      </c>
      <c r="D147" s="2">
        <f>LEN(Table2[[#This Row],[CLID]])</f>
        <v>7</v>
      </c>
      <c r="E147" s="2" t="str">
        <f>_xlfn.XLOOKUP('Volume Data'!A:A,'Geo Data'!D:D,'Geo Data'!B:B)</f>
        <v>GEO1003</v>
      </c>
      <c r="F147" s="2" t="str">
        <f>INDEX(GeoByClient[GEOID],MATCH(Table2[[#This Row],[CLID]],GeoByClient[Right],0))</f>
        <v>GEO1003</v>
      </c>
      <c r="G147" s="2" t="str">
        <f>_xlfn.XLOOKUP(Table2[[#This Row],[Xlookup Region ID]],GEONames[GEOID],GEONames[GEO Name])</f>
        <v>EMEA</v>
      </c>
      <c r="H147" s="2" t="str">
        <f>"Q"&amp;ROUNDUP(MONTH(Table2[[#This Row],[Date]])/3,0)&amp;" "&amp;YEAR(Table2[[#This Row],[Date]])</f>
        <v>Q1 2024</v>
      </c>
      <c r="I147" s="2" t="str">
        <f>VLOOKUP(Table2[[#This Row],[Date]],Table7[],3)</f>
        <v>Q1 2024</v>
      </c>
    </row>
    <row r="148" spans="1:9" x14ac:dyDescent="0.25">
      <c r="A148" s="3" t="s">
        <v>15</v>
      </c>
      <c r="B148" s="3">
        <v>45412</v>
      </c>
      <c r="C148" s="6">
        <v>719</v>
      </c>
      <c r="D148" s="2">
        <f>LEN(Table2[[#This Row],[CLID]])</f>
        <v>7</v>
      </c>
      <c r="E148" s="2" t="str">
        <f>_xlfn.XLOOKUP('Volume Data'!A:A,'Geo Data'!D:D,'Geo Data'!B:B)</f>
        <v>GEO1003</v>
      </c>
      <c r="F148" s="2" t="str">
        <f>INDEX(GeoByClient[GEOID],MATCH(Table2[[#This Row],[CLID]],GeoByClient[Right],0))</f>
        <v>GEO1003</v>
      </c>
      <c r="G148" s="2" t="str">
        <f>_xlfn.XLOOKUP(Table2[[#This Row],[Xlookup Region ID]],GEONames[GEOID],GEONames[GEO Name])</f>
        <v>EMEA</v>
      </c>
      <c r="H148" s="2" t="str">
        <f>"Q"&amp;ROUNDUP(MONTH(Table2[[#This Row],[Date]])/3,0)&amp;" "&amp;YEAR(Table2[[#This Row],[Date]])</f>
        <v>Q2 2024</v>
      </c>
      <c r="I148" s="2" t="str">
        <f>VLOOKUP(Table2[[#This Row],[Date]],Table7[],3)</f>
        <v>Q2 2024</v>
      </c>
    </row>
    <row r="149" spans="1:9" x14ac:dyDescent="0.25">
      <c r="A149" s="3" t="s">
        <v>15</v>
      </c>
      <c r="B149" s="3">
        <v>45443</v>
      </c>
      <c r="C149" s="6">
        <v>555</v>
      </c>
      <c r="D149" s="2">
        <f>LEN(Table2[[#This Row],[CLID]])</f>
        <v>7</v>
      </c>
      <c r="E149" s="2" t="str">
        <f>_xlfn.XLOOKUP('Volume Data'!A:A,'Geo Data'!D:D,'Geo Data'!B:B)</f>
        <v>GEO1003</v>
      </c>
      <c r="F149" s="2" t="str">
        <f>INDEX(GeoByClient[GEOID],MATCH(Table2[[#This Row],[CLID]],GeoByClient[Right],0))</f>
        <v>GEO1003</v>
      </c>
      <c r="G149" s="2" t="str">
        <f>_xlfn.XLOOKUP(Table2[[#This Row],[Xlookup Region ID]],GEONames[GEOID],GEONames[GEO Name])</f>
        <v>EMEA</v>
      </c>
      <c r="H149" s="2" t="str">
        <f>"Q"&amp;ROUNDUP(MONTH(Table2[[#This Row],[Date]])/3,0)&amp;" "&amp;YEAR(Table2[[#This Row],[Date]])</f>
        <v>Q2 2024</v>
      </c>
      <c r="I149" s="2" t="str">
        <f>VLOOKUP(Table2[[#This Row],[Date]],Table7[],3)</f>
        <v>Q2 2024</v>
      </c>
    </row>
    <row r="150" spans="1:9" x14ac:dyDescent="0.25">
      <c r="A150" s="3" t="s">
        <v>15</v>
      </c>
      <c r="B150" s="3">
        <v>45473</v>
      </c>
      <c r="C150" s="6">
        <v>499</v>
      </c>
      <c r="D150" s="2">
        <f>LEN(Table2[[#This Row],[CLID]])</f>
        <v>7</v>
      </c>
      <c r="E150" s="2" t="str">
        <f>_xlfn.XLOOKUP('Volume Data'!A:A,'Geo Data'!D:D,'Geo Data'!B:B)</f>
        <v>GEO1003</v>
      </c>
      <c r="F150" s="2" t="str">
        <f>INDEX(GeoByClient[GEOID],MATCH(Table2[[#This Row],[CLID]],GeoByClient[Right],0))</f>
        <v>GEO1003</v>
      </c>
      <c r="G150" s="2" t="str">
        <f>_xlfn.XLOOKUP(Table2[[#This Row],[Xlookup Region ID]],GEONames[GEOID],GEONames[GEO Name])</f>
        <v>EMEA</v>
      </c>
      <c r="H150" s="2" t="str">
        <f>"Q"&amp;ROUNDUP(MONTH(Table2[[#This Row],[Date]])/3,0)&amp;" "&amp;YEAR(Table2[[#This Row],[Date]])</f>
        <v>Q2 2024</v>
      </c>
      <c r="I150" s="2" t="str">
        <f>VLOOKUP(Table2[[#This Row],[Date]],Table7[],3)</f>
        <v>Q2 2024</v>
      </c>
    </row>
    <row r="151" spans="1:9" x14ac:dyDescent="0.25">
      <c r="A151" s="3" t="s">
        <v>15</v>
      </c>
      <c r="B151" s="3">
        <v>45504</v>
      </c>
      <c r="C151" s="6">
        <v>338</v>
      </c>
      <c r="D151" s="2">
        <f>LEN(Table2[[#This Row],[CLID]])</f>
        <v>7</v>
      </c>
      <c r="E151" s="2" t="str">
        <f>_xlfn.XLOOKUP('Volume Data'!A:A,'Geo Data'!D:D,'Geo Data'!B:B)</f>
        <v>GEO1003</v>
      </c>
      <c r="F151" s="2" t="str">
        <f>INDEX(GeoByClient[GEOID],MATCH(Table2[[#This Row],[CLID]],GeoByClient[Right],0))</f>
        <v>GEO1003</v>
      </c>
      <c r="G151" s="2" t="str">
        <f>_xlfn.XLOOKUP(Table2[[#This Row],[Xlookup Region ID]],GEONames[GEOID],GEONames[GEO Name])</f>
        <v>EMEA</v>
      </c>
      <c r="H151" s="2" t="str">
        <f>"Q"&amp;ROUNDUP(MONTH(Table2[[#This Row],[Date]])/3,0)&amp;" "&amp;YEAR(Table2[[#This Row],[Date]])</f>
        <v>Q3 2024</v>
      </c>
      <c r="I151" s="2" t="str">
        <f>VLOOKUP(Table2[[#This Row],[Date]],Table7[],3)</f>
        <v>Q3 2024</v>
      </c>
    </row>
    <row r="152" spans="1:9" x14ac:dyDescent="0.25">
      <c r="A152" s="3" t="s">
        <v>15</v>
      </c>
      <c r="B152" s="3">
        <v>45535</v>
      </c>
      <c r="C152" s="6">
        <v>391</v>
      </c>
      <c r="D152" s="2">
        <f>LEN(Table2[[#This Row],[CLID]])</f>
        <v>7</v>
      </c>
      <c r="E152" s="2" t="str">
        <f>_xlfn.XLOOKUP('Volume Data'!A:A,'Geo Data'!D:D,'Geo Data'!B:B)</f>
        <v>GEO1003</v>
      </c>
      <c r="F152" s="2" t="str">
        <f>INDEX(GeoByClient[GEOID],MATCH(Table2[[#This Row],[CLID]],GeoByClient[Right],0))</f>
        <v>GEO1003</v>
      </c>
      <c r="G152" s="2" t="str">
        <f>_xlfn.XLOOKUP(Table2[[#This Row],[Xlookup Region ID]],GEONames[GEOID],GEONames[GEO Name])</f>
        <v>EMEA</v>
      </c>
      <c r="H152" s="2" t="str">
        <f>"Q"&amp;ROUNDUP(MONTH(Table2[[#This Row],[Date]])/3,0)&amp;" "&amp;YEAR(Table2[[#This Row],[Date]])</f>
        <v>Q3 2024</v>
      </c>
      <c r="I152" s="2" t="str">
        <f>VLOOKUP(Table2[[#This Row],[Date]],Table7[],3)</f>
        <v>Q3 2024</v>
      </c>
    </row>
    <row r="153" spans="1:9" x14ac:dyDescent="0.25">
      <c r="A153" s="3" t="s">
        <v>15</v>
      </c>
      <c r="B153" s="3">
        <v>45565</v>
      </c>
      <c r="C153" s="6">
        <v>279</v>
      </c>
      <c r="D153" s="2">
        <f>LEN(Table2[[#This Row],[CLID]])</f>
        <v>7</v>
      </c>
      <c r="E153" s="2" t="str">
        <f>_xlfn.XLOOKUP('Volume Data'!A:A,'Geo Data'!D:D,'Geo Data'!B:B)</f>
        <v>GEO1003</v>
      </c>
      <c r="F153" s="2" t="str">
        <f>INDEX(GeoByClient[GEOID],MATCH(Table2[[#This Row],[CLID]],GeoByClient[Right],0))</f>
        <v>GEO1003</v>
      </c>
      <c r="G153" s="2" t="str">
        <f>_xlfn.XLOOKUP(Table2[[#This Row],[Xlookup Region ID]],GEONames[GEOID],GEONames[GEO Name])</f>
        <v>EMEA</v>
      </c>
      <c r="H153" s="2" t="str">
        <f>"Q"&amp;ROUNDUP(MONTH(Table2[[#This Row],[Date]])/3,0)&amp;" "&amp;YEAR(Table2[[#This Row],[Date]])</f>
        <v>Q3 2024</v>
      </c>
      <c r="I153" s="2" t="str">
        <f>VLOOKUP(Table2[[#This Row],[Date]],Table7[],3)</f>
        <v>Q3 2024</v>
      </c>
    </row>
    <row r="154" spans="1:9" x14ac:dyDescent="0.25">
      <c r="A154" s="3" t="s">
        <v>15</v>
      </c>
      <c r="B154" s="3">
        <v>45596</v>
      </c>
      <c r="C154" s="6">
        <v>447</v>
      </c>
      <c r="D154" s="2">
        <f>LEN(Table2[[#This Row],[CLID]])</f>
        <v>7</v>
      </c>
      <c r="E154" s="2" t="str">
        <f>_xlfn.XLOOKUP('Volume Data'!A:A,'Geo Data'!D:D,'Geo Data'!B:B)</f>
        <v>GEO1003</v>
      </c>
      <c r="F154" s="2" t="str">
        <f>INDEX(GeoByClient[GEOID],MATCH(Table2[[#This Row],[CLID]],GeoByClient[Right],0))</f>
        <v>GEO1003</v>
      </c>
      <c r="G154" s="2" t="str">
        <f>_xlfn.XLOOKUP(Table2[[#This Row],[Xlookup Region ID]],GEONames[GEOID],GEONames[GEO Name])</f>
        <v>EMEA</v>
      </c>
      <c r="H154" s="2" t="str">
        <f>"Q"&amp;ROUNDUP(MONTH(Table2[[#This Row],[Date]])/3,0)&amp;" "&amp;YEAR(Table2[[#This Row],[Date]])</f>
        <v>Q4 2024</v>
      </c>
      <c r="I154" s="2" t="str">
        <f>VLOOKUP(Table2[[#This Row],[Date]],Table7[],3)</f>
        <v>Q4 2024</v>
      </c>
    </row>
    <row r="155" spans="1:9" x14ac:dyDescent="0.25">
      <c r="A155" s="3" t="s">
        <v>15</v>
      </c>
      <c r="B155" s="3">
        <v>45626</v>
      </c>
      <c r="C155" s="6">
        <v>390</v>
      </c>
      <c r="D155" s="2">
        <f>LEN(Table2[[#This Row],[CLID]])</f>
        <v>7</v>
      </c>
      <c r="E155" s="2" t="str">
        <f>_xlfn.XLOOKUP('Volume Data'!A:A,'Geo Data'!D:D,'Geo Data'!B:B)</f>
        <v>GEO1003</v>
      </c>
      <c r="F155" s="2" t="str">
        <f>INDEX(GeoByClient[GEOID],MATCH(Table2[[#This Row],[CLID]],GeoByClient[Right],0))</f>
        <v>GEO1003</v>
      </c>
      <c r="G155" s="2" t="str">
        <f>_xlfn.XLOOKUP(Table2[[#This Row],[Xlookup Region ID]],GEONames[GEOID],GEONames[GEO Name])</f>
        <v>EMEA</v>
      </c>
      <c r="H155" s="2" t="str">
        <f>"Q"&amp;ROUNDUP(MONTH(Table2[[#This Row],[Date]])/3,0)&amp;" "&amp;YEAR(Table2[[#This Row],[Date]])</f>
        <v>Q4 2024</v>
      </c>
      <c r="I155" s="2" t="str">
        <f>VLOOKUP(Table2[[#This Row],[Date]],Table7[],3)</f>
        <v>Q4 2024</v>
      </c>
    </row>
    <row r="156" spans="1:9" x14ac:dyDescent="0.25">
      <c r="A156" s="3" t="s">
        <v>15</v>
      </c>
      <c r="B156" s="3">
        <v>45657</v>
      </c>
      <c r="C156" s="6">
        <v>500</v>
      </c>
      <c r="D156" s="2">
        <f>LEN(Table2[[#This Row],[CLID]])</f>
        <v>7</v>
      </c>
      <c r="E156" s="2" t="str">
        <f>_xlfn.XLOOKUP('Volume Data'!A:A,'Geo Data'!D:D,'Geo Data'!B:B)</f>
        <v>GEO1003</v>
      </c>
      <c r="F156" s="2" t="str">
        <f>INDEX(GeoByClient[GEOID],MATCH(Table2[[#This Row],[CLID]],GeoByClient[Right],0))</f>
        <v>GEO1003</v>
      </c>
      <c r="G156" s="2" t="str">
        <f>_xlfn.XLOOKUP(Table2[[#This Row],[Xlookup Region ID]],GEONames[GEOID],GEONames[GEO Name])</f>
        <v>EMEA</v>
      </c>
      <c r="H156" s="2" t="str">
        <f>"Q"&amp;ROUNDUP(MONTH(Table2[[#This Row],[Date]])/3,0)&amp;" "&amp;YEAR(Table2[[#This Row],[Date]])</f>
        <v>Q4 2024</v>
      </c>
      <c r="I156" s="2" t="str">
        <f>VLOOKUP(Table2[[#This Row],[Date]],Table7[],3)</f>
        <v>Q4 2024</v>
      </c>
    </row>
    <row r="157" spans="1:9" x14ac:dyDescent="0.25">
      <c r="A157" s="3" t="s">
        <v>15</v>
      </c>
      <c r="B157" s="3">
        <v>45838</v>
      </c>
      <c r="C157" s="6">
        <v>505</v>
      </c>
      <c r="D157" s="2">
        <f>LEN(Table2[[#This Row],[CLID]])</f>
        <v>7</v>
      </c>
      <c r="E157" s="2" t="str">
        <f>_xlfn.XLOOKUP('Volume Data'!A:A,'Geo Data'!D:D,'Geo Data'!B:B)</f>
        <v>GEO1003</v>
      </c>
      <c r="F157" s="2" t="str">
        <f>INDEX(GeoByClient[GEOID],MATCH(Table2[[#This Row],[CLID]],GeoByClient[Right],0))</f>
        <v>GEO1003</v>
      </c>
      <c r="G157" s="2" t="str">
        <f>_xlfn.XLOOKUP(Table2[[#This Row],[Xlookup Region ID]],GEONames[GEOID],GEONames[GEO Name])</f>
        <v>EMEA</v>
      </c>
      <c r="H157" s="2" t="str">
        <f>"Q"&amp;ROUNDUP(MONTH(Table2[[#This Row],[Date]])/3,0)&amp;" "&amp;YEAR(Table2[[#This Row],[Date]])</f>
        <v>Q2 2025</v>
      </c>
      <c r="I157" s="2" t="str">
        <f>VLOOKUP(Table2[[#This Row],[Date]],Table7[],3)</f>
        <v>Q2 2025</v>
      </c>
    </row>
    <row r="158" spans="1:9" x14ac:dyDescent="0.25">
      <c r="A158" s="3" t="s">
        <v>15</v>
      </c>
      <c r="B158" s="3">
        <v>45808</v>
      </c>
      <c r="C158" s="6">
        <v>574</v>
      </c>
      <c r="D158" s="2">
        <f>LEN(Table2[[#This Row],[CLID]])</f>
        <v>7</v>
      </c>
      <c r="E158" s="2" t="str">
        <f>_xlfn.XLOOKUP('Volume Data'!A:A,'Geo Data'!D:D,'Geo Data'!B:B)</f>
        <v>GEO1003</v>
      </c>
      <c r="F158" s="2" t="str">
        <f>INDEX(GeoByClient[GEOID],MATCH(Table2[[#This Row],[CLID]],GeoByClient[Right],0))</f>
        <v>GEO1003</v>
      </c>
      <c r="G158" s="2" t="str">
        <f>_xlfn.XLOOKUP(Table2[[#This Row],[Xlookup Region ID]],GEONames[GEOID],GEONames[GEO Name])</f>
        <v>EMEA</v>
      </c>
      <c r="H158" s="2" t="str">
        <f>"Q"&amp;ROUNDUP(MONTH(Table2[[#This Row],[Date]])/3,0)&amp;" "&amp;YEAR(Table2[[#This Row],[Date]])</f>
        <v>Q2 2025</v>
      </c>
      <c r="I158" s="2" t="str">
        <f>VLOOKUP(Table2[[#This Row],[Date]],Table7[],3)</f>
        <v>Q2 2025</v>
      </c>
    </row>
    <row r="159" spans="1:9" x14ac:dyDescent="0.25">
      <c r="A159" s="3" t="s">
        <v>15</v>
      </c>
      <c r="B159" s="3">
        <v>45777</v>
      </c>
      <c r="C159" s="6">
        <v>747</v>
      </c>
      <c r="D159" s="2">
        <f>LEN(Table2[[#This Row],[CLID]])</f>
        <v>7</v>
      </c>
      <c r="E159" s="2" t="str">
        <f>_xlfn.XLOOKUP('Volume Data'!A:A,'Geo Data'!D:D,'Geo Data'!B:B)</f>
        <v>GEO1003</v>
      </c>
      <c r="F159" s="2" t="str">
        <f>INDEX(GeoByClient[GEOID],MATCH(Table2[[#This Row],[CLID]],GeoByClient[Right],0))</f>
        <v>GEO1003</v>
      </c>
      <c r="G159" s="2" t="str">
        <f>_xlfn.XLOOKUP(Table2[[#This Row],[Xlookup Region ID]],GEONames[GEOID],GEONames[GEO Name])</f>
        <v>EMEA</v>
      </c>
      <c r="H159" s="2" t="str">
        <f>"Q"&amp;ROUNDUP(MONTH(Table2[[#This Row],[Date]])/3,0)&amp;" "&amp;YEAR(Table2[[#This Row],[Date]])</f>
        <v>Q2 2025</v>
      </c>
      <c r="I159" s="2" t="str">
        <f>VLOOKUP(Table2[[#This Row],[Date]],Table7[],3)</f>
        <v>Q2 2025</v>
      </c>
    </row>
    <row r="160" spans="1:9" x14ac:dyDescent="0.25">
      <c r="A160" s="3" t="s">
        <v>15</v>
      </c>
      <c r="B160" s="3">
        <v>45747</v>
      </c>
      <c r="C160" s="6">
        <v>515</v>
      </c>
      <c r="D160" s="2">
        <f>LEN(Table2[[#This Row],[CLID]])</f>
        <v>7</v>
      </c>
      <c r="E160" s="2" t="str">
        <f>_xlfn.XLOOKUP('Volume Data'!A:A,'Geo Data'!D:D,'Geo Data'!B:B)</f>
        <v>GEO1003</v>
      </c>
      <c r="F160" s="2" t="str">
        <f>INDEX(GeoByClient[GEOID],MATCH(Table2[[#This Row],[CLID]],GeoByClient[Right],0))</f>
        <v>GEO1003</v>
      </c>
      <c r="G160" s="2" t="str">
        <f>_xlfn.XLOOKUP(Table2[[#This Row],[Xlookup Region ID]],GEONames[GEOID],GEONames[GEO Name])</f>
        <v>EMEA</v>
      </c>
      <c r="H160" s="2" t="str">
        <f>"Q"&amp;ROUNDUP(MONTH(Table2[[#This Row],[Date]])/3,0)&amp;" "&amp;YEAR(Table2[[#This Row],[Date]])</f>
        <v>Q1 2025</v>
      </c>
      <c r="I160" s="2" t="str">
        <f>VLOOKUP(Table2[[#This Row],[Date]],Table7[],3)</f>
        <v>Q4 2024</v>
      </c>
    </row>
    <row r="161" spans="1:9" x14ac:dyDescent="0.25">
      <c r="A161" s="3" t="s">
        <v>15</v>
      </c>
      <c r="B161" s="3">
        <v>45716</v>
      </c>
      <c r="C161" s="6">
        <v>564</v>
      </c>
      <c r="D161" s="2">
        <f>LEN(Table2[[#This Row],[CLID]])</f>
        <v>7</v>
      </c>
      <c r="E161" s="2" t="str">
        <f>_xlfn.XLOOKUP('Volume Data'!A:A,'Geo Data'!D:D,'Geo Data'!B:B)</f>
        <v>GEO1003</v>
      </c>
      <c r="F161" s="2" t="str">
        <f>INDEX(GeoByClient[GEOID],MATCH(Table2[[#This Row],[CLID]],GeoByClient[Right],0))</f>
        <v>GEO1003</v>
      </c>
      <c r="G161" s="2" t="str">
        <f>_xlfn.XLOOKUP(Table2[[#This Row],[Xlookup Region ID]],GEONames[GEOID],GEONames[GEO Name])</f>
        <v>EMEA</v>
      </c>
      <c r="H161" s="2" t="str">
        <f>"Q"&amp;ROUNDUP(MONTH(Table2[[#This Row],[Date]])/3,0)&amp;" "&amp;YEAR(Table2[[#This Row],[Date]])</f>
        <v>Q1 2025</v>
      </c>
      <c r="I161" s="2" t="str">
        <f>VLOOKUP(Table2[[#This Row],[Date]],Table7[],3)</f>
        <v>Q4 2024</v>
      </c>
    </row>
    <row r="162" spans="1:9" x14ac:dyDescent="0.25">
      <c r="A162" s="3" t="s">
        <v>15</v>
      </c>
      <c r="B162" s="3">
        <v>45688</v>
      </c>
      <c r="C162" s="6">
        <v>404</v>
      </c>
      <c r="D162" s="2">
        <f>LEN(Table2[[#This Row],[CLID]])</f>
        <v>7</v>
      </c>
      <c r="E162" s="2" t="str">
        <f>_xlfn.XLOOKUP('Volume Data'!A:A,'Geo Data'!D:D,'Geo Data'!B:B)</f>
        <v>GEO1003</v>
      </c>
      <c r="F162" s="2" t="str">
        <f>INDEX(GeoByClient[GEOID],MATCH(Table2[[#This Row],[CLID]],GeoByClient[Right],0))</f>
        <v>GEO1003</v>
      </c>
      <c r="G162" s="2" t="str">
        <f>_xlfn.XLOOKUP(Table2[[#This Row],[Xlookup Region ID]],GEONames[GEOID],GEONames[GEO Name])</f>
        <v>EMEA</v>
      </c>
      <c r="H162" s="2" t="str">
        <f>"Q"&amp;ROUNDUP(MONTH(Table2[[#This Row],[Date]])/3,0)&amp;" "&amp;YEAR(Table2[[#This Row],[Date]])</f>
        <v>Q1 2025</v>
      </c>
      <c r="I162" s="2" t="str">
        <f>VLOOKUP(Table2[[#This Row],[Date]],Table7[],3)</f>
        <v>Q4 2024</v>
      </c>
    </row>
    <row r="163" spans="1:9" x14ac:dyDescent="0.25">
      <c r="A163" s="3" t="s">
        <v>36</v>
      </c>
      <c r="B163" s="3">
        <v>45322</v>
      </c>
      <c r="C163" s="6">
        <v>16996</v>
      </c>
      <c r="D163" s="2">
        <f>LEN(Table2[[#This Row],[CLID]])</f>
        <v>7</v>
      </c>
      <c r="E163" s="2" t="str">
        <f>_xlfn.XLOOKUP('Volume Data'!A:A,'Geo Data'!D:D,'Geo Data'!B:B)</f>
        <v>GEO1001</v>
      </c>
      <c r="F163" s="2" t="str">
        <f>INDEX(GeoByClient[GEOID],MATCH(Table2[[#This Row],[CLID]],GeoByClient[Right],0))</f>
        <v>GEO1001</v>
      </c>
      <c r="G163" s="2" t="str">
        <f>_xlfn.XLOOKUP(Table2[[#This Row],[Xlookup Region ID]],GEONames[GEOID],GEONames[GEO Name])</f>
        <v>NAM</v>
      </c>
      <c r="H163" s="2" t="str">
        <f>"Q"&amp;ROUNDUP(MONTH(Table2[[#This Row],[Date]])/3,0)&amp;" "&amp;YEAR(Table2[[#This Row],[Date]])</f>
        <v>Q1 2024</v>
      </c>
      <c r="I163" s="2" t="str">
        <f>VLOOKUP(Table2[[#This Row],[Date]],Table7[],3)</f>
        <v>Q1 2024</v>
      </c>
    </row>
    <row r="164" spans="1:9" x14ac:dyDescent="0.25">
      <c r="A164" s="3" t="s">
        <v>36</v>
      </c>
      <c r="B164" s="3">
        <v>45351</v>
      </c>
      <c r="C164" s="6">
        <v>19114</v>
      </c>
      <c r="D164" s="2">
        <f>LEN(Table2[[#This Row],[CLID]])</f>
        <v>7</v>
      </c>
      <c r="E164" s="2" t="str">
        <f>_xlfn.XLOOKUP('Volume Data'!A:A,'Geo Data'!D:D,'Geo Data'!B:B)</f>
        <v>GEO1001</v>
      </c>
      <c r="F164" s="2" t="str">
        <f>INDEX(GeoByClient[GEOID],MATCH(Table2[[#This Row],[CLID]],GeoByClient[Right],0))</f>
        <v>GEO1001</v>
      </c>
      <c r="G164" s="2" t="str">
        <f>_xlfn.XLOOKUP(Table2[[#This Row],[Xlookup Region ID]],GEONames[GEOID],GEONames[GEO Name])</f>
        <v>NAM</v>
      </c>
      <c r="H164" s="2" t="str">
        <f>"Q"&amp;ROUNDUP(MONTH(Table2[[#This Row],[Date]])/3,0)&amp;" "&amp;YEAR(Table2[[#This Row],[Date]])</f>
        <v>Q1 2024</v>
      </c>
      <c r="I164" s="2" t="str">
        <f>VLOOKUP(Table2[[#This Row],[Date]],Table7[],3)</f>
        <v>Q1 2024</v>
      </c>
    </row>
    <row r="165" spans="1:9" x14ac:dyDescent="0.25">
      <c r="A165" s="3" t="s">
        <v>36</v>
      </c>
      <c r="B165" s="3">
        <v>45382</v>
      </c>
      <c r="C165" s="6">
        <v>21243</v>
      </c>
      <c r="D165" s="2">
        <f>LEN(Table2[[#This Row],[CLID]])</f>
        <v>7</v>
      </c>
      <c r="E165" s="2" t="str">
        <f>_xlfn.XLOOKUP('Volume Data'!A:A,'Geo Data'!D:D,'Geo Data'!B:B)</f>
        <v>GEO1001</v>
      </c>
      <c r="F165" s="2" t="str">
        <f>INDEX(GeoByClient[GEOID],MATCH(Table2[[#This Row],[CLID]],GeoByClient[Right],0))</f>
        <v>GEO1001</v>
      </c>
      <c r="G165" s="2" t="str">
        <f>_xlfn.XLOOKUP(Table2[[#This Row],[Xlookup Region ID]],GEONames[GEOID],GEONames[GEO Name])</f>
        <v>NAM</v>
      </c>
      <c r="H165" s="2" t="str">
        <f>"Q"&amp;ROUNDUP(MONTH(Table2[[#This Row],[Date]])/3,0)&amp;" "&amp;YEAR(Table2[[#This Row],[Date]])</f>
        <v>Q1 2024</v>
      </c>
      <c r="I165" s="2" t="str">
        <f>VLOOKUP(Table2[[#This Row],[Date]],Table7[],3)</f>
        <v>Q1 2024</v>
      </c>
    </row>
    <row r="166" spans="1:9" x14ac:dyDescent="0.25">
      <c r="A166" s="3" t="s">
        <v>36</v>
      </c>
      <c r="B166" s="3">
        <v>45412</v>
      </c>
      <c r="C166" s="6">
        <v>25486</v>
      </c>
      <c r="D166" s="2">
        <f>LEN(Table2[[#This Row],[CLID]])</f>
        <v>7</v>
      </c>
      <c r="E166" s="2" t="str">
        <f>_xlfn.XLOOKUP('Volume Data'!A:A,'Geo Data'!D:D,'Geo Data'!B:B)</f>
        <v>GEO1001</v>
      </c>
      <c r="F166" s="2" t="str">
        <f>INDEX(GeoByClient[GEOID],MATCH(Table2[[#This Row],[CLID]],GeoByClient[Right],0))</f>
        <v>GEO1001</v>
      </c>
      <c r="G166" s="2" t="str">
        <f>_xlfn.XLOOKUP(Table2[[#This Row],[Xlookup Region ID]],GEONames[GEOID],GEONames[GEO Name])</f>
        <v>NAM</v>
      </c>
      <c r="H166" s="2" t="str">
        <f>"Q"&amp;ROUNDUP(MONTH(Table2[[#This Row],[Date]])/3,0)&amp;" "&amp;YEAR(Table2[[#This Row],[Date]])</f>
        <v>Q2 2024</v>
      </c>
      <c r="I166" s="2" t="str">
        <f>VLOOKUP(Table2[[#This Row],[Date]],Table7[],3)</f>
        <v>Q2 2024</v>
      </c>
    </row>
    <row r="167" spans="1:9" x14ac:dyDescent="0.25">
      <c r="A167" s="3" t="s">
        <v>36</v>
      </c>
      <c r="B167" s="3">
        <v>45443</v>
      </c>
      <c r="C167" s="6">
        <v>23366</v>
      </c>
      <c r="D167" s="2">
        <f>LEN(Table2[[#This Row],[CLID]])</f>
        <v>7</v>
      </c>
      <c r="E167" s="2" t="str">
        <f>_xlfn.XLOOKUP('Volume Data'!A:A,'Geo Data'!D:D,'Geo Data'!B:B)</f>
        <v>GEO1001</v>
      </c>
      <c r="F167" s="2" t="str">
        <f>INDEX(GeoByClient[GEOID],MATCH(Table2[[#This Row],[CLID]],GeoByClient[Right],0))</f>
        <v>GEO1001</v>
      </c>
      <c r="G167" s="2" t="str">
        <f>_xlfn.XLOOKUP(Table2[[#This Row],[Xlookup Region ID]],GEONames[GEOID],GEONames[GEO Name])</f>
        <v>NAM</v>
      </c>
      <c r="H167" s="2" t="str">
        <f>"Q"&amp;ROUNDUP(MONTH(Table2[[#This Row],[Date]])/3,0)&amp;" "&amp;YEAR(Table2[[#This Row],[Date]])</f>
        <v>Q2 2024</v>
      </c>
      <c r="I167" s="2" t="str">
        <f>VLOOKUP(Table2[[#This Row],[Date]],Table7[],3)</f>
        <v>Q2 2024</v>
      </c>
    </row>
    <row r="168" spans="1:9" x14ac:dyDescent="0.25">
      <c r="A168" s="3" t="s">
        <v>36</v>
      </c>
      <c r="B168" s="3">
        <v>45473</v>
      </c>
      <c r="C168" s="6">
        <v>16995</v>
      </c>
      <c r="D168" s="2">
        <f>LEN(Table2[[#This Row],[CLID]])</f>
        <v>7</v>
      </c>
      <c r="E168" s="2" t="str">
        <f>_xlfn.XLOOKUP('Volume Data'!A:A,'Geo Data'!D:D,'Geo Data'!B:B)</f>
        <v>GEO1001</v>
      </c>
      <c r="F168" s="2" t="str">
        <f>INDEX(GeoByClient[GEOID],MATCH(Table2[[#This Row],[CLID]],GeoByClient[Right],0))</f>
        <v>GEO1001</v>
      </c>
      <c r="G168" s="2" t="str">
        <f>_xlfn.XLOOKUP(Table2[[#This Row],[Xlookup Region ID]],GEONames[GEOID],GEONames[GEO Name])</f>
        <v>NAM</v>
      </c>
      <c r="H168" s="2" t="str">
        <f>"Q"&amp;ROUNDUP(MONTH(Table2[[#This Row],[Date]])/3,0)&amp;" "&amp;YEAR(Table2[[#This Row],[Date]])</f>
        <v>Q2 2024</v>
      </c>
      <c r="I168" s="2" t="str">
        <f>VLOOKUP(Table2[[#This Row],[Date]],Table7[],3)</f>
        <v>Q2 2024</v>
      </c>
    </row>
    <row r="169" spans="1:9" x14ac:dyDescent="0.25">
      <c r="A169" s="3" t="s">
        <v>36</v>
      </c>
      <c r="B169" s="3">
        <v>45504</v>
      </c>
      <c r="C169" s="6">
        <v>14870</v>
      </c>
      <c r="D169" s="2">
        <f>LEN(Table2[[#This Row],[CLID]])</f>
        <v>7</v>
      </c>
      <c r="E169" s="2" t="str">
        <f>_xlfn.XLOOKUP('Volume Data'!A:A,'Geo Data'!D:D,'Geo Data'!B:B)</f>
        <v>GEO1001</v>
      </c>
      <c r="F169" s="2" t="str">
        <f>INDEX(GeoByClient[GEOID],MATCH(Table2[[#This Row],[CLID]],GeoByClient[Right],0))</f>
        <v>GEO1001</v>
      </c>
      <c r="G169" s="2" t="str">
        <f>_xlfn.XLOOKUP(Table2[[#This Row],[Xlookup Region ID]],GEONames[GEOID],GEONames[GEO Name])</f>
        <v>NAM</v>
      </c>
      <c r="H169" s="2" t="str">
        <f>"Q"&amp;ROUNDUP(MONTH(Table2[[#This Row],[Date]])/3,0)&amp;" "&amp;YEAR(Table2[[#This Row],[Date]])</f>
        <v>Q3 2024</v>
      </c>
      <c r="I169" s="2" t="str">
        <f>VLOOKUP(Table2[[#This Row],[Date]],Table7[],3)</f>
        <v>Q3 2024</v>
      </c>
    </row>
    <row r="170" spans="1:9" x14ac:dyDescent="0.25">
      <c r="A170" s="3" t="s">
        <v>36</v>
      </c>
      <c r="B170" s="3">
        <v>45535</v>
      </c>
      <c r="C170" s="6">
        <v>12746</v>
      </c>
      <c r="D170" s="2">
        <f>LEN(Table2[[#This Row],[CLID]])</f>
        <v>7</v>
      </c>
      <c r="E170" s="2" t="str">
        <f>_xlfn.XLOOKUP('Volume Data'!A:A,'Geo Data'!D:D,'Geo Data'!B:B)</f>
        <v>GEO1001</v>
      </c>
      <c r="F170" s="2" t="str">
        <f>INDEX(GeoByClient[GEOID],MATCH(Table2[[#This Row],[CLID]],GeoByClient[Right],0))</f>
        <v>GEO1001</v>
      </c>
      <c r="G170" s="2" t="str">
        <f>_xlfn.XLOOKUP(Table2[[#This Row],[Xlookup Region ID]],GEONames[GEOID],GEONames[GEO Name])</f>
        <v>NAM</v>
      </c>
      <c r="H170" s="2" t="str">
        <f>"Q"&amp;ROUNDUP(MONTH(Table2[[#This Row],[Date]])/3,0)&amp;" "&amp;YEAR(Table2[[#This Row],[Date]])</f>
        <v>Q3 2024</v>
      </c>
      <c r="I170" s="2" t="str">
        <f>VLOOKUP(Table2[[#This Row],[Date]],Table7[],3)</f>
        <v>Q3 2024</v>
      </c>
    </row>
    <row r="171" spans="1:9" x14ac:dyDescent="0.25">
      <c r="A171" s="3" t="s">
        <v>36</v>
      </c>
      <c r="B171" s="3">
        <v>45565</v>
      </c>
      <c r="C171" s="6">
        <v>12748</v>
      </c>
      <c r="D171" s="2">
        <f>LEN(Table2[[#This Row],[CLID]])</f>
        <v>7</v>
      </c>
      <c r="E171" s="2" t="str">
        <f>_xlfn.XLOOKUP('Volume Data'!A:A,'Geo Data'!D:D,'Geo Data'!B:B)</f>
        <v>GEO1001</v>
      </c>
      <c r="F171" s="2" t="str">
        <f>INDEX(GeoByClient[GEOID],MATCH(Table2[[#This Row],[CLID]],GeoByClient[Right],0))</f>
        <v>GEO1001</v>
      </c>
      <c r="G171" s="2" t="str">
        <f>_xlfn.XLOOKUP(Table2[[#This Row],[Xlookup Region ID]],GEONames[GEOID],GEONames[GEO Name])</f>
        <v>NAM</v>
      </c>
      <c r="H171" s="2" t="str">
        <f>"Q"&amp;ROUNDUP(MONTH(Table2[[#This Row],[Date]])/3,0)&amp;" "&amp;YEAR(Table2[[#This Row],[Date]])</f>
        <v>Q3 2024</v>
      </c>
      <c r="I171" s="2" t="str">
        <f>VLOOKUP(Table2[[#This Row],[Date]],Table7[],3)</f>
        <v>Q3 2024</v>
      </c>
    </row>
    <row r="172" spans="1:9" x14ac:dyDescent="0.25">
      <c r="A172" s="3" t="s">
        <v>36</v>
      </c>
      <c r="B172" s="3">
        <v>45596</v>
      </c>
      <c r="C172" s="6">
        <v>14871</v>
      </c>
      <c r="D172" s="2">
        <f>LEN(Table2[[#This Row],[CLID]])</f>
        <v>7</v>
      </c>
      <c r="E172" s="2" t="str">
        <f>_xlfn.XLOOKUP('Volume Data'!A:A,'Geo Data'!D:D,'Geo Data'!B:B)</f>
        <v>GEO1001</v>
      </c>
      <c r="F172" s="2" t="str">
        <f>INDEX(GeoByClient[GEOID],MATCH(Table2[[#This Row],[CLID]],GeoByClient[Right],0))</f>
        <v>GEO1001</v>
      </c>
      <c r="G172" s="2" t="str">
        <f>_xlfn.XLOOKUP(Table2[[#This Row],[Xlookup Region ID]],GEONames[GEOID],GEONames[GEO Name])</f>
        <v>NAM</v>
      </c>
      <c r="H172" s="2" t="str">
        <f>"Q"&amp;ROUNDUP(MONTH(Table2[[#This Row],[Date]])/3,0)&amp;" "&amp;YEAR(Table2[[#This Row],[Date]])</f>
        <v>Q4 2024</v>
      </c>
      <c r="I172" s="2" t="str">
        <f>VLOOKUP(Table2[[#This Row],[Date]],Table7[],3)</f>
        <v>Q4 2024</v>
      </c>
    </row>
    <row r="173" spans="1:9" x14ac:dyDescent="0.25">
      <c r="A173" s="3" t="s">
        <v>36</v>
      </c>
      <c r="B173" s="3">
        <v>45626</v>
      </c>
      <c r="C173" s="6">
        <v>16997</v>
      </c>
      <c r="D173" s="2">
        <f>LEN(Table2[[#This Row],[CLID]])</f>
        <v>7</v>
      </c>
      <c r="E173" s="2" t="str">
        <f>_xlfn.XLOOKUP('Volume Data'!A:A,'Geo Data'!D:D,'Geo Data'!B:B)</f>
        <v>GEO1001</v>
      </c>
      <c r="F173" s="2" t="str">
        <f>INDEX(GeoByClient[GEOID],MATCH(Table2[[#This Row],[CLID]],GeoByClient[Right],0))</f>
        <v>GEO1001</v>
      </c>
      <c r="G173" s="2" t="str">
        <f>_xlfn.XLOOKUP(Table2[[#This Row],[Xlookup Region ID]],GEONames[GEOID],GEONames[GEO Name])</f>
        <v>NAM</v>
      </c>
      <c r="H173" s="2" t="str">
        <f>"Q"&amp;ROUNDUP(MONTH(Table2[[#This Row],[Date]])/3,0)&amp;" "&amp;YEAR(Table2[[#This Row],[Date]])</f>
        <v>Q4 2024</v>
      </c>
      <c r="I173" s="2" t="str">
        <f>VLOOKUP(Table2[[#This Row],[Date]],Table7[],3)</f>
        <v>Q4 2024</v>
      </c>
    </row>
    <row r="174" spans="1:9" x14ac:dyDescent="0.25">
      <c r="A174" s="3" t="s">
        <v>36</v>
      </c>
      <c r="B174" s="3">
        <v>45657</v>
      </c>
      <c r="C174" s="6">
        <v>16997</v>
      </c>
      <c r="D174" s="2">
        <f>LEN(Table2[[#This Row],[CLID]])</f>
        <v>7</v>
      </c>
      <c r="E174" s="2" t="str">
        <f>_xlfn.XLOOKUP('Volume Data'!A:A,'Geo Data'!D:D,'Geo Data'!B:B)</f>
        <v>GEO1001</v>
      </c>
      <c r="F174" s="2" t="str">
        <f>INDEX(GeoByClient[GEOID],MATCH(Table2[[#This Row],[CLID]],GeoByClient[Right],0))</f>
        <v>GEO1001</v>
      </c>
      <c r="G174" s="2" t="str">
        <f>_xlfn.XLOOKUP(Table2[[#This Row],[Xlookup Region ID]],GEONames[GEOID],GEONames[GEO Name])</f>
        <v>NAM</v>
      </c>
      <c r="H174" s="2" t="str">
        <f>"Q"&amp;ROUNDUP(MONTH(Table2[[#This Row],[Date]])/3,0)&amp;" "&amp;YEAR(Table2[[#This Row],[Date]])</f>
        <v>Q4 2024</v>
      </c>
      <c r="I174" s="2" t="str">
        <f>VLOOKUP(Table2[[#This Row],[Date]],Table7[],3)</f>
        <v>Q4 2024</v>
      </c>
    </row>
    <row r="175" spans="1:9" x14ac:dyDescent="0.25">
      <c r="A175" s="3" t="s">
        <v>36</v>
      </c>
      <c r="B175" s="3">
        <v>45838</v>
      </c>
      <c r="C175" s="6">
        <v>17844</v>
      </c>
      <c r="D175" s="2">
        <f>LEN(Table2[[#This Row],[CLID]])</f>
        <v>7</v>
      </c>
      <c r="E175" s="2" t="str">
        <f>_xlfn.XLOOKUP('Volume Data'!A:A,'Geo Data'!D:D,'Geo Data'!B:B)</f>
        <v>GEO1001</v>
      </c>
      <c r="F175" s="2" t="str">
        <f>INDEX(GeoByClient[GEOID],MATCH(Table2[[#This Row],[CLID]],GeoByClient[Right],0))</f>
        <v>GEO1001</v>
      </c>
      <c r="G175" s="2" t="str">
        <f>_xlfn.XLOOKUP(Table2[[#This Row],[Xlookup Region ID]],GEONames[GEOID],GEONames[GEO Name])</f>
        <v>NAM</v>
      </c>
      <c r="H175" s="2" t="str">
        <f>"Q"&amp;ROUNDUP(MONTH(Table2[[#This Row],[Date]])/3,0)&amp;" "&amp;YEAR(Table2[[#This Row],[Date]])</f>
        <v>Q2 2025</v>
      </c>
      <c r="I175" s="2" t="str">
        <f>VLOOKUP(Table2[[#This Row],[Date]],Table7[],3)</f>
        <v>Q2 2025</v>
      </c>
    </row>
    <row r="176" spans="1:9" x14ac:dyDescent="0.25">
      <c r="A176" s="3" t="s">
        <v>36</v>
      </c>
      <c r="B176" s="3">
        <v>45808</v>
      </c>
      <c r="C176" s="6">
        <v>23129</v>
      </c>
      <c r="D176" s="2">
        <f>LEN(Table2[[#This Row],[CLID]])</f>
        <v>7</v>
      </c>
      <c r="E176" s="2" t="str">
        <f>_xlfn.XLOOKUP('Volume Data'!A:A,'Geo Data'!D:D,'Geo Data'!B:B)</f>
        <v>GEO1001</v>
      </c>
      <c r="F176" s="2" t="str">
        <f>INDEX(GeoByClient[GEOID],MATCH(Table2[[#This Row],[CLID]],GeoByClient[Right],0))</f>
        <v>GEO1001</v>
      </c>
      <c r="G176" s="2" t="str">
        <f>_xlfn.XLOOKUP(Table2[[#This Row],[Xlookup Region ID]],GEONames[GEOID],GEONames[GEO Name])</f>
        <v>NAM</v>
      </c>
      <c r="H176" s="2" t="str">
        <f>"Q"&amp;ROUNDUP(MONTH(Table2[[#This Row],[Date]])/3,0)&amp;" "&amp;YEAR(Table2[[#This Row],[Date]])</f>
        <v>Q2 2025</v>
      </c>
      <c r="I176" s="2" t="str">
        <f>VLOOKUP(Table2[[#This Row],[Date]],Table7[],3)</f>
        <v>Q2 2025</v>
      </c>
    </row>
    <row r="177" spans="1:9" x14ac:dyDescent="0.25">
      <c r="A177" s="3" t="s">
        <v>36</v>
      </c>
      <c r="B177" s="3">
        <v>45777</v>
      </c>
      <c r="C177" s="6">
        <v>26253</v>
      </c>
      <c r="D177" s="2">
        <f>LEN(Table2[[#This Row],[CLID]])</f>
        <v>7</v>
      </c>
      <c r="E177" s="2" t="str">
        <f>_xlfn.XLOOKUP('Volume Data'!A:A,'Geo Data'!D:D,'Geo Data'!B:B)</f>
        <v>GEO1001</v>
      </c>
      <c r="F177" s="2" t="str">
        <f>INDEX(GeoByClient[GEOID],MATCH(Table2[[#This Row],[CLID]],GeoByClient[Right],0))</f>
        <v>GEO1001</v>
      </c>
      <c r="G177" s="2" t="str">
        <f>_xlfn.XLOOKUP(Table2[[#This Row],[Xlookup Region ID]],GEONames[GEOID],GEONames[GEO Name])</f>
        <v>NAM</v>
      </c>
      <c r="H177" s="2" t="str">
        <f>"Q"&amp;ROUNDUP(MONTH(Table2[[#This Row],[Date]])/3,0)&amp;" "&amp;YEAR(Table2[[#This Row],[Date]])</f>
        <v>Q2 2025</v>
      </c>
      <c r="I177" s="2" t="str">
        <f>VLOOKUP(Table2[[#This Row],[Date]],Table7[],3)</f>
        <v>Q2 2025</v>
      </c>
    </row>
    <row r="178" spans="1:9" x14ac:dyDescent="0.25">
      <c r="A178" s="3" t="s">
        <v>36</v>
      </c>
      <c r="B178" s="3">
        <v>45747</v>
      </c>
      <c r="C178" s="6">
        <v>21877</v>
      </c>
      <c r="D178" s="2">
        <f>LEN(Table2[[#This Row],[CLID]])</f>
        <v>7</v>
      </c>
      <c r="E178" s="2" t="str">
        <f>_xlfn.XLOOKUP('Volume Data'!A:A,'Geo Data'!D:D,'Geo Data'!B:B)</f>
        <v>GEO1001</v>
      </c>
      <c r="F178" s="2" t="str">
        <f>INDEX(GeoByClient[GEOID],MATCH(Table2[[#This Row],[CLID]],GeoByClient[Right],0))</f>
        <v>GEO1001</v>
      </c>
      <c r="G178" s="2" t="str">
        <f>_xlfn.XLOOKUP(Table2[[#This Row],[Xlookup Region ID]],GEONames[GEOID],GEONames[GEO Name])</f>
        <v>NAM</v>
      </c>
      <c r="H178" s="2" t="str">
        <f>"Q"&amp;ROUNDUP(MONTH(Table2[[#This Row],[Date]])/3,0)&amp;" "&amp;YEAR(Table2[[#This Row],[Date]])</f>
        <v>Q1 2025</v>
      </c>
      <c r="I178" s="2" t="str">
        <f>VLOOKUP(Table2[[#This Row],[Date]],Table7[],3)</f>
        <v>Q4 2024</v>
      </c>
    </row>
    <row r="179" spans="1:9" x14ac:dyDescent="0.25">
      <c r="A179" s="3" t="s">
        <v>36</v>
      </c>
      <c r="B179" s="3">
        <v>45716</v>
      </c>
      <c r="C179" s="6">
        <v>19020</v>
      </c>
      <c r="D179" s="2">
        <f>LEN(Table2[[#This Row],[CLID]])</f>
        <v>7</v>
      </c>
      <c r="E179" s="2" t="str">
        <f>_xlfn.XLOOKUP('Volume Data'!A:A,'Geo Data'!D:D,'Geo Data'!B:B)</f>
        <v>GEO1001</v>
      </c>
      <c r="F179" s="2" t="str">
        <f>INDEX(GeoByClient[GEOID],MATCH(Table2[[#This Row],[CLID]],GeoByClient[Right],0))</f>
        <v>GEO1001</v>
      </c>
      <c r="G179" s="2" t="str">
        <f>_xlfn.XLOOKUP(Table2[[#This Row],[Xlookup Region ID]],GEONames[GEOID],GEONames[GEO Name])</f>
        <v>NAM</v>
      </c>
      <c r="H179" s="2" t="str">
        <f>"Q"&amp;ROUNDUP(MONTH(Table2[[#This Row],[Date]])/3,0)&amp;" "&amp;YEAR(Table2[[#This Row],[Date]])</f>
        <v>Q1 2025</v>
      </c>
      <c r="I179" s="2" t="str">
        <f>VLOOKUP(Table2[[#This Row],[Date]],Table7[],3)</f>
        <v>Q4 2024</v>
      </c>
    </row>
    <row r="180" spans="1:9" x14ac:dyDescent="0.25">
      <c r="A180" s="3" t="s">
        <v>36</v>
      </c>
      <c r="B180" s="3">
        <v>45688</v>
      </c>
      <c r="C180" s="6">
        <v>17843</v>
      </c>
      <c r="D180" s="2">
        <f>LEN(Table2[[#This Row],[CLID]])</f>
        <v>7</v>
      </c>
      <c r="E180" s="2" t="str">
        <f>_xlfn.XLOOKUP('Volume Data'!A:A,'Geo Data'!D:D,'Geo Data'!B:B)</f>
        <v>GEO1001</v>
      </c>
      <c r="F180" s="2" t="str">
        <f>INDEX(GeoByClient[GEOID],MATCH(Table2[[#This Row],[CLID]],GeoByClient[Right],0))</f>
        <v>GEO1001</v>
      </c>
      <c r="G180" s="2" t="str">
        <f>_xlfn.XLOOKUP(Table2[[#This Row],[Xlookup Region ID]],GEONames[GEOID],GEONames[GEO Name])</f>
        <v>NAM</v>
      </c>
      <c r="H180" s="2" t="str">
        <f>"Q"&amp;ROUNDUP(MONTH(Table2[[#This Row],[Date]])/3,0)&amp;" "&amp;YEAR(Table2[[#This Row],[Date]])</f>
        <v>Q1 2025</v>
      </c>
      <c r="I180" s="2" t="str">
        <f>VLOOKUP(Table2[[#This Row],[Date]],Table7[],3)</f>
        <v>Q4 2024</v>
      </c>
    </row>
    <row r="181" spans="1:9" x14ac:dyDescent="0.25">
      <c r="A181" s="3" t="s">
        <v>3</v>
      </c>
      <c r="B181" s="3">
        <v>45322</v>
      </c>
      <c r="C181" s="6">
        <v>13879</v>
      </c>
      <c r="D181" s="2">
        <f>LEN(Table2[[#This Row],[CLID]])</f>
        <v>7</v>
      </c>
      <c r="E181" s="2" t="str">
        <f>_xlfn.XLOOKUP('Volume Data'!A:A,'Geo Data'!D:D,'Geo Data'!B:B)</f>
        <v>GEO1001</v>
      </c>
      <c r="F181" s="2" t="str">
        <f>INDEX(GeoByClient[GEOID],MATCH(Table2[[#This Row],[CLID]],GeoByClient[Right],0))</f>
        <v>GEO1001</v>
      </c>
      <c r="G181" s="2" t="str">
        <f>_xlfn.XLOOKUP(Table2[[#This Row],[Xlookup Region ID]],GEONames[GEOID],GEONames[GEO Name])</f>
        <v>NAM</v>
      </c>
      <c r="H181" s="2" t="str">
        <f>"Q"&amp;ROUNDUP(MONTH(Table2[[#This Row],[Date]])/3,0)&amp;" "&amp;YEAR(Table2[[#This Row],[Date]])</f>
        <v>Q1 2024</v>
      </c>
      <c r="I181" s="2" t="str">
        <f>VLOOKUP(Table2[[#This Row],[Date]],Table7[],3)</f>
        <v>Q1 2024</v>
      </c>
    </row>
    <row r="182" spans="1:9" x14ac:dyDescent="0.25">
      <c r="A182" s="3" t="s">
        <v>3</v>
      </c>
      <c r="B182" s="3">
        <v>45351</v>
      </c>
      <c r="C182" s="6">
        <v>19822</v>
      </c>
      <c r="D182" s="2">
        <f>LEN(Table2[[#This Row],[CLID]])</f>
        <v>7</v>
      </c>
      <c r="E182" s="2" t="str">
        <f>_xlfn.XLOOKUP('Volume Data'!A:A,'Geo Data'!D:D,'Geo Data'!B:B)</f>
        <v>GEO1001</v>
      </c>
      <c r="F182" s="2" t="str">
        <f>INDEX(GeoByClient[GEOID],MATCH(Table2[[#This Row],[CLID]],GeoByClient[Right],0))</f>
        <v>GEO1001</v>
      </c>
      <c r="G182" s="2" t="str">
        <f>_xlfn.XLOOKUP(Table2[[#This Row],[Xlookup Region ID]],GEONames[GEOID],GEONames[GEO Name])</f>
        <v>NAM</v>
      </c>
      <c r="H182" s="2" t="str">
        <f>"Q"&amp;ROUNDUP(MONTH(Table2[[#This Row],[Date]])/3,0)&amp;" "&amp;YEAR(Table2[[#This Row],[Date]])</f>
        <v>Q1 2024</v>
      </c>
      <c r="I182" s="2" t="str">
        <f>VLOOKUP(Table2[[#This Row],[Date]],Table7[],3)</f>
        <v>Q1 2024</v>
      </c>
    </row>
    <row r="183" spans="1:9" x14ac:dyDescent="0.25">
      <c r="A183" s="3" t="s">
        <v>3</v>
      </c>
      <c r="B183" s="3">
        <v>45382</v>
      </c>
      <c r="C183" s="6">
        <v>17842</v>
      </c>
      <c r="D183" s="2">
        <f>LEN(Table2[[#This Row],[CLID]])</f>
        <v>7</v>
      </c>
      <c r="E183" s="2" t="str">
        <f>_xlfn.XLOOKUP('Volume Data'!A:A,'Geo Data'!D:D,'Geo Data'!B:B)</f>
        <v>GEO1001</v>
      </c>
      <c r="F183" s="2" t="str">
        <f>INDEX(GeoByClient[GEOID],MATCH(Table2[[#This Row],[CLID]],GeoByClient[Right],0))</f>
        <v>GEO1001</v>
      </c>
      <c r="G183" s="2" t="str">
        <f>_xlfn.XLOOKUP(Table2[[#This Row],[Xlookup Region ID]],GEONames[GEOID],GEONames[GEO Name])</f>
        <v>NAM</v>
      </c>
      <c r="H183" s="2" t="str">
        <f>"Q"&amp;ROUNDUP(MONTH(Table2[[#This Row],[Date]])/3,0)&amp;" "&amp;YEAR(Table2[[#This Row],[Date]])</f>
        <v>Q1 2024</v>
      </c>
      <c r="I183" s="2" t="str">
        <f>VLOOKUP(Table2[[#This Row],[Date]],Table7[],3)</f>
        <v>Q1 2024</v>
      </c>
    </row>
    <row r="184" spans="1:9" x14ac:dyDescent="0.25">
      <c r="A184" s="3" t="s">
        <v>3</v>
      </c>
      <c r="B184" s="3">
        <v>45412</v>
      </c>
      <c r="C184" s="6">
        <v>25770</v>
      </c>
      <c r="D184" s="2">
        <f>LEN(Table2[[#This Row],[CLID]])</f>
        <v>7</v>
      </c>
      <c r="E184" s="2" t="str">
        <f>_xlfn.XLOOKUP('Volume Data'!A:A,'Geo Data'!D:D,'Geo Data'!B:B)</f>
        <v>GEO1001</v>
      </c>
      <c r="F184" s="2" t="str">
        <f>INDEX(GeoByClient[GEOID],MATCH(Table2[[#This Row],[CLID]],GeoByClient[Right],0))</f>
        <v>GEO1001</v>
      </c>
      <c r="G184" s="2" t="str">
        <f>_xlfn.XLOOKUP(Table2[[#This Row],[Xlookup Region ID]],GEONames[GEOID],GEONames[GEO Name])</f>
        <v>NAM</v>
      </c>
      <c r="H184" s="2" t="str">
        <f>"Q"&amp;ROUNDUP(MONTH(Table2[[#This Row],[Date]])/3,0)&amp;" "&amp;YEAR(Table2[[#This Row],[Date]])</f>
        <v>Q2 2024</v>
      </c>
      <c r="I184" s="2" t="str">
        <f>VLOOKUP(Table2[[#This Row],[Date]],Table7[],3)</f>
        <v>Q2 2024</v>
      </c>
    </row>
    <row r="185" spans="1:9" x14ac:dyDescent="0.25">
      <c r="A185" s="3" t="s">
        <v>3</v>
      </c>
      <c r="B185" s="3">
        <v>45443</v>
      </c>
      <c r="C185" s="6">
        <v>19823</v>
      </c>
      <c r="D185" s="2">
        <f>LEN(Table2[[#This Row],[CLID]])</f>
        <v>7</v>
      </c>
      <c r="E185" s="2" t="str">
        <f>_xlfn.XLOOKUP('Volume Data'!A:A,'Geo Data'!D:D,'Geo Data'!B:B)</f>
        <v>GEO1001</v>
      </c>
      <c r="F185" s="2" t="str">
        <f>INDEX(GeoByClient[GEOID],MATCH(Table2[[#This Row],[CLID]],GeoByClient[Right],0))</f>
        <v>GEO1001</v>
      </c>
      <c r="G185" s="2" t="str">
        <f>_xlfn.XLOOKUP(Table2[[#This Row],[Xlookup Region ID]],GEONames[GEOID],GEONames[GEO Name])</f>
        <v>NAM</v>
      </c>
      <c r="H185" s="2" t="str">
        <f>"Q"&amp;ROUNDUP(MONTH(Table2[[#This Row],[Date]])/3,0)&amp;" "&amp;YEAR(Table2[[#This Row],[Date]])</f>
        <v>Q2 2024</v>
      </c>
      <c r="I185" s="2" t="str">
        <f>VLOOKUP(Table2[[#This Row],[Date]],Table7[],3)</f>
        <v>Q2 2024</v>
      </c>
    </row>
    <row r="186" spans="1:9" x14ac:dyDescent="0.25">
      <c r="A186" s="3" t="s">
        <v>3</v>
      </c>
      <c r="B186" s="3">
        <v>45473</v>
      </c>
      <c r="C186" s="6">
        <v>17845</v>
      </c>
      <c r="D186" s="2">
        <f>LEN(Table2[[#This Row],[CLID]])</f>
        <v>7</v>
      </c>
      <c r="E186" s="2" t="str">
        <f>_xlfn.XLOOKUP('Volume Data'!A:A,'Geo Data'!D:D,'Geo Data'!B:B)</f>
        <v>GEO1001</v>
      </c>
      <c r="F186" s="2" t="str">
        <f>INDEX(GeoByClient[GEOID],MATCH(Table2[[#This Row],[CLID]],GeoByClient[Right],0))</f>
        <v>GEO1001</v>
      </c>
      <c r="G186" s="2" t="str">
        <f>_xlfn.XLOOKUP(Table2[[#This Row],[Xlookup Region ID]],GEONames[GEOID],GEONames[GEO Name])</f>
        <v>NAM</v>
      </c>
      <c r="H186" s="2" t="str">
        <f>"Q"&amp;ROUNDUP(MONTH(Table2[[#This Row],[Date]])/3,0)&amp;" "&amp;YEAR(Table2[[#This Row],[Date]])</f>
        <v>Q2 2024</v>
      </c>
      <c r="I186" s="2" t="str">
        <f>VLOOKUP(Table2[[#This Row],[Date]],Table7[],3)</f>
        <v>Q2 2024</v>
      </c>
    </row>
    <row r="187" spans="1:9" x14ac:dyDescent="0.25">
      <c r="A187" s="3" t="s">
        <v>3</v>
      </c>
      <c r="B187" s="3">
        <v>45504</v>
      </c>
      <c r="C187" s="6">
        <v>11899</v>
      </c>
      <c r="D187" s="2">
        <f>LEN(Table2[[#This Row],[CLID]])</f>
        <v>7</v>
      </c>
      <c r="E187" s="2" t="str">
        <f>_xlfn.XLOOKUP('Volume Data'!A:A,'Geo Data'!D:D,'Geo Data'!B:B)</f>
        <v>GEO1001</v>
      </c>
      <c r="F187" s="2" t="str">
        <f>INDEX(GeoByClient[GEOID],MATCH(Table2[[#This Row],[CLID]],GeoByClient[Right],0))</f>
        <v>GEO1001</v>
      </c>
      <c r="G187" s="2" t="str">
        <f>_xlfn.XLOOKUP(Table2[[#This Row],[Xlookup Region ID]],GEONames[GEOID],GEONames[GEO Name])</f>
        <v>NAM</v>
      </c>
      <c r="H187" s="2" t="str">
        <f>"Q"&amp;ROUNDUP(MONTH(Table2[[#This Row],[Date]])/3,0)&amp;" "&amp;YEAR(Table2[[#This Row],[Date]])</f>
        <v>Q3 2024</v>
      </c>
      <c r="I187" s="2" t="str">
        <f>VLOOKUP(Table2[[#This Row],[Date]],Table7[],3)</f>
        <v>Q3 2024</v>
      </c>
    </row>
    <row r="188" spans="1:9" x14ac:dyDescent="0.25">
      <c r="A188" s="3" t="s">
        <v>3</v>
      </c>
      <c r="B188" s="3">
        <v>45535</v>
      </c>
      <c r="C188" s="6">
        <v>13879</v>
      </c>
      <c r="D188" s="2">
        <f>LEN(Table2[[#This Row],[CLID]])</f>
        <v>7</v>
      </c>
      <c r="E188" s="2" t="str">
        <f>_xlfn.XLOOKUP('Volume Data'!A:A,'Geo Data'!D:D,'Geo Data'!B:B)</f>
        <v>GEO1001</v>
      </c>
      <c r="F188" s="2" t="str">
        <f>INDEX(GeoByClient[GEOID],MATCH(Table2[[#This Row],[CLID]],GeoByClient[Right],0))</f>
        <v>GEO1001</v>
      </c>
      <c r="G188" s="2" t="str">
        <f>_xlfn.XLOOKUP(Table2[[#This Row],[Xlookup Region ID]],GEONames[GEOID],GEONames[GEO Name])</f>
        <v>NAM</v>
      </c>
      <c r="H188" s="2" t="str">
        <f>"Q"&amp;ROUNDUP(MONTH(Table2[[#This Row],[Date]])/3,0)&amp;" "&amp;YEAR(Table2[[#This Row],[Date]])</f>
        <v>Q3 2024</v>
      </c>
      <c r="I188" s="2" t="str">
        <f>VLOOKUP(Table2[[#This Row],[Date]],Table7[],3)</f>
        <v>Q3 2024</v>
      </c>
    </row>
    <row r="189" spans="1:9" x14ac:dyDescent="0.25">
      <c r="A189" s="3" t="s">
        <v>3</v>
      </c>
      <c r="B189" s="3">
        <v>45565</v>
      </c>
      <c r="C189" s="6">
        <v>9913</v>
      </c>
      <c r="D189" s="2">
        <f>LEN(Table2[[#This Row],[CLID]])</f>
        <v>7</v>
      </c>
      <c r="E189" s="2" t="str">
        <f>_xlfn.XLOOKUP('Volume Data'!A:A,'Geo Data'!D:D,'Geo Data'!B:B)</f>
        <v>GEO1001</v>
      </c>
      <c r="F189" s="2" t="str">
        <f>INDEX(GeoByClient[GEOID],MATCH(Table2[[#This Row],[CLID]],GeoByClient[Right],0))</f>
        <v>GEO1001</v>
      </c>
      <c r="G189" s="2" t="str">
        <f>_xlfn.XLOOKUP(Table2[[#This Row],[Xlookup Region ID]],GEONames[GEOID],GEONames[GEO Name])</f>
        <v>NAM</v>
      </c>
      <c r="H189" s="2" t="str">
        <f>"Q"&amp;ROUNDUP(MONTH(Table2[[#This Row],[Date]])/3,0)&amp;" "&amp;YEAR(Table2[[#This Row],[Date]])</f>
        <v>Q3 2024</v>
      </c>
      <c r="I189" s="2" t="str">
        <f>VLOOKUP(Table2[[#This Row],[Date]],Table7[],3)</f>
        <v>Q3 2024</v>
      </c>
    </row>
    <row r="190" spans="1:9" x14ac:dyDescent="0.25">
      <c r="A190" s="3" t="s">
        <v>3</v>
      </c>
      <c r="B190" s="3">
        <v>45596</v>
      </c>
      <c r="C190" s="6">
        <v>15858</v>
      </c>
      <c r="D190" s="2">
        <f>LEN(Table2[[#This Row],[CLID]])</f>
        <v>7</v>
      </c>
      <c r="E190" s="2" t="str">
        <f>_xlfn.XLOOKUP('Volume Data'!A:A,'Geo Data'!D:D,'Geo Data'!B:B)</f>
        <v>GEO1001</v>
      </c>
      <c r="F190" s="2" t="str">
        <f>INDEX(GeoByClient[GEOID],MATCH(Table2[[#This Row],[CLID]],GeoByClient[Right],0))</f>
        <v>GEO1001</v>
      </c>
      <c r="G190" s="2" t="str">
        <f>_xlfn.XLOOKUP(Table2[[#This Row],[Xlookup Region ID]],GEONames[GEOID],GEONames[GEO Name])</f>
        <v>NAM</v>
      </c>
      <c r="H190" s="2" t="str">
        <f>"Q"&amp;ROUNDUP(MONTH(Table2[[#This Row],[Date]])/3,0)&amp;" "&amp;YEAR(Table2[[#This Row],[Date]])</f>
        <v>Q4 2024</v>
      </c>
      <c r="I190" s="2" t="str">
        <f>VLOOKUP(Table2[[#This Row],[Date]],Table7[],3)</f>
        <v>Q4 2024</v>
      </c>
    </row>
    <row r="191" spans="1:9" x14ac:dyDescent="0.25">
      <c r="A191" s="3" t="s">
        <v>3</v>
      </c>
      <c r="B191" s="3">
        <v>45626</v>
      </c>
      <c r="C191" s="6">
        <v>13882</v>
      </c>
      <c r="D191" s="2">
        <f>LEN(Table2[[#This Row],[CLID]])</f>
        <v>7</v>
      </c>
      <c r="E191" s="2" t="str">
        <f>_xlfn.XLOOKUP('Volume Data'!A:A,'Geo Data'!D:D,'Geo Data'!B:B)</f>
        <v>GEO1001</v>
      </c>
      <c r="F191" s="2" t="str">
        <f>INDEX(GeoByClient[GEOID],MATCH(Table2[[#This Row],[CLID]],GeoByClient[Right],0))</f>
        <v>GEO1001</v>
      </c>
      <c r="G191" s="2" t="str">
        <f>_xlfn.XLOOKUP(Table2[[#This Row],[Xlookup Region ID]],GEONames[GEOID],GEONames[GEO Name])</f>
        <v>NAM</v>
      </c>
      <c r="H191" s="2" t="str">
        <f>"Q"&amp;ROUNDUP(MONTH(Table2[[#This Row],[Date]])/3,0)&amp;" "&amp;YEAR(Table2[[#This Row],[Date]])</f>
        <v>Q4 2024</v>
      </c>
      <c r="I191" s="2" t="str">
        <f>VLOOKUP(Table2[[#This Row],[Date]],Table7[],3)</f>
        <v>Q4 2024</v>
      </c>
    </row>
    <row r="192" spans="1:9" x14ac:dyDescent="0.25">
      <c r="A192" s="3" t="s">
        <v>3</v>
      </c>
      <c r="B192" s="3">
        <v>45657</v>
      </c>
      <c r="C192" s="6">
        <v>17841</v>
      </c>
      <c r="D192" s="2">
        <f>LEN(Table2[[#This Row],[CLID]])</f>
        <v>7</v>
      </c>
      <c r="E192" s="2" t="str">
        <f>_xlfn.XLOOKUP('Volume Data'!A:A,'Geo Data'!D:D,'Geo Data'!B:B)</f>
        <v>GEO1001</v>
      </c>
      <c r="F192" s="2" t="str">
        <f>INDEX(GeoByClient[GEOID],MATCH(Table2[[#This Row],[CLID]],GeoByClient[Right],0))</f>
        <v>GEO1001</v>
      </c>
      <c r="G192" s="2" t="str">
        <f>_xlfn.XLOOKUP(Table2[[#This Row],[Xlookup Region ID]],GEONames[GEOID],GEONames[GEO Name])</f>
        <v>NAM</v>
      </c>
      <c r="H192" s="2" t="str">
        <f>"Q"&amp;ROUNDUP(MONTH(Table2[[#This Row],[Date]])/3,0)&amp;" "&amp;YEAR(Table2[[#This Row],[Date]])</f>
        <v>Q4 2024</v>
      </c>
      <c r="I192" s="2" t="str">
        <f>VLOOKUP(Table2[[#This Row],[Date]],Table7[],3)</f>
        <v>Q4 2024</v>
      </c>
    </row>
    <row r="193" spans="1:9" x14ac:dyDescent="0.25">
      <c r="A193" s="3" t="s">
        <v>3</v>
      </c>
      <c r="B193" s="3">
        <v>45838</v>
      </c>
      <c r="C193" s="6">
        <v>18554</v>
      </c>
      <c r="D193" s="2">
        <f>LEN(Table2[[#This Row],[CLID]])</f>
        <v>7</v>
      </c>
      <c r="E193" s="2" t="str">
        <f>_xlfn.XLOOKUP('Volume Data'!A:A,'Geo Data'!D:D,'Geo Data'!B:B)</f>
        <v>GEO1001</v>
      </c>
      <c r="F193" s="2" t="str">
        <f>INDEX(GeoByClient[GEOID],MATCH(Table2[[#This Row],[CLID]],GeoByClient[Right],0))</f>
        <v>GEO1001</v>
      </c>
      <c r="G193" s="2" t="str">
        <f>_xlfn.XLOOKUP(Table2[[#This Row],[Xlookup Region ID]],GEONames[GEOID],GEONames[GEO Name])</f>
        <v>NAM</v>
      </c>
      <c r="H193" s="2" t="str">
        <f>"Q"&amp;ROUNDUP(MONTH(Table2[[#This Row],[Date]])/3,0)&amp;" "&amp;YEAR(Table2[[#This Row],[Date]])</f>
        <v>Q2 2025</v>
      </c>
      <c r="I193" s="2" t="str">
        <f>VLOOKUP(Table2[[#This Row],[Date]],Table7[],3)</f>
        <v>Q2 2025</v>
      </c>
    </row>
    <row r="194" spans="1:9" x14ac:dyDescent="0.25">
      <c r="A194" s="3" t="s">
        <v>3</v>
      </c>
      <c r="B194" s="3">
        <v>45808</v>
      </c>
      <c r="C194" s="6">
        <v>20218</v>
      </c>
      <c r="D194" s="2">
        <f>LEN(Table2[[#This Row],[CLID]])</f>
        <v>7</v>
      </c>
      <c r="E194" s="2" t="str">
        <f>_xlfn.XLOOKUP('Volume Data'!A:A,'Geo Data'!D:D,'Geo Data'!B:B)</f>
        <v>GEO1001</v>
      </c>
      <c r="F194" s="2" t="str">
        <f>INDEX(GeoByClient[GEOID],MATCH(Table2[[#This Row],[CLID]],GeoByClient[Right],0))</f>
        <v>GEO1001</v>
      </c>
      <c r="G194" s="2" t="str">
        <f>_xlfn.XLOOKUP(Table2[[#This Row],[Xlookup Region ID]],GEONames[GEOID],GEONames[GEO Name])</f>
        <v>NAM</v>
      </c>
      <c r="H194" s="2" t="str">
        <f>"Q"&amp;ROUNDUP(MONTH(Table2[[#This Row],[Date]])/3,0)&amp;" "&amp;YEAR(Table2[[#This Row],[Date]])</f>
        <v>Q2 2025</v>
      </c>
      <c r="I194" s="2" t="str">
        <f>VLOOKUP(Table2[[#This Row],[Date]],Table7[],3)</f>
        <v>Q2 2025</v>
      </c>
    </row>
    <row r="195" spans="1:9" x14ac:dyDescent="0.25">
      <c r="A195" s="3" t="s">
        <v>3</v>
      </c>
      <c r="B195" s="3">
        <v>45777</v>
      </c>
      <c r="C195" s="6">
        <v>27062</v>
      </c>
      <c r="D195" s="2">
        <f>LEN(Table2[[#This Row],[CLID]])</f>
        <v>7</v>
      </c>
      <c r="E195" s="2" t="str">
        <f>_xlfn.XLOOKUP('Volume Data'!A:A,'Geo Data'!D:D,'Geo Data'!B:B)</f>
        <v>GEO1001</v>
      </c>
      <c r="F195" s="2" t="str">
        <f>INDEX(GeoByClient[GEOID],MATCH(Table2[[#This Row],[CLID]],GeoByClient[Right],0))</f>
        <v>GEO1001</v>
      </c>
      <c r="G195" s="2" t="str">
        <f>_xlfn.XLOOKUP(Table2[[#This Row],[Xlookup Region ID]],GEONames[GEOID],GEONames[GEO Name])</f>
        <v>NAM</v>
      </c>
      <c r="H195" s="2" t="str">
        <f>"Q"&amp;ROUNDUP(MONTH(Table2[[#This Row],[Date]])/3,0)&amp;" "&amp;YEAR(Table2[[#This Row],[Date]])</f>
        <v>Q2 2025</v>
      </c>
      <c r="I195" s="2" t="str">
        <f>VLOOKUP(Table2[[#This Row],[Date]],Table7[],3)</f>
        <v>Q2 2025</v>
      </c>
    </row>
    <row r="196" spans="1:9" x14ac:dyDescent="0.25">
      <c r="A196" s="3" t="s">
        <v>3</v>
      </c>
      <c r="B196" s="3">
        <v>45747</v>
      </c>
      <c r="C196" s="6">
        <v>18378</v>
      </c>
      <c r="D196" s="2">
        <f>LEN(Table2[[#This Row],[CLID]])</f>
        <v>7</v>
      </c>
      <c r="E196" s="2" t="str">
        <f>_xlfn.XLOOKUP('Volume Data'!A:A,'Geo Data'!D:D,'Geo Data'!B:B)</f>
        <v>GEO1001</v>
      </c>
      <c r="F196" s="2" t="str">
        <f>INDEX(GeoByClient[GEOID],MATCH(Table2[[#This Row],[CLID]],GeoByClient[Right],0))</f>
        <v>GEO1001</v>
      </c>
      <c r="G196" s="2" t="str">
        <f>_xlfn.XLOOKUP(Table2[[#This Row],[Xlookup Region ID]],GEONames[GEOID],GEONames[GEO Name])</f>
        <v>NAM</v>
      </c>
      <c r="H196" s="2" t="str">
        <f>"Q"&amp;ROUNDUP(MONTH(Table2[[#This Row],[Date]])/3,0)&amp;" "&amp;YEAR(Table2[[#This Row],[Date]])</f>
        <v>Q1 2025</v>
      </c>
      <c r="I196" s="2" t="str">
        <f>VLOOKUP(Table2[[#This Row],[Date]],Table7[],3)</f>
        <v>Q4 2024</v>
      </c>
    </row>
    <row r="197" spans="1:9" x14ac:dyDescent="0.25">
      <c r="A197" s="3" t="s">
        <v>3</v>
      </c>
      <c r="B197" s="3">
        <v>45716</v>
      </c>
      <c r="C197" s="6">
        <v>19729</v>
      </c>
      <c r="D197" s="2">
        <f>LEN(Table2[[#This Row],[CLID]])</f>
        <v>7</v>
      </c>
      <c r="E197" s="2" t="str">
        <f>_xlfn.XLOOKUP('Volume Data'!A:A,'Geo Data'!D:D,'Geo Data'!B:B)</f>
        <v>GEO1001</v>
      </c>
      <c r="F197" s="2" t="str">
        <f>INDEX(GeoByClient[GEOID],MATCH(Table2[[#This Row],[CLID]],GeoByClient[Right],0))</f>
        <v>GEO1001</v>
      </c>
      <c r="G197" s="2" t="str">
        <f>_xlfn.XLOOKUP(Table2[[#This Row],[Xlookup Region ID]],GEONames[GEOID],GEONames[GEO Name])</f>
        <v>NAM</v>
      </c>
      <c r="H197" s="2" t="str">
        <f>"Q"&amp;ROUNDUP(MONTH(Table2[[#This Row],[Date]])/3,0)&amp;" "&amp;YEAR(Table2[[#This Row],[Date]])</f>
        <v>Q1 2025</v>
      </c>
      <c r="I197" s="2" t="str">
        <f>VLOOKUP(Table2[[#This Row],[Date]],Table7[],3)</f>
        <v>Q4 2024</v>
      </c>
    </row>
    <row r="198" spans="1:9" x14ac:dyDescent="0.25">
      <c r="A198" s="3" t="s">
        <v>3</v>
      </c>
      <c r="B198" s="3">
        <v>45688</v>
      </c>
      <c r="C198" s="6">
        <v>14159</v>
      </c>
      <c r="D198" s="2">
        <f>LEN(Table2[[#This Row],[CLID]])</f>
        <v>7</v>
      </c>
      <c r="E198" s="2" t="str">
        <f>_xlfn.XLOOKUP('Volume Data'!A:A,'Geo Data'!D:D,'Geo Data'!B:B)</f>
        <v>GEO1001</v>
      </c>
      <c r="F198" s="2" t="str">
        <f>INDEX(GeoByClient[GEOID],MATCH(Table2[[#This Row],[CLID]],GeoByClient[Right],0))</f>
        <v>GEO1001</v>
      </c>
      <c r="G198" s="2" t="str">
        <f>_xlfn.XLOOKUP(Table2[[#This Row],[Xlookup Region ID]],GEONames[GEOID],GEONames[GEO Name])</f>
        <v>NAM</v>
      </c>
      <c r="H198" s="2" t="str">
        <f>"Q"&amp;ROUNDUP(MONTH(Table2[[#This Row],[Date]])/3,0)&amp;" "&amp;YEAR(Table2[[#This Row],[Date]])</f>
        <v>Q1 2025</v>
      </c>
      <c r="I198" s="2" t="str">
        <f>VLOOKUP(Table2[[#This Row],[Date]],Table7[],3)</f>
        <v>Q4 2024</v>
      </c>
    </row>
    <row r="199" spans="1:9" x14ac:dyDescent="0.25">
      <c r="A199" s="3" t="s">
        <v>25</v>
      </c>
      <c r="B199" s="3">
        <v>45351</v>
      </c>
      <c r="C199" s="6">
        <v>815</v>
      </c>
      <c r="D199" s="2">
        <f>LEN(Table2[[#This Row],[CLID]])</f>
        <v>7</v>
      </c>
      <c r="E199" s="2" t="str">
        <f>_xlfn.XLOOKUP('Volume Data'!A:A,'Geo Data'!D:D,'Geo Data'!B:B)</f>
        <v>GEO1002</v>
      </c>
      <c r="F199" s="2" t="str">
        <f>INDEX(GeoByClient[GEOID],MATCH(Table2[[#This Row],[CLID]],GeoByClient[Right],0))</f>
        <v>GEO1002</v>
      </c>
      <c r="G199" s="2" t="str">
        <f>_xlfn.XLOOKUP(Table2[[#This Row],[Xlookup Region ID]],GEONames[GEOID],GEONames[GEO Name])</f>
        <v>APAC</v>
      </c>
      <c r="H199" s="2" t="str">
        <f>"Q"&amp;ROUNDUP(MONTH(Table2[[#This Row],[Date]])/3,0)&amp;" "&amp;YEAR(Table2[[#This Row],[Date]])</f>
        <v>Q1 2024</v>
      </c>
      <c r="I199" s="2" t="str">
        <f>VLOOKUP(Table2[[#This Row],[Date]],Table7[],3)</f>
        <v>Q1 2024</v>
      </c>
    </row>
    <row r="200" spans="1:9" x14ac:dyDescent="0.25">
      <c r="A200" s="3" t="s">
        <v>25</v>
      </c>
      <c r="B200" s="3">
        <v>45382</v>
      </c>
      <c r="C200" s="6">
        <v>910</v>
      </c>
      <c r="D200" s="2">
        <f>LEN(Table2[[#This Row],[CLID]])</f>
        <v>7</v>
      </c>
      <c r="E200" s="2" t="str">
        <f>_xlfn.XLOOKUP('Volume Data'!A:A,'Geo Data'!D:D,'Geo Data'!B:B)</f>
        <v>GEO1002</v>
      </c>
      <c r="F200" s="2" t="str">
        <f>INDEX(GeoByClient[GEOID],MATCH(Table2[[#This Row],[CLID]],GeoByClient[Right],0))</f>
        <v>GEO1002</v>
      </c>
      <c r="G200" s="2" t="str">
        <f>_xlfn.XLOOKUP(Table2[[#This Row],[Xlookup Region ID]],GEONames[GEOID],GEONames[GEO Name])</f>
        <v>APAC</v>
      </c>
      <c r="H200" s="2" t="str">
        <f>"Q"&amp;ROUNDUP(MONTH(Table2[[#This Row],[Date]])/3,0)&amp;" "&amp;YEAR(Table2[[#This Row],[Date]])</f>
        <v>Q1 2024</v>
      </c>
      <c r="I200" s="2" t="str">
        <f>VLOOKUP(Table2[[#This Row],[Date]],Table7[],3)</f>
        <v>Q1 2024</v>
      </c>
    </row>
    <row r="201" spans="1:9" x14ac:dyDescent="0.25">
      <c r="A201" s="3" t="s">
        <v>25</v>
      </c>
      <c r="B201" s="3">
        <v>45412</v>
      </c>
      <c r="C201" s="6">
        <v>1091</v>
      </c>
      <c r="D201" s="2">
        <f>LEN(Table2[[#This Row],[CLID]])</f>
        <v>7</v>
      </c>
      <c r="E201" s="2" t="str">
        <f>_xlfn.XLOOKUP('Volume Data'!A:A,'Geo Data'!D:D,'Geo Data'!B:B)</f>
        <v>GEO1002</v>
      </c>
      <c r="F201" s="2" t="str">
        <f>INDEX(GeoByClient[GEOID],MATCH(Table2[[#This Row],[CLID]],GeoByClient[Right],0))</f>
        <v>GEO1002</v>
      </c>
      <c r="G201" s="2" t="str">
        <f>_xlfn.XLOOKUP(Table2[[#This Row],[Xlookup Region ID]],GEONames[GEOID],GEONames[GEO Name])</f>
        <v>APAC</v>
      </c>
      <c r="H201" s="2" t="str">
        <f>"Q"&amp;ROUNDUP(MONTH(Table2[[#This Row],[Date]])/3,0)&amp;" "&amp;YEAR(Table2[[#This Row],[Date]])</f>
        <v>Q2 2024</v>
      </c>
      <c r="I201" s="2" t="str">
        <f>VLOOKUP(Table2[[#This Row],[Date]],Table7[],3)</f>
        <v>Q2 2024</v>
      </c>
    </row>
    <row r="202" spans="1:9" x14ac:dyDescent="0.25">
      <c r="A202" s="3" t="s">
        <v>25</v>
      </c>
      <c r="B202" s="3">
        <v>45443</v>
      </c>
      <c r="C202" s="6">
        <v>995</v>
      </c>
      <c r="D202" s="2">
        <f>LEN(Table2[[#This Row],[CLID]])</f>
        <v>7</v>
      </c>
      <c r="E202" s="2" t="str">
        <f>_xlfn.XLOOKUP('Volume Data'!A:A,'Geo Data'!D:D,'Geo Data'!B:B)</f>
        <v>GEO1002</v>
      </c>
      <c r="F202" s="2" t="str">
        <f>INDEX(GeoByClient[GEOID],MATCH(Table2[[#This Row],[CLID]],GeoByClient[Right],0))</f>
        <v>GEO1002</v>
      </c>
      <c r="G202" s="2" t="str">
        <f>_xlfn.XLOOKUP(Table2[[#This Row],[Xlookup Region ID]],GEONames[GEOID],GEONames[GEO Name])</f>
        <v>APAC</v>
      </c>
      <c r="H202" s="2" t="str">
        <f>"Q"&amp;ROUNDUP(MONTH(Table2[[#This Row],[Date]])/3,0)&amp;" "&amp;YEAR(Table2[[#This Row],[Date]])</f>
        <v>Q2 2024</v>
      </c>
      <c r="I202" s="2" t="str">
        <f>VLOOKUP(Table2[[#This Row],[Date]],Table7[],3)</f>
        <v>Q2 2024</v>
      </c>
    </row>
    <row r="203" spans="1:9" x14ac:dyDescent="0.25">
      <c r="A203" s="3" t="s">
        <v>25</v>
      </c>
      <c r="B203" s="3">
        <v>45473</v>
      </c>
      <c r="C203" s="6">
        <v>727</v>
      </c>
      <c r="D203" s="2">
        <f>LEN(Table2[[#This Row],[CLID]])</f>
        <v>7</v>
      </c>
      <c r="E203" s="2" t="str">
        <f>_xlfn.XLOOKUP('Volume Data'!A:A,'Geo Data'!D:D,'Geo Data'!B:B)</f>
        <v>GEO1002</v>
      </c>
      <c r="F203" s="2" t="str">
        <f>INDEX(GeoByClient[GEOID],MATCH(Table2[[#This Row],[CLID]],GeoByClient[Right],0))</f>
        <v>GEO1002</v>
      </c>
      <c r="G203" s="2" t="str">
        <f>_xlfn.XLOOKUP(Table2[[#This Row],[Xlookup Region ID]],GEONames[GEOID],GEONames[GEO Name])</f>
        <v>APAC</v>
      </c>
      <c r="H203" s="2" t="str">
        <f>"Q"&amp;ROUNDUP(MONTH(Table2[[#This Row],[Date]])/3,0)&amp;" "&amp;YEAR(Table2[[#This Row],[Date]])</f>
        <v>Q2 2024</v>
      </c>
      <c r="I203" s="2" t="str">
        <f>VLOOKUP(Table2[[#This Row],[Date]],Table7[],3)</f>
        <v>Q2 2024</v>
      </c>
    </row>
    <row r="204" spans="1:9" x14ac:dyDescent="0.25">
      <c r="A204" s="3" t="s">
        <v>25</v>
      </c>
      <c r="B204" s="3">
        <v>45504</v>
      </c>
      <c r="C204" s="6">
        <v>635</v>
      </c>
      <c r="D204" s="2">
        <f>LEN(Table2[[#This Row],[CLID]])</f>
        <v>7</v>
      </c>
      <c r="E204" s="2" t="str">
        <f>_xlfn.XLOOKUP('Volume Data'!A:A,'Geo Data'!D:D,'Geo Data'!B:B)</f>
        <v>GEO1002</v>
      </c>
      <c r="F204" s="2" t="str">
        <f>INDEX(GeoByClient[GEOID],MATCH(Table2[[#This Row],[CLID]],GeoByClient[Right],0))</f>
        <v>GEO1002</v>
      </c>
      <c r="G204" s="2" t="str">
        <f>_xlfn.XLOOKUP(Table2[[#This Row],[Xlookup Region ID]],GEONames[GEOID],GEONames[GEO Name])</f>
        <v>APAC</v>
      </c>
      <c r="H204" s="2" t="str">
        <f>"Q"&amp;ROUNDUP(MONTH(Table2[[#This Row],[Date]])/3,0)&amp;" "&amp;YEAR(Table2[[#This Row],[Date]])</f>
        <v>Q3 2024</v>
      </c>
      <c r="I204" s="2" t="str">
        <f>VLOOKUP(Table2[[#This Row],[Date]],Table7[],3)</f>
        <v>Q3 2024</v>
      </c>
    </row>
    <row r="205" spans="1:9" x14ac:dyDescent="0.25">
      <c r="A205" s="3" t="s">
        <v>25</v>
      </c>
      <c r="B205" s="3">
        <v>45535</v>
      </c>
      <c r="C205" s="6">
        <v>544</v>
      </c>
      <c r="D205" s="2">
        <f>LEN(Table2[[#This Row],[CLID]])</f>
        <v>7</v>
      </c>
      <c r="E205" s="2" t="str">
        <f>_xlfn.XLOOKUP('Volume Data'!A:A,'Geo Data'!D:D,'Geo Data'!B:B)</f>
        <v>GEO1002</v>
      </c>
      <c r="F205" s="2" t="str">
        <f>INDEX(GeoByClient[GEOID],MATCH(Table2[[#This Row],[CLID]],GeoByClient[Right],0))</f>
        <v>GEO1002</v>
      </c>
      <c r="G205" s="2" t="str">
        <f>_xlfn.XLOOKUP(Table2[[#This Row],[Xlookup Region ID]],GEONames[GEOID],GEONames[GEO Name])</f>
        <v>APAC</v>
      </c>
      <c r="H205" s="2" t="str">
        <f>"Q"&amp;ROUNDUP(MONTH(Table2[[#This Row],[Date]])/3,0)&amp;" "&amp;YEAR(Table2[[#This Row],[Date]])</f>
        <v>Q3 2024</v>
      </c>
      <c r="I205" s="2" t="str">
        <f>VLOOKUP(Table2[[#This Row],[Date]],Table7[],3)</f>
        <v>Q3 2024</v>
      </c>
    </row>
    <row r="206" spans="1:9" x14ac:dyDescent="0.25">
      <c r="A206" s="3" t="s">
        <v>25</v>
      </c>
      <c r="B206" s="3">
        <v>45565</v>
      </c>
      <c r="C206" s="6">
        <v>545</v>
      </c>
      <c r="D206" s="2">
        <f>LEN(Table2[[#This Row],[CLID]])</f>
        <v>7</v>
      </c>
      <c r="E206" s="2" t="str">
        <f>_xlfn.XLOOKUP('Volume Data'!A:A,'Geo Data'!D:D,'Geo Data'!B:B)</f>
        <v>GEO1002</v>
      </c>
      <c r="F206" s="2" t="str">
        <f>INDEX(GeoByClient[GEOID],MATCH(Table2[[#This Row],[CLID]],GeoByClient[Right],0))</f>
        <v>GEO1002</v>
      </c>
      <c r="G206" s="2" t="str">
        <f>_xlfn.XLOOKUP(Table2[[#This Row],[Xlookup Region ID]],GEONames[GEOID],GEONames[GEO Name])</f>
        <v>APAC</v>
      </c>
      <c r="H206" s="2" t="str">
        <f>"Q"&amp;ROUNDUP(MONTH(Table2[[#This Row],[Date]])/3,0)&amp;" "&amp;YEAR(Table2[[#This Row],[Date]])</f>
        <v>Q3 2024</v>
      </c>
      <c r="I206" s="2" t="str">
        <f>VLOOKUP(Table2[[#This Row],[Date]],Table7[],3)</f>
        <v>Q3 2024</v>
      </c>
    </row>
    <row r="207" spans="1:9" x14ac:dyDescent="0.25">
      <c r="A207" s="3" t="s">
        <v>25</v>
      </c>
      <c r="B207" s="3">
        <v>45596</v>
      </c>
      <c r="C207" s="6">
        <v>637</v>
      </c>
      <c r="D207" s="2">
        <f>LEN(Table2[[#This Row],[CLID]])</f>
        <v>7</v>
      </c>
      <c r="E207" s="2" t="str">
        <f>_xlfn.XLOOKUP('Volume Data'!A:A,'Geo Data'!D:D,'Geo Data'!B:B)</f>
        <v>GEO1002</v>
      </c>
      <c r="F207" s="2" t="str">
        <f>INDEX(GeoByClient[GEOID],MATCH(Table2[[#This Row],[CLID]],GeoByClient[Right],0))</f>
        <v>GEO1002</v>
      </c>
      <c r="G207" s="2" t="str">
        <f>_xlfn.XLOOKUP(Table2[[#This Row],[Xlookup Region ID]],GEONames[GEOID],GEONames[GEO Name])</f>
        <v>APAC</v>
      </c>
      <c r="H207" s="2" t="str">
        <f>"Q"&amp;ROUNDUP(MONTH(Table2[[#This Row],[Date]])/3,0)&amp;" "&amp;YEAR(Table2[[#This Row],[Date]])</f>
        <v>Q4 2024</v>
      </c>
      <c r="I207" s="2" t="str">
        <f>VLOOKUP(Table2[[#This Row],[Date]],Table7[],3)</f>
        <v>Q4 2024</v>
      </c>
    </row>
    <row r="208" spans="1:9" x14ac:dyDescent="0.25">
      <c r="A208" s="3" t="s">
        <v>25</v>
      </c>
      <c r="B208" s="3">
        <v>45626</v>
      </c>
      <c r="C208" s="6">
        <v>723</v>
      </c>
      <c r="D208" s="2">
        <f>LEN(Table2[[#This Row],[CLID]])</f>
        <v>7</v>
      </c>
      <c r="E208" s="2" t="str">
        <f>_xlfn.XLOOKUP('Volume Data'!A:A,'Geo Data'!D:D,'Geo Data'!B:B)</f>
        <v>GEO1002</v>
      </c>
      <c r="F208" s="2" t="str">
        <f>INDEX(GeoByClient[GEOID],MATCH(Table2[[#This Row],[CLID]],GeoByClient[Right],0))</f>
        <v>GEO1002</v>
      </c>
      <c r="G208" s="2" t="str">
        <f>_xlfn.XLOOKUP(Table2[[#This Row],[Xlookup Region ID]],GEONames[GEOID],GEONames[GEO Name])</f>
        <v>APAC</v>
      </c>
      <c r="H208" s="2" t="str">
        <f>"Q"&amp;ROUNDUP(MONTH(Table2[[#This Row],[Date]])/3,0)&amp;" "&amp;YEAR(Table2[[#This Row],[Date]])</f>
        <v>Q4 2024</v>
      </c>
      <c r="I208" s="2" t="str">
        <f>VLOOKUP(Table2[[#This Row],[Date]],Table7[],3)</f>
        <v>Q4 2024</v>
      </c>
    </row>
    <row r="209" spans="1:9" x14ac:dyDescent="0.25">
      <c r="A209" s="3" t="s">
        <v>25</v>
      </c>
      <c r="B209" s="3">
        <v>45657</v>
      </c>
      <c r="C209" s="6">
        <v>727</v>
      </c>
      <c r="D209" s="2">
        <f>LEN(Table2[[#This Row],[CLID]])</f>
        <v>7</v>
      </c>
      <c r="E209" s="2" t="str">
        <f>_xlfn.XLOOKUP('Volume Data'!A:A,'Geo Data'!D:D,'Geo Data'!B:B)</f>
        <v>GEO1002</v>
      </c>
      <c r="F209" s="2" t="str">
        <f>INDEX(GeoByClient[GEOID],MATCH(Table2[[#This Row],[CLID]],GeoByClient[Right],0))</f>
        <v>GEO1002</v>
      </c>
      <c r="G209" s="2" t="str">
        <f>_xlfn.XLOOKUP(Table2[[#This Row],[Xlookup Region ID]],GEONames[GEOID],GEONames[GEO Name])</f>
        <v>APAC</v>
      </c>
      <c r="H209" s="2" t="str">
        <f>"Q"&amp;ROUNDUP(MONTH(Table2[[#This Row],[Date]])/3,0)&amp;" "&amp;YEAR(Table2[[#This Row],[Date]])</f>
        <v>Q4 2024</v>
      </c>
      <c r="I209" s="2" t="str">
        <f>VLOOKUP(Table2[[#This Row],[Date]],Table7[],3)</f>
        <v>Q4 2024</v>
      </c>
    </row>
    <row r="210" spans="1:9" x14ac:dyDescent="0.25">
      <c r="A210" s="3" t="s">
        <v>25</v>
      </c>
      <c r="B210" s="3">
        <v>45838</v>
      </c>
      <c r="C210" s="6">
        <v>722</v>
      </c>
      <c r="D210" s="2">
        <f>LEN(Table2[[#This Row],[CLID]])</f>
        <v>7</v>
      </c>
      <c r="E210" s="2" t="str">
        <f>_xlfn.XLOOKUP('Volume Data'!A:A,'Geo Data'!D:D,'Geo Data'!B:B)</f>
        <v>GEO1002</v>
      </c>
      <c r="F210" s="2" t="str">
        <f>INDEX(GeoByClient[GEOID],MATCH(Table2[[#This Row],[CLID]],GeoByClient[Right],0))</f>
        <v>GEO1002</v>
      </c>
      <c r="G210" s="2" t="str">
        <f>_xlfn.XLOOKUP(Table2[[#This Row],[Xlookup Region ID]],GEONames[GEOID],GEONames[GEO Name])</f>
        <v>APAC</v>
      </c>
      <c r="H210" s="2" t="str">
        <f>"Q"&amp;ROUNDUP(MONTH(Table2[[#This Row],[Date]])/3,0)&amp;" "&amp;YEAR(Table2[[#This Row],[Date]])</f>
        <v>Q2 2025</v>
      </c>
      <c r="I210" s="2" t="str">
        <f>VLOOKUP(Table2[[#This Row],[Date]],Table7[],3)</f>
        <v>Q2 2025</v>
      </c>
    </row>
    <row r="211" spans="1:9" x14ac:dyDescent="0.25">
      <c r="A211" s="3" t="s">
        <v>25</v>
      </c>
      <c r="B211" s="3">
        <v>45808</v>
      </c>
      <c r="C211" s="6">
        <v>1039</v>
      </c>
      <c r="D211" s="2">
        <f>LEN(Table2[[#This Row],[CLID]])</f>
        <v>7</v>
      </c>
      <c r="E211" s="2" t="str">
        <f>_xlfn.XLOOKUP('Volume Data'!A:A,'Geo Data'!D:D,'Geo Data'!B:B)</f>
        <v>GEO1002</v>
      </c>
      <c r="F211" s="2" t="str">
        <f>INDEX(GeoByClient[GEOID],MATCH(Table2[[#This Row],[CLID]],GeoByClient[Right],0))</f>
        <v>GEO1002</v>
      </c>
      <c r="G211" s="2" t="str">
        <f>_xlfn.XLOOKUP(Table2[[#This Row],[Xlookup Region ID]],GEONames[GEOID],GEONames[GEO Name])</f>
        <v>APAC</v>
      </c>
      <c r="H211" s="2" t="str">
        <f>"Q"&amp;ROUNDUP(MONTH(Table2[[#This Row],[Date]])/3,0)&amp;" "&amp;YEAR(Table2[[#This Row],[Date]])</f>
        <v>Q2 2025</v>
      </c>
      <c r="I211" s="2" t="str">
        <f>VLOOKUP(Table2[[#This Row],[Date]],Table7[],3)</f>
        <v>Q2 2025</v>
      </c>
    </row>
    <row r="212" spans="1:9" x14ac:dyDescent="0.25">
      <c r="A212" s="3" t="s">
        <v>25</v>
      </c>
      <c r="B212" s="3">
        <v>45777</v>
      </c>
      <c r="C212" s="6">
        <v>1124</v>
      </c>
      <c r="D212" s="2">
        <f>LEN(Table2[[#This Row],[CLID]])</f>
        <v>7</v>
      </c>
      <c r="E212" s="2" t="str">
        <f>_xlfn.XLOOKUP('Volume Data'!A:A,'Geo Data'!D:D,'Geo Data'!B:B)</f>
        <v>GEO1002</v>
      </c>
      <c r="F212" s="2" t="str">
        <f>INDEX(GeoByClient[GEOID],MATCH(Table2[[#This Row],[CLID]],GeoByClient[Right],0))</f>
        <v>GEO1002</v>
      </c>
      <c r="G212" s="2" t="str">
        <f>_xlfn.XLOOKUP(Table2[[#This Row],[Xlookup Region ID]],GEONames[GEOID],GEONames[GEO Name])</f>
        <v>APAC</v>
      </c>
      <c r="H212" s="2" t="str">
        <f>"Q"&amp;ROUNDUP(MONTH(Table2[[#This Row],[Date]])/3,0)&amp;" "&amp;YEAR(Table2[[#This Row],[Date]])</f>
        <v>Q2 2025</v>
      </c>
      <c r="I212" s="2" t="str">
        <f>VLOOKUP(Table2[[#This Row],[Date]],Table7[],3)</f>
        <v>Q2 2025</v>
      </c>
    </row>
    <row r="213" spans="1:9" x14ac:dyDescent="0.25">
      <c r="A213" s="3" t="s">
        <v>25</v>
      </c>
      <c r="B213" s="3">
        <v>45747</v>
      </c>
      <c r="C213" s="6">
        <v>895</v>
      </c>
      <c r="D213" s="2">
        <f>LEN(Table2[[#This Row],[CLID]])</f>
        <v>7</v>
      </c>
      <c r="E213" s="2" t="str">
        <f>_xlfn.XLOOKUP('Volume Data'!A:A,'Geo Data'!D:D,'Geo Data'!B:B)</f>
        <v>GEO1002</v>
      </c>
      <c r="F213" s="2" t="str">
        <f>INDEX(GeoByClient[GEOID],MATCH(Table2[[#This Row],[CLID]],GeoByClient[Right],0))</f>
        <v>GEO1002</v>
      </c>
      <c r="G213" s="2" t="str">
        <f>_xlfn.XLOOKUP(Table2[[#This Row],[Xlookup Region ID]],GEONames[GEOID],GEONames[GEO Name])</f>
        <v>APAC</v>
      </c>
      <c r="H213" s="2" t="str">
        <f>"Q"&amp;ROUNDUP(MONTH(Table2[[#This Row],[Date]])/3,0)&amp;" "&amp;YEAR(Table2[[#This Row],[Date]])</f>
        <v>Q1 2025</v>
      </c>
      <c r="I213" s="2" t="str">
        <f>VLOOKUP(Table2[[#This Row],[Date]],Table7[],3)</f>
        <v>Q4 2024</v>
      </c>
    </row>
    <row r="214" spans="1:9" x14ac:dyDescent="0.25">
      <c r="A214" s="3" t="s">
        <v>25</v>
      </c>
      <c r="B214" s="3">
        <v>45716</v>
      </c>
      <c r="C214" s="6">
        <v>851</v>
      </c>
      <c r="D214" s="2">
        <f>LEN(Table2[[#This Row],[CLID]])</f>
        <v>7</v>
      </c>
      <c r="E214" s="2" t="str">
        <f>_xlfn.XLOOKUP('Volume Data'!A:A,'Geo Data'!D:D,'Geo Data'!B:B)</f>
        <v>GEO1002</v>
      </c>
      <c r="F214" s="2" t="str">
        <f>INDEX(GeoByClient[GEOID],MATCH(Table2[[#This Row],[CLID]],GeoByClient[Right],0))</f>
        <v>GEO1002</v>
      </c>
      <c r="G214" s="2" t="str">
        <f>_xlfn.XLOOKUP(Table2[[#This Row],[Xlookup Region ID]],GEONames[GEOID],GEONames[GEO Name])</f>
        <v>APAC</v>
      </c>
      <c r="H214" s="2" t="str">
        <f>"Q"&amp;ROUNDUP(MONTH(Table2[[#This Row],[Date]])/3,0)&amp;" "&amp;YEAR(Table2[[#This Row],[Date]])</f>
        <v>Q1 2025</v>
      </c>
      <c r="I214" s="2" t="str">
        <f>VLOOKUP(Table2[[#This Row],[Date]],Table7[],3)</f>
        <v>Q4 2024</v>
      </c>
    </row>
    <row r="215" spans="1:9" x14ac:dyDescent="0.25">
      <c r="A215" s="3" t="s">
        <v>25</v>
      </c>
      <c r="B215" s="3">
        <v>45688</v>
      </c>
      <c r="C215" s="6">
        <v>741</v>
      </c>
      <c r="D215" s="2">
        <f>LEN(Table2[[#This Row],[CLID]])</f>
        <v>7</v>
      </c>
      <c r="E215" s="2" t="str">
        <f>_xlfn.XLOOKUP('Volume Data'!A:A,'Geo Data'!D:D,'Geo Data'!B:B)</f>
        <v>GEO1002</v>
      </c>
      <c r="F215" s="2" t="str">
        <f>INDEX(GeoByClient[GEOID],MATCH(Table2[[#This Row],[CLID]],GeoByClient[Right],0))</f>
        <v>GEO1002</v>
      </c>
      <c r="G215" s="2" t="str">
        <f>_xlfn.XLOOKUP(Table2[[#This Row],[Xlookup Region ID]],GEONames[GEOID],GEONames[GEO Name])</f>
        <v>APAC</v>
      </c>
      <c r="H215" s="2" t="str">
        <f>"Q"&amp;ROUNDUP(MONTH(Table2[[#This Row],[Date]])/3,0)&amp;" "&amp;YEAR(Table2[[#This Row],[Date]])</f>
        <v>Q1 2025</v>
      </c>
      <c r="I215" s="2" t="str">
        <f>VLOOKUP(Table2[[#This Row],[Date]],Table7[],3)</f>
        <v>Q4 2024</v>
      </c>
    </row>
    <row r="216" spans="1:9" x14ac:dyDescent="0.25">
      <c r="A216" s="3" t="s">
        <v>41</v>
      </c>
      <c r="B216" s="3">
        <v>45322</v>
      </c>
      <c r="C216" s="6">
        <v>1172</v>
      </c>
      <c r="D216" s="2">
        <f>LEN(Table2[[#This Row],[CLID]])</f>
        <v>7</v>
      </c>
      <c r="E216" s="2" t="str">
        <f>_xlfn.XLOOKUP('Volume Data'!A:A,'Geo Data'!D:D,'Geo Data'!B:B)</f>
        <v>GEO1004</v>
      </c>
      <c r="F216" s="2" t="str">
        <f>INDEX(GeoByClient[GEOID],MATCH(Table2[[#This Row],[CLID]],GeoByClient[Right],0))</f>
        <v>GEO1004</v>
      </c>
      <c r="G216" s="2" t="str">
        <f>_xlfn.XLOOKUP(Table2[[#This Row],[Xlookup Region ID]],GEONames[GEOID],GEONames[GEO Name])</f>
        <v>LATAM</v>
      </c>
      <c r="H216" s="2" t="str">
        <f>"Q"&amp;ROUNDUP(MONTH(Table2[[#This Row],[Date]])/3,0)&amp;" "&amp;YEAR(Table2[[#This Row],[Date]])</f>
        <v>Q1 2024</v>
      </c>
      <c r="I216" s="2" t="str">
        <f>VLOOKUP(Table2[[#This Row],[Date]],Table7[],3)</f>
        <v>Q1 2024</v>
      </c>
    </row>
    <row r="217" spans="1:9" x14ac:dyDescent="0.25">
      <c r="A217" s="3" t="s">
        <v>41</v>
      </c>
      <c r="B217" s="3">
        <v>45351</v>
      </c>
      <c r="C217" s="6">
        <v>1483</v>
      </c>
      <c r="D217" s="2">
        <f>LEN(Table2[[#This Row],[CLID]])</f>
        <v>7</v>
      </c>
      <c r="E217" s="2" t="str">
        <f>_xlfn.XLOOKUP('Volume Data'!A:A,'Geo Data'!D:D,'Geo Data'!B:B)</f>
        <v>GEO1004</v>
      </c>
      <c r="F217" s="2" t="str">
        <f>INDEX(GeoByClient[GEOID],MATCH(Table2[[#This Row],[CLID]],GeoByClient[Right],0))</f>
        <v>GEO1004</v>
      </c>
      <c r="G217" s="2" t="str">
        <f>_xlfn.XLOOKUP(Table2[[#This Row],[Xlookup Region ID]],GEONames[GEOID],GEONames[GEO Name])</f>
        <v>LATAM</v>
      </c>
      <c r="H217" s="2" t="str">
        <f>"Q"&amp;ROUNDUP(MONTH(Table2[[#This Row],[Date]])/3,0)&amp;" "&amp;YEAR(Table2[[#This Row],[Date]])</f>
        <v>Q1 2024</v>
      </c>
      <c r="I217" s="2" t="str">
        <f>VLOOKUP(Table2[[#This Row],[Date]],Table7[],3)</f>
        <v>Q1 2024</v>
      </c>
    </row>
    <row r="218" spans="1:9" x14ac:dyDescent="0.25">
      <c r="A218" s="3" t="s">
        <v>41</v>
      </c>
      <c r="B218" s="3">
        <v>45382</v>
      </c>
      <c r="C218" s="6">
        <v>1484</v>
      </c>
      <c r="D218" s="2">
        <f>LEN(Table2[[#This Row],[CLID]])</f>
        <v>7</v>
      </c>
      <c r="E218" s="2" t="str">
        <f>_xlfn.XLOOKUP('Volume Data'!A:A,'Geo Data'!D:D,'Geo Data'!B:B)</f>
        <v>GEO1004</v>
      </c>
      <c r="F218" s="2" t="str">
        <f>INDEX(GeoByClient[GEOID],MATCH(Table2[[#This Row],[CLID]],GeoByClient[Right],0))</f>
        <v>GEO1004</v>
      </c>
      <c r="G218" s="2" t="str">
        <f>_xlfn.XLOOKUP(Table2[[#This Row],[Xlookup Region ID]],GEONames[GEOID],GEONames[GEO Name])</f>
        <v>LATAM</v>
      </c>
      <c r="H218" s="2" t="str">
        <f>"Q"&amp;ROUNDUP(MONTH(Table2[[#This Row],[Date]])/3,0)&amp;" "&amp;YEAR(Table2[[#This Row],[Date]])</f>
        <v>Q1 2024</v>
      </c>
      <c r="I218" s="2" t="str">
        <f>VLOOKUP(Table2[[#This Row],[Date]],Table7[],3)</f>
        <v>Q1 2024</v>
      </c>
    </row>
    <row r="219" spans="1:9" x14ac:dyDescent="0.25">
      <c r="A219" s="3" t="s">
        <v>41</v>
      </c>
      <c r="B219" s="3">
        <v>45412</v>
      </c>
      <c r="C219" s="6">
        <v>1949</v>
      </c>
      <c r="D219" s="2">
        <f>LEN(Table2[[#This Row],[CLID]])</f>
        <v>7</v>
      </c>
      <c r="E219" s="2" t="str">
        <f>_xlfn.XLOOKUP('Volume Data'!A:A,'Geo Data'!D:D,'Geo Data'!B:B)</f>
        <v>GEO1004</v>
      </c>
      <c r="F219" s="2" t="str">
        <f>INDEX(GeoByClient[GEOID],MATCH(Table2[[#This Row],[CLID]],GeoByClient[Right],0))</f>
        <v>GEO1004</v>
      </c>
      <c r="G219" s="2" t="str">
        <f>_xlfn.XLOOKUP(Table2[[#This Row],[Xlookup Region ID]],GEONames[GEOID],GEONames[GEO Name])</f>
        <v>LATAM</v>
      </c>
      <c r="H219" s="2" t="str">
        <f>"Q"&amp;ROUNDUP(MONTH(Table2[[#This Row],[Date]])/3,0)&amp;" "&amp;YEAR(Table2[[#This Row],[Date]])</f>
        <v>Q2 2024</v>
      </c>
      <c r="I219" s="2" t="str">
        <f>VLOOKUP(Table2[[#This Row],[Date]],Table7[],3)</f>
        <v>Q2 2024</v>
      </c>
    </row>
    <row r="220" spans="1:9" x14ac:dyDescent="0.25">
      <c r="A220" s="3" t="s">
        <v>41</v>
      </c>
      <c r="B220" s="3">
        <v>45443</v>
      </c>
      <c r="C220" s="6">
        <v>1635</v>
      </c>
      <c r="D220" s="2">
        <f>LEN(Table2[[#This Row],[CLID]])</f>
        <v>7</v>
      </c>
      <c r="E220" s="2" t="str">
        <f>_xlfn.XLOOKUP('Volume Data'!A:A,'Geo Data'!D:D,'Geo Data'!B:B)</f>
        <v>GEO1004</v>
      </c>
      <c r="F220" s="2" t="str">
        <f>INDEX(GeoByClient[GEOID],MATCH(Table2[[#This Row],[CLID]],GeoByClient[Right],0))</f>
        <v>GEO1004</v>
      </c>
      <c r="G220" s="2" t="str">
        <f>_xlfn.XLOOKUP(Table2[[#This Row],[Xlookup Region ID]],GEONames[GEOID],GEONames[GEO Name])</f>
        <v>LATAM</v>
      </c>
      <c r="H220" s="2" t="str">
        <f>"Q"&amp;ROUNDUP(MONTH(Table2[[#This Row],[Date]])/3,0)&amp;" "&amp;YEAR(Table2[[#This Row],[Date]])</f>
        <v>Q2 2024</v>
      </c>
      <c r="I220" s="2" t="str">
        <f>VLOOKUP(Table2[[#This Row],[Date]],Table7[],3)</f>
        <v>Q2 2024</v>
      </c>
    </row>
    <row r="221" spans="1:9" x14ac:dyDescent="0.25">
      <c r="A221" s="3" t="s">
        <v>41</v>
      </c>
      <c r="B221" s="3">
        <v>45473</v>
      </c>
      <c r="C221" s="6">
        <v>1326</v>
      </c>
      <c r="D221" s="2">
        <f>LEN(Table2[[#This Row],[CLID]])</f>
        <v>7</v>
      </c>
      <c r="E221" s="2" t="str">
        <f>_xlfn.XLOOKUP('Volume Data'!A:A,'Geo Data'!D:D,'Geo Data'!B:B)</f>
        <v>GEO1004</v>
      </c>
      <c r="F221" s="2" t="str">
        <f>INDEX(GeoByClient[GEOID],MATCH(Table2[[#This Row],[CLID]],GeoByClient[Right],0))</f>
        <v>GEO1004</v>
      </c>
      <c r="G221" s="2" t="str">
        <f>_xlfn.XLOOKUP(Table2[[#This Row],[Xlookup Region ID]],GEONames[GEOID],GEONames[GEO Name])</f>
        <v>LATAM</v>
      </c>
      <c r="H221" s="2" t="str">
        <f>"Q"&amp;ROUNDUP(MONTH(Table2[[#This Row],[Date]])/3,0)&amp;" "&amp;YEAR(Table2[[#This Row],[Date]])</f>
        <v>Q2 2024</v>
      </c>
      <c r="I221" s="2" t="str">
        <f>VLOOKUP(Table2[[#This Row],[Date]],Table7[],3)</f>
        <v>Q2 2024</v>
      </c>
    </row>
    <row r="222" spans="1:9" x14ac:dyDescent="0.25">
      <c r="A222" s="3" t="s">
        <v>41</v>
      </c>
      <c r="B222" s="3">
        <v>45504</v>
      </c>
      <c r="C222" s="6">
        <v>1012</v>
      </c>
      <c r="D222" s="2">
        <f>LEN(Table2[[#This Row],[CLID]])</f>
        <v>7</v>
      </c>
      <c r="E222" s="2" t="str">
        <f>_xlfn.XLOOKUP('Volume Data'!A:A,'Geo Data'!D:D,'Geo Data'!B:B)</f>
        <v>GEO1004</v>
      </c>
      <c r="F222" s="2" t="str">
        <f>INDEX(GeoByClient[GEOID],MATCH(Table2[[#This Row],[CLID]],GeoByClient[Right],0))</f>
        <v>GEO1004</v>
      </c>
      <c r="G222" s="2" t="str">
        <f>_xlfn.XLOOKUP(Table2[[#This Row],[Xlookup Region ID]],GEONames[GEOID],GEONames[GEO Name])</f>
        <v>LATAM</v>
      </c>
      <c r="H222" s="2" t="str">
        <f>"Q"&amp;ROUNDUP(MONTH(Table2[[#This Row],[Date]])/3,0)&amp;" "&amp;YEAR(Table2[[#This Row],[Date]])</f>
        <v>Q3 2024</v>
      </c>
      <c r="I222" s="2" t="str">
        <f>VLOOKUP(Table2[[#This Row],[Date]],Table7[],3)</f>
        <v>Q3 2024</v>
      </c>
    </row>
    <row r="223" spans="1:9" x14ac:dyDescent="0.25">
      <c r="A223" s="3" t="s">
        <v>41</v>
      </c>
      <c r="B223" s="3">
        <v>45535</v>
      </c>
      <c r="C223" s="6">
        <v>1018</v>
      </c>
      <c r="D223" s="2">
        <f>LEN(Table2[[#This Row],[CLID]])</f>
        <v>7</v>
      </c>
      <c r="E223" s="2" t="str">
        <f>_xlfn.XLOOKUP('Volume Data'!A:A,'Geo Data'!D:D,'Geo Data'!B:B)</f>
        <v>GEO1004</v>
      </c>
      <c r="F223" s="2" t="str">
        <f>INDEX(GeoByClient[GEOID],MATCH(Table2[[#This Row],[CLID]],GeoByClient[Right],0))</f>
        <v>GEO1004</v>
      </c>
      <c r="G223" s="2" t="str">
        <f>_xlfn.XLOOKUP(Table2[[#This Row],[Xlookup Region ID]],GEONames[GEOID],GEONames[GEO Name])</f>
        <v>LATAM</v>
      </c>
      <c r="H223" s="2" t="str">
        <f>"Q"&amp;ROUNDUP(MONTH(Table2[[#This Row],[Date]])/3,0)&amp;" "&amp;YEAR(Table2[[#This Row],[Date]])</f>
        <v>Q3 2024</v>
      </c>
      <c r="I223" s="2" t="str">
        <f>VLOOKUP(Table2[[#This Row],[Date]],Table7[],3)</f>
        <v>Q3 2024</v>
      </c>
    </row>
    <row r="224" spans="1:9" x14ac:dyDescent="0.25">
      <c r="A224" s="3" t="s">
        <v>41</v>
      </c>
      <c r="B224" s="3">
        <v>45565</v>
      </c>
      <c r="C224" s="6">
        <v>861</v>
      </c>
      <c r="D224" s="2">
        <f>LEN(Table2[[#This Row],[CLID]])</f>
        <v>7</v>
      </c>
      <c r="E224" s="2" t="str">
        <f>_xlfn.XLOOKUP('Volume Data'!A:A,'Geo Data'!D:D,'Geo Data'!B:B)</f>
        <v>GEO1004</v>
      </c>
      <c r="F224" s="2" t="str">
        <f>INDEX(GeoByClient[GEOID],MATCH(Table2[[#This Row],[CLID]],GeoByClient[Right],0))</f>
        <v>GEO1004</v>
      </c>
      <c r="G224" s="2" t="str">
        <f>_xlfn.XLOOKUP(Table2[[#This Row],[Xlookup Region ID]],GEONames[GEOID],GEONames[GEO Name])</f>
        <v>LATAM</v>
      </c>
      <c r="H224" s="2" t="str">
        <f>"Q"&amp;ROUNDUP(MONTH(Table2[[#This Row],[Date]])/3,0)&amp;" "&amp;YEAR(Table2[[#This Row],[Date]])</f>
        <v>Q3 2024</v>
      </c>
      <c r="I224" s="2" t="str">
        <f>VLOOKUP(Table2[[#This Row],[Date]],Table7[],3)</f>
        <v>Q3 2024</v>
      </c>
    </row>
    <row r="225" spans="1:9" x14ac:dyDescent="0.25">
      <c r="A225" s="3" t="s">
        <v>41</v>
      </c>
      <c r="B225" s="3">
        <v>45596</v>
      </c>
      <c r="C225" s="6">
        <v>1173</v>
      </c>
      <c r="D225" s="2">
        <f>LEN(Table2[[#This Row],[CLID]])</f>
        <v>7</v>
      </c>
      <c r="E225" s="2" t="str">
        <f>_xlfn.XLOOKUP('Volume Data'!A:A,'Geo Data'!D:D,'Geo Data'!B:B)</f>
        <v>GEO1004</v>
      </c>
      <c r="F225" s="2" t="str">
        <f>INDEX(GeoByClient[GEOID],MATCH(Table2[[#This Row],[CLID]],GeoByClient[Right],0))</f>
        <v>GEO1004</v>
      </c>
      <c r="G225" s="2" t="str">
        <f>_xlfn.XLOOKUP(Table2[[#This Row],[Xlookup Region ID]],GEONames[GEOID],GEONames[GEO Name])</f>
        <v>LATAM</v>
      </c>
      <c r="H225" s="2" t="str">
        <f>"Q"&amp;ROUNDUP(MONTH(Table2[[#This Row],[Date]])/3,0)&amp;" "&amp;YEAR(Table2[[#This Row],[Date]])</f>
        <v>Q4 2024</v>
      </c>
      <c r="I225" s="2" t="str">
        <f>VLOOKUP(Table2[[#This Row],[Date]],Table7[],3)</f>
        <v>Q4 2024</v>
      </c>
    </row>
    <row r="226" spans="1:9" x14ac:dyDescent="0.25">
      <c r="A226" s="3" t="s">
        <v>41</v>
      </c>
      <c r="B226" s="3">
        <v>45626</v>
      </c>
      <c r="C226" s="6">
        <v>1169</v>
      </c>
      <c r="D226" s="2">
        <f>LEN(Table2[[#This Row],[CLID]])</f>
        <v>7</v>
      </c>
      <c r="E226" s="2" t="str">
        <f>_xlfn.XLOOKUP('Volume Data'!A:A,'Geo Data'!D:D,'Geo Data'!B:B)</f>
        <v>GEO1004</v>
      </c>
      <c r="F226" s="2" t="str">
        <f>INDEX(GeoByClient[GEOID],MATCH(Table2[[#This Row],[CLID]],GeoByClient[Right],0))</f>
        <v>GEO1004</v>
      </c>
      <c r="G226" s="2" t="str">
        <f>_xlfn.XLOOKUP(Table2[[#This Row],[Xlookup Region ID]],GEONames[GEOID],GEONames[GEO Name])</f>
        <v>LATAM</v>
      </c>
      <c r="H226" s="2" t="str">
        <f>"Q"&amp;ROUNDUP(MONTH(Table2[[#This Row],[Date]])/3,0)&amp;" "&amp;YEAR(Table2[[#This Row],[Date]])</f>
        <v>Q4 2024</v>
      </c>
      <c r="I226" s="2" t="str">
        <f>VLOOKUP(Table2[[#This Row],[Date]],Table7[],3)</f>
        <v>Q4 2024</v>
      </c>
    </row>
    <row r="227" spans="1:9" x14ac:dyDescent="0.25">
      <c r="A227" s="3" t="s">
        <v>41</v>
      </c>
      <c r="B227" s="3">
        <v>45657</v>
      </c>
      <c r="C227" s="6">
        <v>1323</v>
      </c>
      <c r="D227" s="2">
        <f>LEN(Table2[[#This Row],[CLID]])</f>
        <v>7</v>
      </c>
      <c r="E227" s="2" t="str">
        <f>_xlfn.XLOOKUP('Volume Data'!A:A,'Geo Data'!D:D,'Geo Data'!B:B)</f>
        <v>GEO1004</v>
      </c>
      <c r="F227" s="2" t="str">
        <f>INDEX(GeoByClient[GEOID],MATCH(Table2[[#This Row],[CLID]],GeoByClient[Right],0))</f>
        <v>GEO1004</v>
      </c>
      <c r="G227" s="2" t="str">
        <f>_xlfn.XLOOKUP(Table2[[#This Row],[Xlookup Region ID]],GEONames[GEOID],GEONames[GEO Name])</f>
        <v>LATAM</v>
      </c>
      <c r="H227" s="2" t="str">
        <f>"Q"&amp;ROUNDUP(MONTH(Table2[[#This Row],[Date]])/3,0)&amp;" "&amp;YEAR(Table2[[#This Row],[Date]])</f>
        <v>Q4 2024</v>
      </c>
      <c r="I227" s="2" t="str">
        <f>VLOOKUP(Table2[[#This Row],[Date]],Table7[],3)</f>
        <v>Q4 2024</v>
      </c>
    </row>
    <row r="228" spans="1:9" x14ac:dyDescent="0.25">
      <c r="A228" s="3" t="s">
        <v>41</v>
      </c>
      <c r="B228" s="3">
        <v>45838</v>
      </c>
      <c r="C228" s="6">
        <v>1318</v>
      </c>
      <c r="D228" s="2">
        <f>LEN(Table2[[#This Row],[CLID]])</f>
        <v>7</v>
      </c>
      <c r="E228" s="2" t="str">
        <f>_xlfn.XLOOKUP('Volume Data'!A:A,'Geo Data'!D:D,'Geo Data'!B:B)</f>
        <v>GEO1004</v>
      </c>
      <c r="F228" s="2" t="str">
        <f>INDEX(GeoByClient[GEOID],MATCH(Table2[[#This Row],[CLID]],GeoByClient[Right],0))</f>
        <v>GEO1004</v>
      </c>
      <c r="G228" s="2" t="str">
        <f>_xlfn.XLOOKUP(Table2[[#This Row],[Xlookup Region ID]],GEONames[GEOID],GEONames[GEO Name])</f>
        <v>LATAM</v>
      </c>
      <c r="H228" s="2" t="str">
        <f>"Q"&amp;ROUNDUP(MONTH(Table2[[#This Row],[Date]])/3,0)&amp;" "&amp;YEAR(Table2[[#This Row],[Date]])</f>
        <v>Q2 2025</v>
      </c>
      <c r="I228" s="2" t="str">
        <f>VLOOKUP(Table2[[#This Row],[Date]],Table7[],3)</f>
        <v>Q2 2025</v>
      </c>
    </row>
    <row r="229" spans="1:9" x14ac:dyDescent="0.25">
      <c r="A229" s="3" t="s">
        <v>41</v>
      </c>
      <c r="B229" s="3">
        <v>45808</v>
      </c>
      <c r="C229" s="6">
        <v>1656</v>
      </c>
      <c r="D229" s="2">
        <f>LEN(Table2[[#This Row],[CLID]])</f>
        <v>7</v>
      </c>
      <c r="E229" s="2" t="str">
        <f>_xlfn.XLOOKUP('Volume Data'!A:A,'Geo Data'!D:D,'Geo Data'!B:B)</f>
        <v>GEO1004</v>
      </c>
      <c r="F229" s="2" t="str">
        <f>INDEX(GeoByClient[GEOID],MATCH(Table2[[#This Row],[CLID]],GeoByClient[Right],0))</f>
        <v>GEO1004</v>
      </c>
      <c r="G229" s="2" t="str">
        <f>_xlfn.XLOOKUP(Table2[[#This Row],[Xlookup Region ID]],GEONames[GEOID],GEONames[GEO Name])</f>
        <v>LATAM</v>
      </c>
      <c r="H229" s="2" t="str">
        <f>"Q"&amp;ROUNDUP(MONTH(Table2[[#This Row],[Date]])/3,0)&amp;" "&amp;YEAR(Table2[[#This Row],[Date]])</f>
        <v>Q2 2025</v>
      </c>
      <c r="I229" s="2" t="str">
        <f>VLOOKUP(Table2[[#This Row],[Date]],Table7[],3)</f>
        <v>Q2 2025</v>
      </c>
    </row>
    <row r="230" spans="1:9" x14ac:dyDescent="0.25">
      <c r="A230" s="3" t="s">
        <v>41</v>
      </c>
      <c r="B230" s="3">
        <v>45777</v>
      </c>
      <c r="C230" s="6">
        <v>1987</v>
      </c>
      <c r="D230" s="2">
        <f>LEN(Table2[[#This Row],[CLID]])</f>
        <v>7</v>
      </c>
      <c r="E230" s="2" t="str">
        <f>_xlfn.XLOOKUP('Volume Data'!A:A,'Geo Data'!D:D,'Geo Data'!B:B)</f>
        <v>GEO1004</v>
      </c>
      <c r="F230" s="2" t="str">
        <f>INDEX(GeoByClient[GEOID],MATCH(Table2[[#This Row],[CLID]],GeoByClient[Right],0))</f>
        <v>GEO1004</v>
      </c>
      <c r="G230" s="2" t="str">
        <f>_xlfn.XLOOKUP(Table2[[#This Row],[Xlookup Region ID]],GEONames[GEOID],GEONames[GEO Name])</f>
        <v>LATAM</v>
      </c>
      <c r="H230" s="2" t="str">
        <f>"Q"&amp;ROUNDUP(MONTH(Table2[[#This Row],[Date]])/3,0)&amp;" "&amp;YEAR(Table2[[#This Row],[Date]])</f>
        <v>Q2 2025</v>
      </c>
      <c r="I230" s="2" t="str">
        <f>VLOOKUP(Table2[[#This Row],[Date]],Table7[],3)</f>
        <v>Q2 2025</v>
      </c>
    </row>
    <row r="231" spans="1:9" x14ac:dyDescent="0.25">
      <c r="A231" s="3" t="s">
        <v>41</v>
      </c>
      <c r="B231" s="3">
        <v>45747</v>
      </c>
      <c r="C231" s="6">
        <v>1528</v>
      </c>
      <c r="D231" s="2">
        <f>LEN(Table2[[#This Row],[CLID]])</f>
        <v>7</v>
      </c>
      <c r="E231" s="2" t="str">
        <f>_xlfn.XLOOKUP('Volume Data'!A:A,'Geo Data'!D:D,'Geo Data'!B:B)</f>
        <v>GEO1004</v>
      </c>
      <c r="F231" s="2" t="str">
        <f>INDEX(GeoByClient[GEOID],MATCH(Table2[[#This Row],[CLID]],GeoByClient[Right],0))</f>
        <v>GEO1004</v>
      </c>
      <c r="G231" s="2" t="str">
        <f>_xlfn.XLOOKUP(Table2[[#This Row],[Xlookup Region ID]],GEONames[GEOID],GEONames[GEO Name])</f>
        <v>LATAM</v>
      </c>
      <c r="H231" s="2" t="str">
        <f>"Q"&amp;ROUNDUP(MONTH(Table2[[#This Row],[Date]])/3,0)&amp;" "&amp;YEAR(Table2[[#This Row],[Date]])</f>
        <v>Q1 2025</v>
      </c>
      <c r="I231" s="2" t="str">
        <f>VLOOKUP(Table2[[#This Row],[Date]],Table7[],3)</f>
        <v>Q4 2024</v>
      </c>
    </row>
    <row r="232" spans="1:9" x14ac:dyDescent="0.25">
      <c r="A232" s="3" t="s">
        <v>41</v>
      </c>
      <c r="B232" s="3">
        <v>45716</v>
      </c>
      <c r="C232" s="6">
        <v>1557</v>
      </c>
      <c r="D232" s="2">
        <f>LEN(Table2[[#This Row],[CLID]])</f>
        <v>7</v>
      </c>
      <c r="E232" s="2" t="str">
        <f>_xlfn.XLOOKUP('Volume Data'!A:A,'Geo Data'!D:D,'Geo Data'!B:B)</f>
        <v>GEO1004</v>
      </c>
      <c r="F232" s="2" t="str">
        <f>INDEX(GeoByClient[GEOID],MATCH(Table2[[#This Row],[CLID]],GeoByClient[Right],0))</f>
        <v>GEO1004</v>
      </c>
      <c r="G232" s="2" t="str">
        <f>_xlfn.XLOOKUP(Table2[[#This Row],[Xlookup Region ID]],GEONames[GEOID],GEONames[GEO Name])</f>
        <v>LATAM</v>
      </c>
      <c r="H232" s="2" t="str">
        <f>"Q"&amp;ROUNDUP(MONTH(Table2[[#This Row],[Date]])/3,0)&amp;" "&amp;YEAR(Table2[[#This Row],[Date]])</f>
        <v>Q1 2025</v>
      </c>
      <c r="I232" s="2" t="str">
        <f>VLOOKUP(Table2[[#This Row],[Date]],Table7[],3)</f>
        <v>Q4 2024</v>
      </c>
    </row>
    <row r="233" spans="1:9" x14ac:dyDescent="0.25">
      <c r="A233" s="3" t="s">
        <v>41</v>
      </c>
      <c r="B233" s="3">
        <v>45688</v>
      </c>
      <c r="C233" s="6">
        <v>1183</v>
      </c>
      <c r="D233" s="2">
        <f>LEN(Table2[[#This Row],[CLID]])</f>
        <v>7</v>
      </c>
      <c r="E233" s="2" t="str">
        <f>_xlfn.XLOOKUP('Volume Data'!A:A,'Geo Data'!D:D,'Geo Data'!B:B)</f>
        <v>GEO1004</v>
      </c>
      <c r="F233" s="2" t="str">
        <f>INDEX(GeoByClient[GEOID],MATCH(Table2[[#This Row],[CLID]],GeoByClient[Right],0))</f>
        <v>GEO1004</v>
      </c>
      <c r="G233" s="2" t="str">
        <f>_xlfn.XLOOKUP(Table2[[#This Row],[Xlookup Region ID]],GEONames[GEOID],GEONames[GEO Name])</f>
        <v>LATAM</v>
      </c>
      <c r="H233" s="2" t="str">
        <f>"Q"&amp;ROUNDUP(MONTH(Table2[[#This Row],[Date]])/3,0)&amp;" "&amp;YEAR(Table2[[#This Row],[Date]])</f>
        <v>Q1 2025</v>
      </c>
      <c r="I233" s="2" t="str">
        <f>VLOOKUP(Table2[[#This Row],[Date]],Table7[],3)</f>
        <v>Q4 2024</v>
      </c>
    </row>
    <row r="234" spans="1:9" x14ac:dyDescent="0.25">
      <c r="A234" s="3" t="s">
        <v>21</v>
      </c>
      <c r="B234" s="3">
        <v>45322</v>
      </c>
      <c r="C234" s="6">
        <v>11332</v>
      </c>
      <c r="D234" s="2">
        <f>LEN(Table2[[#This Row],[CLID]])</f>
        <v>7</v>
      </c>
      <c r="E234" s="2" t="str">
        <f>_xlfn.XLOOKUP('Volume Data'!A:A,'Geo Data'!D:D,'Geo Data'!B:B)</f>
        <v>GEO1001</v>
      </c>
      <c r="F234" s="2" t="str">
        <f>INDEX(GeoByClient[GEOID],MATCH(Table2[[#This Row],[CLID]],GeoByClient[Right],0))</f>
        <v>GEO1001</v>
      </c>
      <c r="G234" s="2" t="str">
        <f>_xlfn.XLOOKUP(Table2[[#This Row],[Xlookup Region ID]],GEONames[GEOID],GEONames[GEO Name])</f>
        <v>NAM</v>
      </c>
      <c r="H234" s="2" t="str">
        <f>"Q"&amp;ROUNDUP(MONTH(Table2[[#This Row],[Date]])/3,0)&amp;" "&amp;YEAR(Table2[[#This Row],[Date]])</f>
        <v>Q1 2024</v>
      </c>
      <c r="I234" s="2" t="str">
        <f>VLOOKUP(Table2[[#This Row],[Date]],Table7[],3)</f>
        <v>Q1 2024</v>
      </c>
    </row>
    <row r="235" spans="1:9" x14ac:dyDescent="0.25">
      <c r="A235" s="3" t="s">
        <v>21</v>
      </c>
      <c r="B235" s="3">
        <v>45351</v>
      </c>
      <c r="C235" s="6">
        <v>12748</v>
      </c>
      <c r="D235" s="2">
        <f>LEN(Table2[[#This Row],[CLID]])</f>
        <v>7</v>
      </c>
      <c r="E235" s="2" t="str">
        <f>_xlfn.XLOOKUP('Volume Data'!A:A,'Geo Data'!D:D,'Geo Data'!B:B)</f>
        <v>GEO1001</v>
      </c>
      <c r="F235" s="2" t="str">
        <f>INDEX(GeoByClient[GEOID],MATCH(Table2[[#This Row],[CLID]],GeoByClient[Right],0))</f>
        <v>GEO1001</v>
      </c>
      <c r="G235" s="2" t="str">
        <f>_xlfn.XLOOKUP(Table2[[#This Row],[Xlookup Region ID]],GEONames[GEOID],GEONames[GEO Name])</f>
        <v>NAM</v>
      </c>
      <c r="H235" s="2" t="str">
        <f>"Q"&amp;ROUNDUP(MONTH(Table2[[#This Row],[Date]])/3,0)&amp;" "&amp;YEAR(Table2[[#This Row],[Date]])</f>
        <v>Q1 2024</v>
      </c>
      <c r="I235" s="2" t="str">
        <f>VLOOKUP(Table2[[#This Row],[Date]],Table7[],3)</f>
        <v>Q1 2024</v>
      </c>
    </row>
    <row r="236" spans="1:9" x14ac:dyDescent="0.25">
      <c r="A236" s="3" t="s">
        <v>21</v>
      </c>
      <c r="B236" s="3">
        <v>45382</v>
      </c>
      <c r="C236" s="6">
        <v>14162</v>
      </c>
      <c r="D236" s="2">
        <f>LEN(Table2[[#This Row],[CLID]])</f>
        <v>7</v>
      </c>
      <c r="E236" s="2" t="str">
        <f>_xlfn.XLOOKUP('Volume Data'!A:A,'Geo Data'!D:D,'Geo Data'!B:B)</f>
        <v>GEO1001</v>
      </c>
      <c r="F236" s="2" t="str">
        <f>INDEX(GeoByClient[GEOID],MATCH(Table2[[#This Row],[CLID]],GeoByClient[Right],0))</f>
        <v>GEO1001</v>
      </c>
      <c r="G236" s="2" t="str">
        <f>_xlfn.XLOOKUP(Table2[[#This Row],[Xlookup Region ID]],GEONames[GEOID],GEONames[GEO Name])</f>
        <v>NAM</v>
      </c>
      <c r="H236" s="2" t="str">
        <f>"Q"&amp;ROUNDUP(MONTH(Table2[[#This Row],[Date]])/3,0)&amp;" "&amp;YEAR(Table2[[#This Row],[Date]])</f>
        <v>Q1 2024</v>
      </c>
      <c r="I236" s="2" t="str">
        <f>VLOOKUP(Table2[[#This Row],[Date]],Table7[],3)</f>
        <v>Q1 2024</v>
      </c>
    </row>
    <row r="237" spans="1:9" x14ac:dyDescent="0.25">
      <c r="A237" s="3" t="s">
        <v>21</v>
      </c>
      <c r="B237" s="3">
        <v>45412</v>
      </c>
      <c r="C237" s="6">
        <v>16992</v>
      </c>
      <c r="D237" s="2">
        <f>LEN(Table2[[#This Row],[CLID]])</f>
        <v>7</v>
      </c>
      <c r="E237" s="2" t="str">
        <f>_xlfn.XLOOKUP('Volume Data'!A:A,'Geo Data'!D:D,'Geo Data'!B:B)</f>
        <v>GEO1001</v>
      </c>
      <c r="F237" s="2" t="str">
        <f>INDEX(GeoByClient[GEOID],MATCH(Table2[[#This Row],[CLID]],GeoByClient[Right],0))</f>
        <v>GEO1001</v>
      </c>
      <c r="G237" s="2" t="str">
        <f>_xlfn.XLOOKUP(Table2[[#This Row],[Xlookup Region ID]],GEONames[GEOID],GEONames[GEO Name])</f>
        <v>NAM</v>
      </c>
      <c r="H237" s="2" t="str">
        <f>"Q"&amp;ROUNDUP(MONTH(Table2[[#This Row],[Date]])/3,0)&amp;" "&amp;YEAR(Table2[[#This Row],[Date]])</f>
        <v>Q2 2024</v>
      </c>
      <c r="I237" s="2" t="str">
        <f>VLOOKUP(Table2[[#This Row],[Date]],Table7[],3)</f>
        <v>Q2 2024</v>
      </c>
    </row>
    <row r="238" spans="1:9" x14ac:dyDescent="0.25">
      <c r="A238" s="3" t="s">
        <v>21</v>
      </c>
      <c r="B238" s="3">
        <v>45443</v>
      </c>
      <c r="C238" s="6">
        <v>15578</v>
      </c>
      <c r="D238" s="2">
        <f>LEN(Table2[[#This Row],[CLID]])</f>
        <v>7</v>
      </c>
      <c r="E238" s="2" t="str">
        <f>_xlfn.XLOOKUP('Volume Data'!A:A,'Geo Data'!D:D,'Geo Data'!B:B)</f>
        <v>GEO1001</v>
      </c>
      <c r="F238" s="2" t="str">
        <f>INDEX(GeoByClient[GEOID],MATCH(Table2[[#This Row],[CLID]],GeoByClient[Right],0))</f>
        <v>GEO1001</v>
      </c>
      <c r="G238" s="2" t="str">
        <f>_xlfn.XLOOKUP(Table2[[#This Row],[Xlookup Region ID]],GEONames[GEOID],GEONames[GEO Name])</f>
        <v>NAM</v>
      </c>
      <c r="H238" s="2" t="str">
        <f>"Q"&amp;ROUNDUP(MONTH(Table2[[#This Row],[Date]])/3,0)&amp;" "&amp;YEAR(Table2[[#This Row],[Date]])</f>
        <v>Q2 2024</v>
      </c>
      <c r="I238" s="2" t="str">
        <f>VLOOKUP(Table2[[#This Row],[Date]],Table7[],3)</f>
        <v>Q2 2024</v>
      </c>
    </row>
    <row r="239" spans="1:9" x14ac:dyDescent="0.25">
      <c r="A239" s="3" t="s">
        <v>21</v>
      </c>
      <c r="B239" s="3">
        <v>45473</v>
      </c>
      <c r="C239" s="6">
        <v>11330</v>
      </c>
      <c r="D239" s="2">
        <f>LEN(Table2[[#This Row],[CLID]])</f>
        <v>7</v>
      </c>
      <c r="E239" s="2" t="str">
        <f>_xlfn.XLOOKUP('Volume Data'!A:A,'Geo Data'!D:D,'Geo Data'!B:B)</f>
        <v>GEO1001</v>
      </c>
      <c r="F239" s="2" t="str">
        <f>INDEX(GeoByClient[GEOID],MATCH(Table2[[#This Row],[CLID]],GeoByClient[Right],0))</f>
        <v>GEO1001</v>
      </c>
      <c r="G239" s="2" t="str">
        <f>_xlfn.XLOOKUP(Table2[[#This Row],[Xlookup Region ID]],GEONames[GEOID],GEONames[GEO Name])</f>
        <v>NAM</v>
      </c>
      <c r="H239" s="2" t="str">
        <f>"Q"&amp;ROUNDUP(MONTH(Table2[[#This Row],[Date]])/3,0)&amp;" "&amp;YEAR(Table2[[#This Row],[Date]])</f>
        <v>Q2 2024</v>
      </c>
      <c r="I239" s="2" t="str">
        <f>VLOOKUP(Table2[[#This Row],[Date]],Table7[],3)</f>
        <v>Q2 2024</v>
      </c>
    </row>
    <row r="240" spans="1:9" x14ac:dyDescent="0.25">
      <c r="A240" s="3" t="s">
        <v>21</v>
      </c>
      <c r="B240" s="3">
        <v>45504</v>
      </c>
      <c r="C240" s="6">
        <v>9912</v>
      </c>
      <c r="D240" s="2">
        <f>LEN(Table2[[#This Row],[CLID]])</f>
        <v>7</v>
      </c>
      <c r="E240" s="2" t="str">
        <f>_xlfn.XLOOKUP('Volume Data'!A:A,'Geo Data'!D:D,'Geo Data'!B:B)</f>
        <v>GEO1001</v>
      </c>
      <c r="F240" s="2" t="str">
        <f>INDEX(GeoByClient[GEOID],MATCH(Table2[[#This Row],[CLID]],GeoByClient[Right],0))</f>
        <v>GEO1001</v>
      </c>
      <c r="G240" s="2" t="str">
        <f>_xlfn.XLOOKUP(Table2[[#This Row],[Xlookup Region ID]],GEONames[GEOID],GEONames[GEO Name])</f>
        <v>NAM</v>
      </c>
      <c r="H240" s="2" t="str">
        <f>"Q"&amp;ROUNDUP(MONTH(Table2[[#This Row],[Date]])/3,0)&amp;" "&amp;YEAR(Table2[[#This Row],[Date]])</f>
        <v>Q3 2024</v>
      </c>
      <c r="I240" s="2" t="str">
        <f>VLOOKUP(Table2[[#This Row],[Date]],Table7[],3)</f>
        <v>Q3 2024</v>
      </c>
    </row>
    <row r="241" spans="1:9" x14ac:dyDescent="0.25">
      <c r="A241" s="3" t="s">
        <v>21</v>
      </c>
      <c r="B241" s="3">
        <v>45535</v>
      </c>
      <c r="C241" s="6">
        <v>8496</v>
      </c>
      <c r="D241" s="2">
        <f>LEN(Table2[[#This Row],[CLID]])</f>
        <v>7</v>
      </c>
      <c r="E241" s="2" t="str">
        <f>_xlfn.XLOOKUP('Volume Data'!A:A,'Geo Data'!D:D,'Geo Data'!B:B)</f>
        <v>GEO1001</v>
      </c>
      <c r="F241" s="2" t="str">
        <f>INDEX(GeoByClient[GEOID],MATCH(Table2[[#This Row],[CLID]],GeoByClient[Right],0))</f>
        <v>GEO1001</v>
      </c>
      <c r="G241" s="2" t="str">
        <f>_xlfn.XLOOKUP(Table2[[#This Row],[Xlookup Region ID]],GEONames[GEOID],GEONames[GEO Name])</f>
        <v>NAM</v>
      </c>
      <c r="H241" s="2" t="str">
        <f>"Q"&amp;ROUNDUP(MONTH(Table2[[#This Row],[Date]])/3,0)&amp;" "&amp;YEAR(Table2[[#This Row],[Date]])</f>
        <v>Q3 2024</v>
      </c>
      <c r="I241" s="2" t="str">
        <f>VLOOKUP(Table2[[#This Row],[Date]],Table7[],3)</f>
        <v>Q3 2024</v>
      </c>
    </row>
    <row r="242" spans="1:9" x14ac:dyDescent="0.25">
      <c r="A242" s="3" t="s">
        <v>21</v>
      </c>
      <c r="B242" s="3">
        <v>45565</v>
      </c>
      <c r="C242" s="6">
        <v>8502</v>
      </c>
      <c r="D242" s="2">
        <f>LEN(Table2[[#This Row],[CLID]])</f>
        <v>7</v>
      </c>
      <c r="E242" s="2" t="str">
        <f>_xlfn.XLOOKUP('Volume Data'!A:A,'Geo Data'!D:D,'Geo Data'!B:B)</f>
        <v>GEO1001</v>
      </c>
      <c r="F242" s="2" t="str">
        <f>INDEX(GeoByClient[GEOID],MATCH(Table2[[#This Row],[CLID]],GeoByClient[Right],0))</f>
        <v>GEO1001</v>
      </c>
      <c r="G242" s="2" t="str">
        <f>_xlfn.XLOOKUP(Table2[[#This Row],[Xlookup Region ID]],GEONames[GEOID],GEONames[GEO Name])</f>
        <v>NAM</v>
      </c>
      <c r="H242" s="2" t="str">
        <f>"Q"&amp;ROUNDUP(MONTH(Table2[[#This Row],[Date]])/3,0)&amp;" "&amp;YEAR(Table2[[#This Row],[Date]])</f>
        <v>Q3 2024</v>
      </c>
      <c r="I242" s="2" t="str">
        <f>VLOOKUP(Table2[[#This Row],[Date]],Table7[],3)</f>
        <v>Q3 2024</v>
      </c>
    </row>
    <row r="243" spans="1:9" x14ac:dyDescent="0.25">
      <c r="A243" s="3" t="s">
        <v>21</v>
      </c>
      <c r="B243" s="3">
        <v>45596</v>
      </c>
      <c r="C243" s="6">
        <v>9917</v>
      </c>
      <c r="D243" s="2">
        <f>LEN(Table2[[#This Row],[CLID]])</f>
        <v>7</v>
      </c>
      <c r="E243" s="2" t="str">
        <f>_xlfn.XLOOKUP('Volume Data'!A:A,'Geo Data'!D:D,'Geo Data'!B:B)</f>
        <v>GEO1001</v>
      </c>
      <c r="F243" s="2" t="str">
        <f>INDEX(GeoByClient[GEOID],MATCH(Table2[[#This Row],[CLID]],GeoByClient[Right],0))</f>
        <v>GEO1001</v>
      </c>
      <c r="G243" s="2" t="str">
        <f>_xlfn.XLOOKUP(Table2[[#This Row],[Xlookup Region ID]],GEONames[GEOID],GEONames[GEO Name])</f>
        <v>NAM</v>
      </c>
      <c r="H243" s="2" t="str">
        <f>"Q"&amp;ROUNDUP(MONTH(Table2[[#This Row],[Date]])/3,0)&amp;" "&amp;YEAR(Table2[[#This Row],[Date]])</f>
        <v>Q4 2024</v>
      </c>
      <c r="I243" s="2" t="str">
        <f>VLOOKUP(Table2[[#This Row],[Date]],Table7[],3)</f>
        <v>Q4 2024</v>
      </c>
    </row>
    <row r="244" spans="1:9" x14ac:dyDescent="0.25">
      <c r="A244" s="3" t="s">
        <v>21</v>
      </c>
      <c r="B244" s="3">
        <v>45626</v>
      </c>
      <c r="C244" s="6">
        <v>11330</v>
      </c>
      <c r="D244" s="2">
        <f>LEN(Table2[[#This Row],[CLID]])</f>
        <v>7</v>
      </c>
      <c r="E244" s="2" t="str">
        <f>_xlfn.XLOOKUP('Volume Data'!A:A,'Geo Data'!D:D,'Geo Data'!B:B)</f>
        <v>GEO1001</v>
      </c>
      <c r="F244" s="2" t="str">
        <f>INDEX(GeoByClient[GEOID],MATCH(Table2[[#This Row],[CLID]],GeoByClient[Right],0))</f>
        <v>GEO1001</v>
      </c>
      <c r="G244" s="2" t="str">
        <f>_xlfn.XLOOKUP(Table2[[#This Row],[Xlookup Region ID]],GEONames[GEOID],GEONames[GEO Name])</f>
        <v>NAM</v>
      </c>
      <c r="H244" s="2" t="str">
        <f>"Q"&amp;ROUNDUP(MONTH(Table2[[#This Row],[Date]])/3,0)&amp;" "&amp;YEAR(Table2[[#This Row],[Date]])</f>
        <v>Q4 2024</v>
      </c>
      <c r="I244" s="2" t="str">
        <f>VLOOKUP(Table2[[#This Row],[Date]],Table7[],3)</f>
        <v>Q4 2024</v>
      </c>
    </row>
    <row r="245" spans="1:9" x14ac:dyDescent="0.25">
      <c r="A245" s="3" t="s">
        <v>21</v>
      </c>
      <c r="B245" s="3">
        <v>45657</v>
      </c>
      <c r="C245" s="6">
        <v>11328</v>
      </c>
      <c r="D245" s="2">
        <f>LEN(Table2[[#This Row],[CLID]])</f>
        <v>7</v>
      </c>
      <c r="E245" s="2" t="str">
        <f>_xlfn.XLOOKUP('Volume Data'!A:A,'Geo Data'!D:D,'Geo Data'!B:B)</f>
        <v>GEO1001</v>
      </c>
      <c r="F245" s="2" t="str">
        <f>INDEX(GeoByClient[GEOID],MATCH(Table2[[#This Row],[CLID]],GeoByClient[Right],0))</f>
        <v>GEO1001</v>
      </c>
      <c r="G245" s="2" t="str">
        <f>_xlfn.XLOOKUP(Table2[[#This Row],[Xlookup Region ID]],GEONames[GEOID],GEONames[GEO Name])</f>
        <v>NAM</v>
      </c>
      <c r="H245" s="2" t="str">
        <f>"Q"&amp;ROUNDUP(MONTH(Table2[[#This Row],[Date]])/3,0)&amp;" "&amp;YEAR(Table2[[#This Row],[Date]])</f>
        <v>Q4 2024</v>
      </c>
      <c r="I245" s="2" t="str">
        <f>VLOOKUP(Table2[[#This Row],[Date]],Table7[],3)</f>
        <v>Q4 2024</v>
      </c>
    </row>
    <row r="246" spans="1:9" x14ac:dyDescent="0.25">
      <c r="A246" s="3" t="s">
        <v>21</v>
      </c>
      <c r="B246" s="3">
        <v>45838</v>
      </c>
      <c r="C246" s="6">
        <v>11781</v>
      </c>
      <c r="D246" s="2">
        <f>LEN(Table2[[#This Row],[CLID]])</f>
        <v>7</v>
      </c>
      <c r="E246" s="2" t="str">
        <f>_xlfn.XLOOKUP('Volume Data'!A:A,'Geo Data'!D:D,'Geo Data'!B:B)</f>
        <v>GEO1001</v>
      </c>
      <c r="F246" s="2" t="str">
        <f>INDEX(GeoByClient[GEOID],MATCH(Table2[[#This Row],[CLID]],GeoByClient[Right],0))</f>
        <v>GEO1001</v>
      </c>
      <c r="G246" s="2" t="str">
        <f>_xlfn.XLOOKUP(Table2[[#This Row],[Xlookup Region ID]],GEONames[GEOID],GEONames[GEO Name])</f>
        <v>NAM</v>
      </c>
      <c r="H246" s="2" t="str">
        <f>"Q"&amp;ROUNDUP(MONTH(Table2[[#This Row],[Date]])/3,0)&amp;" "&amp;YEAR(Table2[[#This Row],[Date]])</f>
        <v>Q2 2025</v>
      </c>
      <c r="I246" s="2" t="str">
        <f>VLOOKUP(Table2[[#This Row],[Date]],Table7[],3)</f>
        <v>Q2 2025</v>
      </c>
    </row>
    <row r="247" spans="1:9" x14ac:dyDescent="0.25">
      <c r="A247" s="3" t="s">
        <v>21</v>
      </c>
      <c r="B247" s="3">
        <v>45808</v>
      </c>
      <c r="C247" s="6">
        <v>15424</v>
      </c>
      <c r="D247" s="2">
        <f>LEN(Table2[[#This Row],[CLID]])</f>
        <v>7</v>
      </c>
      <c r="E247" s="2" t="str">
        <f>_xlfn.XLOOKUP('Volume Data'!A:A,'Geo Data'!D:D,'Geo Data'!B:B)</f>
        <v>GEO1001</v>
      </c>
      <c r="F247" s="2" t="str">
        <f>INDEX(GeoByClient[GEOID],MATCH(Table2[[#This Row],[CLID]],GeoByClient[Right],0))</f>
        <v>GEO1001</v>
      </c>
      <c r="G247" s="2" t="str">
        <f>_xlfn.XLOOKUP(Table2[[#This Row],[Xlookup Region ID]],GEONames[GEOID],GEONames[GEO Name])</f>
        <v>NAM</v>
      </c>
      <c r="H247" s="2" t="str">
        <f>"Q"&amp;ROUNDUP(MONTH(Table2[[#This Row],[Date]])/3,0)&amp;" "&amp;YEAR(Table2[[#This Row],[Date]])</f>
        <v>Q2 2025</v>
      </c>
      <c r="I247" s="2" t="str">
        <f>VLOOKUP(Table2[[#This Row],[Date]],Table7[],3)</f>
        <v>Q2 2025</v>
      </c>
    </row>
    <row r="248" spans="1:9" x14ac:dyDescent="0.25">
      <c r="A248" s="3" t="s">
        <v>21</v>
      </c>
      <c r="B248" s="3">
        <v>45777</v>
      </c>
      <c r="C248" s="6">
        <v>16906</v>
      </c>
      <c r="D248" s="2">
        <f>LEN(Table2[[#This Row],[CLID]])</f>
        <v>7</v>
      </c>
      <c r="E248" s="2" t="str">
        <f>_xlfn.XLOOKUP('Volume Data'!A:A,'Geo Data'!D:D,'Geo Data'!B:B)</f>
        <v>GEO1001</v>
      </c>
      <c r="F248" s="2" t="str">
        <f>INDEX(GeoByClient[GEOID],MATCH(Table2[[#This Row],[CLID]],GeoByClient[Right],0))</f>
        <v>GEO1001</v>
      </c>
      <c r="G248" s="2" t="str">
        <f>_xlfn.XLOOKUP(Table2[[#This Row],[Xlookup Region ID]],GEONames[GEOID],GEONames[GEO Name])</f>
        <v>NAM</v>
      </c>
      <c r="H248" s="2" t="str">
        <f>"Q"&amp;ROUNDUP(MONTH(Table2[[#This Row],[Date]])/3,0)&amp;" "&amp;YEAR(Table2[[#This Row],[Date]])</f>
        <v>Q2 2025</v>
      </c>
      <c r="I248" s="2" t="str">
        <f>VLOOKUP(Table2[[#This Row],[Date]],Table7[],3)</f>
        <v>Q2 2025</v>
      </c>
    </row>
    <row r="249" spans="1:9" x14ac:dyDescent="0.25">
      <c r="A249" s="3" t="s">
        <v>21</v>
      </c>
      <c r="B249" s="3">
        <v>45747</v>
      </c>
      <c r="C249" s="6">
        <v>14020</v>
      </c>
      <c r="D249" s="2">
        <f>LEN(Table2[[#This Row],[CLID]])</f>
        <v>7</v>
      </c>
      <c r="E249" s="2" t="str">
        <f>_xlfn.XLOOKUP('Volume Data'!A:A,'Geo Data'!D:D,'Geo Data'!B:B)</f>
        <v>GEO1001</v>
      </c>
      <c r="F249" s="2" t="str">
        <f>INDEX(GeoByClient[GEOID],MATCH(Table2[[#This Row],[CLID]],GeoByClient[Right],0))</f>
        <v>GEO1001</v>
      </c>
      <c r="G249" s="2" t="str">
        <f>_xlfn.XLOOKUP(Table2[[#This Row],[Xlookup Region ID]],GEONames[GEOID],GEONames[GEO Name])</f>
        <v>NAM</v>
      </c>
      <c r="H249" s="2" t="str">
        <f>"Q"&amp;ROUNDUP(MONTH(Table2[[#This Row],[Date]])/3,0)&amp;" "&amp;YEAR(Table2[[#This Row],[Date]])</f>
        <v>Q1 2025</v>
      </c>
      <c r="I249" s="2" t="str">
        <f>VLOOKUP(Table2[[#This Row],[Date]],Table7[],3)</f>
        <v>Q4 2024</v>
      </c>
    </row>
    <row r="250" spans="1:9" x14ac:dyDescent="0.25">
      <c r="A250" s="3" t="s">
        <v>21</v>
      </c>
      <c r="B250" s="3">
        <v>45716</v>
      </c>
      <c r="C250" s="6">
        <v>13386</v>
      </c>
      <c r="D250" s="2">
        <f>LEN(Table2[[#This Row],[CLID]])</f>
        <v>7</v>
      </c>
      <c r="E250" s="2" t="str">
        <f>_xlfn.XLOOKUP('Volume Data'!A:A,'Geo Data'!D:D,'Geo Data'!B:B)</f>
        <v>GEO1001</v>
      </c>
      <c r="F250" s="2" t="str">
        <f>INDEX(GeoByClient[GEOID],MATCH(Table2[[#This Row],[CLID]],GeoByClient[Right],0))</f>
        <v>GEO1001</v>
      </c>
      <c r="G250" s="2" t="str">
        <f>_xlfn.XLOOKUP(Table2[[#This Row],[Xlookup Region ID]],GEONames[GEOID],GEONames[GEO Name])</f>
        <v>NAM</v>
      </c>
      <c r="H250" s="2" t="str">
        <f>"Q"&amp;ROUNDUP(MONTH(Table2[[#This Row],[Date]])/3,0)&amp;" "&amp;YEAR(Table2[[#This Row],[Date]])</f>
        <v>Q1 2025</v>
      </c>
      <c r="I250" s="2" t="str">
        <f>VLOOKUP(Table2[[#This Row],[Date]],Table7[],3)</f>
        <v>Q4 2024</v>
      </c>
    </row>
    <row r="251" spans="1:9" x14ac:dyDescent="0.25">
      <c r="A251" s="3" t="s">
        <v>21</v>
      </c>
      <c r="B251" s="3">
        <v>45688</v>
      </c>
      <c r="C251" s="6">
        <v>11896</v>
      </c>
      <c r="D251" s="2">
        <f>LEN(Table2[[#This Row],[CLID]])</f>
        <v>7</v>
      </c>
      <c r="E251" s="2" t="str">
        <f>_xlfn.XLOOKUP('Volume Data'!A:A,'Geo Data'!D:D,'Geo Data'!B:B)</f>
        <v>GEO1001</v>
      </c>
      <c r="F251" s="2" t="str">
        <f>INDEX(GeoByClient[GEOID],MATCH(Table2[[#This Row],[CLID]],GeoByClient[Right],0))</f>
        <v>GEO1001</v>
      </c>
      <c r="G251" s="2" t="str">
        <f>_xlfn.XLOOKUP(Table2[[#This Row],[Xlookup Region ID]],GEONames[GEOID],GEONames[GEO Name])</f>
        <v>NAM</v>
      </c>
      <c r="H251" s="2" t="str">
        <f>"Q"&amp;ROUNDUP(MONTH(Table2[[#This Row],[Date]])/3,0)&amp;" "&amp;YEAR(Table2[[#This Row],[Date]])</f>
        <v>Q1 2025</v>
      </c>
      <c r="I251" s="2" t="str">
        <f>VLOOKUP(Table2[[#This Row],[Date]],Table7[],3)</f>
        <v>Q4 2024</v>
      </c>
    </row>
    <row r="252" spans="1:9" x14ac:dyDescent="0.25">
      <c r="A252" s="3" t="s">
        <v>14</v>
      </c>
      <c r="B252" s="3">
        <v>45322</v>
      </c>
      <c r="C252" s="6">
        <v>358</v>
      </c>
      <c r="D252" s="2">
        <f>LEN(Table2[[#This Row],[CLID]])</f>
        <v>7</v>
      </c>
      <c r="E252" s="2" t="str">
        <f>_xlfn.XLOOKUP('Volume Data'!A:A,'Geo Data'!D:D,'Geo Data'!B:B)</f>
        <v>GEO1004</v>
      </c>
      <c r="F252" s="2" t="str">
        <f>INDEX(GeoByClient[GEOID],MATCH(Table2[[#This Row],[CLID]],GeoByClient[Right],0))</f>
        <v>GEO1004</v>
      </c>
      <c r="G252" s="2" t="str">
        <f>_xlfn.XLOOKUP(Table2[[#This Row],[Xlookup Region ID]],GEONames[GEOID],GEONames[GEO Name])</f>
        <v>LATAM</v>
      </c>
      <c r="H252" s="2" t="str">
        <f>"Q"&amp;ROUNDUP(MONTH(Table2[[#This Row],[Date]])/3,0)&amp;" "&amp;YEAR(Table2[[#This Row],[Date]])</f>
        <v>Q1 2024</v>
      </c>
      <c r="I252" s="2" t="str">
        <f>VLOOKUP(Table2[[#This Row],[Date]],Table7[],3)</f>
        <v>Q1 2024</v>
      </c>
    </row>
    <row r="253" spans="1:9" x14ac:dyDescent="0.25">
      <c r="A253" s="3" t="s">
        <v>14</v>
      </c>
      <c r="B253" s="3">
        <v>45351</v>
      </c>
      <c r="C253" s="6">
        <v>508</v>
      </c>
      <c r="D253" s="2">
        <f>LEN(Table2[[#This Row],[CLID]])</f>
        <v>7</v>
      </c>
      <c r="E253" s="2" t="str">
        <f>_xlfn.XLOOKUP('Volume Data'!A:A,'Geo Data'!D:D,'Geo Data'!B:B)</f>
        <v>GEO1004</v>
      </c>
      <c r="F253" s="2" t="str">
        <f>INDEX(GeoByClient[GEOID],MATCH(Table2[[#This Row],[CLID]],GeoByClient[Right],0))</f>
        <v>GEO1004</v>
      </c>
      <c r="G253" s="2" t="str">
        <f>_xlfn.XLOOKUP(Table2[[#This Row],[Xlookup Region ID]],GEONames[GEOID],GEONames[GEO Name])</f>
        <v>LATAM</v>
      </c>
      <c r="H253" s="2" t="str">
        <f>"Q"&amp;ROUNDUP(MONTH(Table2[[#This Row],[Date]])/3,0)&amp;" "&amp;YEAR(Table2[[#This Row],[Date]])</f>
        <v>Q1 2024</v>
      </c>
      <c r="I253" s="2" t="str">
        <f>VLOOKUP(Table2[[#This Row],[Date]],Table7[],3)</f>
        <v>Q1 2024</v>
      </c>
    </row>
    <row r="254" spans="1:9" x14ac:dyDescent="0.25">
      <c r="A254" s="3" t="s">
        <v>14</v>
      </c>
      <c r="B254" s="3">
        <v>45382</v>
      </c>
      <c r="C254" s="6">
        <v>458</v>
      </c>
      <c r="D254" s="2">
        <f>LEN(Table2[[#This Row],[CLID]])</f>
        <v>7</v>
      </c>
      <c r="E254" s="2" t="str">
        <f>_xlfn.XLOOKUP('Volume Data'!A:A,'Geo Data'!D:D,'Geo Data'!B:B)</f>
        <v>GEO1004</v>
      </c>
      <c r="F254" s="2" t="str">
        <f>INDEX(GeoByClient[GEOID],MATCH(Table2[[#This Row],[CLID]],GeoByClient[Right],0))</f>
        <v>GEO1004</v>
      </c>
      <c r="G254" s="2" t="str">
        <f>_xlfn.XLOOKUP(Table2[[#This Row],[Xlookup Region ID]],GEONames[GEOID],GEONames[GEO Name])</f>
        <v>LATAM</v>
      </c>
      <c r="H254" s="2" t="str">
        <f>"Q"&amp;ROUNDUP(MONTH(Table2[[#This Row],[Date]])/3,0)&amp;" "&amp;YEAR(Table2[[#This Row],[Date]])</f>
        <v>Q1 2024</v>
      </c>
      <c r="I254" s="2" t="str">
        <f>VLOOKUP(Table2[[#This Row],[Date]],Table7[],3)</f>
        <v>Q1 2024</v>
      </c>
    </row>
    <row r="255" spans="1:9" x14ac:dyDescent="0.25">
      <c r="A255" s="3" t="s">
        <v>14</v>
      </c>
      <c r="B255" s="3">
        <v>45412</v>
      </c>
      <c r="C255" s="6">
        <v>655</v>
      </c>
      <c r="D255" s="2">
        <f>LEN(Table2[[#This Row],[CLID]])</f>
        <v>7</v>
      </c>
      <c r="E255" s="2" t="str">
        <f>_xlfn.XLOOKUP('Volume Data'!A:A,'Geo Data'!D:D,'Geo Data'!B:B)</f>
        <v>GEO1004</v>
      </c>
      <c r="F255" s="2" t="str">
        <f>INDEX(GeoByClient[GEOID],MATCH(Table2[[#This Row],[CLID]],GeoByClient[Right],0))</f>
        <v>GEO1004</v>
      </c>
      <c r="G255" s="2" t="str">
        <f>_xlfn.XLOOKUP(Table2[[#This Row],[Xlookup Region ID]],GEONames[GEOID],GEONames[GEO Name])</f>
        <v>LATAM</v>
      </c>
      <c r="H255" s="2" t="str">
        <f>"Q"&amp;ROUNDUP(MONTH(Table2[[#This Row],[Date]])/3,0)&amp;" "&amp;YEAR(Table2[[#This Row],[Date]])</f>
        <v>Q2 2024</v>
      </c>
      <c r="I255" s="2" t="str">
        <f>VLOOKUP(Table2[[#This Row],[Date]],Table7[],3)</f>
        <v>Q2 2024</v>
      </c>
    </row>
    <row r="256" spans="1:9" x14ac:dyDescent="0.25">
      <c r="A256" s="3" t="s">
        <v>14</v>
      </c>
      <c r="B256" s="3">
        <v>45443</v>
      </c>
      <c r="C256" s="6">
        <v>506</v>
      </c>
      <c r="D256" s="2">
        <f>LEN(Table2[[#This Row],[CLID]])</f>
        <v>7</v>
      </c>
      <c r="E256" s="2" t="str">
        <f>_xlfn.XLOOKUP('Volume Data'!A:A,'Geo Data'!D:D,'Geo Data'!B:B)</f>
        <v>GEO1004</v>
      </c>
      <c r="F256" s="2" t="str">
        <f>INDEX(GeoByClient[GEOID],MATCH(Table2[[#This Row],[CLID]],GeoByClient[Right],0))</f>
        <v>GEO1004</v>
      </c>
      <c r="G256" s="2" t="str">
        <f>_xlfn.XLOOKUP(Table2[[#This Row],[Xlookup Region ID]],GEONames[GEOID],GEONames[GEO Name])</f>
        <v>LATAM</v>
      </c>
      <c r="H256" s="2" t="str">
        <f>"Q"&amp;ROUNDUP(MONTH(Table2[[#This Row],[Date]])/3,0)&amp;" "&amp;YEAR(Table2[[#This Row],[Date]])</f>
        <v>Q2 2024</v>
      </c>
      <c r="I256" s="2" t="str">
        <f>VLOOKUP(Table2[[#This Row],[Date]],Table7[],3)</f>
        <v>Q2 2024</v>
      </c>
    </row>
    <row r="257" spans="1:9" x14ac:dyDescent="0.25">
      <c r="A257" s="3" t="s">
        <v>14</v>
      </c>
      <c r="B257" s="3">
        <v>45473</v>
      </c>
      <c r="C257" s="6">
        <v>458</v>
      </c>
      <c r="D257" s="2">
        <f>LEN(Table2[[#This Row],[CLID]])</f>
        <v>7</v>
      </c>
      <c r="E257" s="2" t="str">
        <f>_xlfn.XLOOKUP('Volume Data'!A:A,'Geo Data'!D:D,'Geo Data'!B:B)</f>
        <v>GEO1004</v>
      </c>
      <c r="F257" s="2" t="str">
        <f>INDEX(GeoByClient[GEOID],MATCH(Table2[[#This Row],[CLID]],GeoByClient[Right],0))</f>
        <v>GEO1004</v>
      </c>
      <c r="G257" s="2" t="str">
        <f>_xlfn.XLOOKUP(Table2[[#This Row],[Xlookup Region ID]],GEONames[GEOID],GEONames[GEO Name])</f>
        <v>LATAM</v>
      </c>
      <c r="H257" s="2" t="str">
        <f>"Q"&amp;ROUNDUP(MONTH(Table2[[#This Row],[Date]])/3,0)&amp;" "&amp;YEAR(Table2[[#This Row],[Date]])</f>
        <v>Q2 2024</v>
      </c>
      <c r="I257" s="2" t="str">
        <f>VLOOKUP(Table2[[#This Row],[Date]],Table7[],3)</f>
        <v>Q2 2024</v>
      </c>
    </row>
    <row r="258" spans="1:9" x14ac:dyDescent="0.25">
      <c r="A258" s="3" t="s">
        <v>14</v>
      </c>
      <c r="B258" s="3">
        <v>45504</v>
      </c>
      <c r="C258" s="6">
        <v>308</v>
      </c>
      <c r="D258" s="2">
        <f>LEN(Table2[[#This Row],[CLID]])</f>
        <v>7</v>
      </c>
      <c r="E258" s="2" t="str">
        <f>_xlfn.XLOOKUP('Volume Data'!A:A,'Geo Data'!D:D,'Geo Data'!B:B)</f>
        <v>GEO1004</v>
      </c>
      <c r="F258" s="2" t="str">
        <f>INDEX(GeoByClient[GEOID],MATCH(Table2[[#This Row],[CLID]],GeoByClient[Right],0))</f>
        <v>GEO1004</v>
      </c>
      <c r="G258" s="2" t="str">
        <f>_xlfn.XLOOKUP(Table2[[#This Row],[Xlookup Region ID]],GEONames[GEOID],GEONames[GEO Name])</f>
        <v>LATAM</v>
      </c>
      <c r="H258" s="2" t="str">
        <f>"Q"&amp;ROUNDUP(MONTH(Table2[[#This Row],[Date]])/3,0)&amp;" "&amp;YEAR(Table2[[#This Row],[Date]])</f>
        <v>Q3 2024</v>
      </c>
      <c r="I258" s="2" t="str">
        <f>VLOOKUP(Table2[[#This Row],[Date]],Table7[],3)</f>
        <v>Q3 2024</v>
      </c>
    </row>
    <row r="259" spans="1:9" x14ac:dyDescent="0.25">
      <c r="A259" s="3" t="s">
        <v>14</v>
      </c>
      <c r="B259" s="3">
        <v>45535</v>
      </c>
      <c r="C259" s="6">
        <v>353</v>
      </c>
      <c r="D259" s="2">
        <f>LEN(Table2[[#This Row],[CLID]])</f>
        <v>7</v>
      </c>
      <c r="E259" s="2" t="str">
        <f>_xlfn.XLOOKUP('Volume Data'!A:A,'Geo Data'!D:D,'Geo Data'!B:B)</f>
        <v>GEO1004</v>
      </c>
      <c r="F259" s="2" t="str">
        <f>INDEX(GeoByClient[GEOID],MATCH(Table2[[#This Row],[CLID]],GeoByClient[Right],0))</f>
        <v>GEO1004</v>
      </c>
      <c r="G259" s="2" t="str">
        <f>_xlfn.XLOOKUP(Table2[[#This Row],[Xlookup Region ID]],GEONames[GEOID],GEONames[GEO Name])</f>
        <v>LATAM</v>
      </c>
      <c r="H259" s="2" t="str">
        <f>"Q"&amp;ROUNDUP(MONTH(Table2[[#This Row],[Date]])/3,0)&amp;" "&amp;YEAR(Table2[[#This Row],[Date]])</f>
        <v>Q3 2024</v>
      </c>
      <c r="I259" s="2" t="str">
        <f>VLOOKUP(Table2[[#This Row],[Date]],Table7[],3)</f>
        <v>Q3 2024</v>
      </c>
    </row>
    <row r="260" spans="1:9" x14ac:dyDescent="0.25">
      <c r="A260" s="3" t="s">
        <v>14</v>
      </c>
      <c r="B260" s="3">
        <v>45565</v>
      </c>
      <c r="C260" s="6">
        <v>252</v>
      </c>
      <c r="D260" s="2">
        <f>LEN(Table2[[#This Row],[CLID]])</f>
        <v>7</v>
      </c>
      <c r="E260" s="2" t="str">
        <f>_xlfn.XLOOKUP('Volume Data'!A:A,'Geo Data'!D:D,'Geo Data'!B:B)</f>
        <v>GEO1004</v>
      </c>
      <c r="F260" s="2" t="str">
        <f>INDEX(GeoByClient[GEOID],MATCH(Table2[[#This Row],[CLID]],GeoByClient[Right],0))</f>
        <v>GEO1004</v>
      </c>
      <c r="G260" s="2" t="str">
        <f>_xlfn.XLOOKUP(Table2[[#This Row],[Xlookup Region ID]],GEONames[GEOID],GEONames[GEO Name])</f>
        <v>LATAM</v>
      </c>
      <c r="H260" s="2" t="str">
        <f>"Q"&amp;ROUNDUP(MONTH(Table2[[#This Row],[Date]])/3,0)&amp;" "&amp;YEAR(Table2[[#This Row],[Date]])</f>
        <v>Q3 2024</v>
      </c>
      <c r="I260" s="2" t="str">
        <f>VLOOKUP(Table2[[#This Row],[Date]],Table7[],3)</f>
        <v>Q3 2024</v>
      </c>
    </row>
    <row r="261" spans="1:9" x14ac:dyDescent="0.25">
      <c r="A261" s="3" t="s">
        <v>14</v>
      </c>
      <c r="B261" s="3">
        <v>45596</v>
      </c>
      <c r="C261" s="6">
        <v>402</v>
      </c>
      <c r="D261" s="2">
        <f>LEN(Table2[[#This Row],[CLID]])</f>
        <v>7</v>
      </c>
      <c r="E261" s="2" t="str">
        <f>_xlfn.XLOOKUP('Volume Data'!A:A,'Geo Data'!D:D,'Geo Data'!B:B)</f>
        <v>GEO1004</v>
      </c>
      <c r="F261" s="2" t="str">
        <f>INDEX(GeoByClient[GEOID],MATCH(Table2[[#This Row],[CLID]],GeoByClient[Right],0))</f>
        <v>GEO1004</v>
      </c>
      <c r="G261" s="2" t="str">
        <f>_xlfn.XLOOKUP(Table2[[#This Row],[Xlookup Region ID]],GEONames[GEOID],GEONames[GEO Name])</f>
        <v>LATAM</v>
      </c>
      <c r="H261" s="2" t="str">
        <f>"Q"&amp;ROUNDUP(MONTH(Table2[[#This Row],[Date]])/3,0)&amp;" "&amp;YEAR(Table2[[#This Row],[Date]])</f>
        <v>Q4 2024</v>
      </c>
      <c r="I261" s="2" t="str">
        <f>VLOOKUP(Table2[[#This Row],[Date]],Table7[],3)</f>
        <v>Q4 2024</v>
      </c>
    </row>
    <row r="262" spans="1:9" x14ac:dyDescent="0.25">
      <c r="A262" s="3" t="s">
        <v>14</v>
      </c>
      <c r="B262" s="3">
        <v>45626</v>
      </c>
      <c r="C262" s="6">
        <v>352</v>
      </c>
      <c r="D262" s="2">
        <f>LEN(Table2[[#This Row],[CLID]])</f>
        <v>7</v>
      </c>
      <c r="E262" s="2" t="str">
        <f>_xlfn.XLOOKUP('Volume Data'!A:A,'Geo Data'!D:D,'Geo Data'!B:B)</f>
        <v>GEO1004</v>
      </c>
      <c r="F262" s="2" t="str">
        <f>INDEX(GeoByClient[GEOID],MATCH(Table2[[#This Row],[CLID]],GeoByClient[Right],0))</f>
        <v>GEO1004</v>
      </c>
      <c r="G262" s="2" t="str">
        <f>_xlfn.XLOOKUP(Table2[[#This Row],[Xlookup Region ID]],GEONames[GEOID],GEONames[GEO Name])</f>
        <v>LATAM</v>
      </c>
      <c r="H262" s="2" t="str">
        <f>"Q"&amp;ROUNDUP(MONTH(Table2[[#This Row],[Date]])/3,0)&amp;" "&amp;YEAR(Table2[[#This Row],[Date]])</f>
        <v>Q4 2024</v>
      </c>
      <c r="I262" s="2" t="str">
        <f>VLOOKUP(Table2[[#This Row],[Date]],Table7[],3)</f>
        <v>Q4 2024</v>
      </c>
    </row>
    <row r="263" spans="1:9" x14ac:dyDescent="0.25">
      <c r="A263" s="3" t="s">
        <v>14</v>
      </c>
      <c r="B263" s="3">
        <v>45657</v>
      </c>
      <c r="C263" s="6">
        <v>457</v>
      </c>
      <c r="D263" s="2">
        <f>LEN(Table2[[#This Row],[CLID]])</f>
        <v>7</v>
      </c>
      <c r="E263" s="2" t="str">
        <f>_xlfn.XLOOKUP('Volume Data'!A:A,'Geo Data'!D:D,'Geo Data'!B:B)</f>
        <v>GEO1004</v>
      </c>
      <c r="F263" s="2" t="str">
        <f>INDEX(GeoByClient[GEOID],MATCH(Table2[[#This Row],[CLID]],GeoByClient[Right],0))</f>
        <v>GEO1004</v>
      </c>
      <c r="G263" s="2" t="str">
        <f>_xlfn.XLOOKUP(Table2[[#This Row],[Xlookup Region ID]],GEONames[GEOID],GEONames[GEO Name])</f>
        <v>LATAM</v>
      </c>
      <c r="H263" s="2" t="str">
        <f>"Q"&amp;ROUNDUP(MONTH(Table2[[#This Row],[Date]])/3,0)&amp;" "&amp;YEAR(Table2[[#This Row],[Date]])</f>
        <v>Q4 2024</v>
      </c>
      <c r="I263" s="2" t="str">
        <f>VLOOKUP(Table2[[#This Row],[Date]],Table7[],3)</f>
        <v>Q4 2024</v>
      </c>
    </row>
    <row r="264" spans="1:9" x14ac:dyDescent="0.25">
      <c r="A264" s="3" t="s">
        <v>14</v>
      </c>
      <c r="B264" s="3">
        <v>45838</v>
      </c>
      <c r="C264" s="6">
        <v>472</v>
      </c>
      <c r="D264" s="2">
        <f>LEN(Table2[[#This Row],[CLID]])</f>
        <v>7</v>
      </c>
      <c r="E264" s="2" t="str">
        <f>_xlfn.XLOOKUP('Volume Data'!A:A,'Geo Data'!D:D,'Geo Data'!B:B)</f>
        <v>GEO1004</v>
      </c>
      <c r="F264" s="2" t="str">
        <f>INDEX(GeoByClient[GEOID],MATCH(Table2[[#This Row],[CLID]],GeoByClient[Right],0))</f>
        <v>GEO1004</v>
      </c>
      <c r="G264" s="2" t="str">
        <f>_xlfn.XLOOKUP(Table2[[#This Row],[Xlookup Region ID]],GEONames[GEOID],GEONames[GEO Name])</f>
        <v>LATAM</v>
      </c>
      <c r="H264" s="2" t="str">
        <f>"Q"&amp;ROUNDUP(MONTH(Table2[[#This Row],[Date]])/3,0)&amp;" "&amp;YEAR(Table2[[#This Row],[Date]])</f>
        <v>Q2 2025</v>
      </c>
      <c r="I264" s="2" t="str">
        <f>VLOOKUP(Table2[[#This Row],[Date]],Table7[],3)</f>
        <v>Q2 2025</v>
      </c>
    </row>
    <row r="265" spans="1:9" x14ac:dyDescent="0.25">
      <c r="A265" s="3" t="s">
        <v>14</v>
      </c>
      <c r="B265" s="3">
        <v>45808</v>
      </c>
      <c r="C265" s="6">
        <v>499</v>
      </c>
      <c r="D265" s="2">
        <f>LEN(Table2[[#This Row],[CLID]])</f>
        <v>7</v>
      </c>
      <c r="E265" s="2" t="str">
        <f>_xlfn.XLOOKUP('Volume Data'!A:A,'Geo Data'!D:D,'Geo Data'!B:B)</f>
        <v>GEO1004</v>
      </c>
      <c r="F265" s="2" t="str">
        <f>INDEX(GeoByClient[GEOID],MATCH(Table2[[#This Row],[CLID]],GeoByClient[Right],0))</f>
        <v>GEO1004</v>
      </c>
      <c r="G265" s="2" t="str">
        <f>_xlfn.XLOOKUP(Table2[[#This Row],[Xlookup Region ID]],GEONames[GEOID],GEONames[GEO Name])</f>
        <v>LATAM</v>
      </c>
      <c r="H265" s="2" t="str">
        <f>"Q"&amp;ROUNDUP(MONTH(Table2[[#This Row],[Date]])/3,0)&amp;" "&amp;YEAR(Table2[[#This Row],[Date]])</f>
        <v>Q2 2025</v>
      </c>
      <c r="I265" s="2" t="str">
        <f>VLOOKUP(Table2[[#This Row],[Date]],Table7[],3)</f>
        <v>Q2 2025</v>
      </c>
    </row>
    <row r="266" spans="1:9" x14ac:dyDescent="0.25">
      <c r="A266" s="3" t="s">
        <v>14</v>
      </c>
      <c r="B266" s="3">
        <v>45777</v>
      </c>
      <c r="C266" s="6">
        <v>665</v>
      </c>
      <c r="D266" s="2">
        <f>LEN(Table2[[#This Row],[CLID]])</f>
        <v>7</v>
      </c>
      <c r="E266" s="2" t="str">
        <f>_xlfn.XLOOKUP('Volume Data'!A:A,'Geo Data'!D:D,'Geo Data'!B:B)</f>
        <v>GEO1004</v>
      </c>
      <c r="F266" s="2" t="str">
        <f>INDEX(GeoByClient[GEOID],MATCH(Table2[[#This Row],[CLID]],GeoByClient[Right],0))</f>
        <v>GEO1004</v>
      </c>
      <c r="G266" s="2" t="str">
        <f>_xlfn.XLOOKUP(Table2[[#This Row],[Xlookup Region ID]],GEONames[GEOID],GEONames[GEO Name])</f>
        <v>LATAM</v>
      </c>
      <c r="H266" s="2" t="str">
        <f>"Q"&amp;ROUNDUP(MONTH(Table2[[#This Row],[Date]])/3,0)&amp;" "&amp;YEAR(Table2[[#This Row],[Date]])</f>
        <v>Q2 2025</v>
      </c>
      <c r="I266" s="2" t="str">
        <f>VLOOKUP(Table2[[#This Row],[Date]],Table7[],3)</f>
        <v>Q2 2025</v>
      </c>
    </row>
    <row r="267" spans="1:9" x14ac:dyDescent="0.25">
      <c r="A267" s="3" t="s">
        <v>14</v>
      </c>
      <c r="B267" s="3">
        <v>45747</v>
      </c>
      <c r="C267" s="6">
        <v>459</v>
      </c>
      <c r="D267" s="2">
        <f>LEN(Table2[[#This Row],[CLID]])</f>
        <v>7</v>
      </c>
      <c r="E267" s="2" t="str">
        <f>_xlfn.XLOOKUP('Volume Data'!A:A,'Geo Data'!D:D,'Geo Data'!B:B)</f>
        <v>GEO1004</v>
      </c>
      <c r="F267" s="2" t="str">
        <f>INDEX(GeoByClient[GEOID],MATCH(Table2[[#This Row],[CLID]],GeoByClient[Right],0))</f>
        <v>GEO1004</v>
      </c>
      <c r="G267" s="2" t="str">
        <f>_xlfn.XLOOKUP(Table2[[#This Row],[Xlookup Region ID]],GEONames[GEOID],GEONames[GEO Name])</f>
        <v>LATAM</v>
      </c>
      <c r="H267" s="2" t="str">
        <f>"Q"&amp;ROUNDUP(MONTH(Table2[[#This Row],[Date]])/3,0)&amp;" "&amp;YEAR(Table2[[#This Row],[Date]])</f>
        <v>Q1 2025</v>
      </c>
      <c r="I267" s="2" t="str">
        <f>VLOOKUP(Table2[[#This Row],[Date]],Table7[],3)</f>
        <v>Q4 2024</v>
      </c>
    </row>
    <row r="268" spans="1:9" x14ac:dyDescent="0.25">
      <c r="A268" s="3" t="s">
        <v>14</v>
      </c>
      <c r="B268" s="3">
        <v>45716</v>
      </c>
      <c r="C268" s="6">
        <v>519</v>
      </c>
      <c r="D268" s="2">
        <f>LEN(Table2[[#This Row],[CLID]])</f>
        <v>7</v>
      </c>
      <c r="E268" s="2" t="str">
        <f>_xlfn.XLOOKUP('Volume Data'!A:A,'Geo Data'!D:D,'Geo Data'!B:B)</f>
        <v>GEO1004</v>
      </c>
      <c r="F268" s="2" t="str">
        <f>INDEX(GeoByClient[GEOID],MATCH(Table2[[#This Row],[CLID]],GeoByClient[Right],0))</f>
        <v>GEO1004</v>
      </c>
      <c r="G268" s="2" t="str">
        <f>_xlfn.XLOOKUP(Table2[[#This Row],[Xlookup Region ID]],GEONames[GEOID],GEONames[GEO Name])</f>
        <v>LATAM</v>
      </c>
      <c r="H268" s="2" t="str">
        <f>"Q"&amp;ROUNDUP(MONTH(Table2[[#This Row],[Date]])/3,0)&amp;" "&amp;YEAR(Table2[[#This Row],[Date]])</f>
        <v>Q1 2025</v>
      </c>
      <c r="I268" s="2" t="str">
        <f>VLOOKUP(Table2[[#This Row],[Date]],Table7[],3)</f>
        <v>Q4 2024</v>
      </c>
    </row>
    <row r="269" spans="1:9" x14ac:dyDescent="0.25">
      <c r="A269" s="3" t="s">
        <v>14</v>
      </c>
      <c r="B269" s="3">
        <v>45688</v>
      </c>
      <c r="C269" s="6">
        <v>358</v>
      </c>
      <c r="D269" s="2">
        <f>LEN(Table2[[#This Row],[CLID]])</f>
        <v>7</v>
      </c>
      <c r="E269" s="2" t="str">
        <f>_xlfn.XLOOKUP('Volume Data'!A:A,'Geo Data'!D:D,'Geo Data'!B:B)</f>
        <v>GEO1004</v>
      </c>
      <c r="F269" s="2" t="str">
        <f>INDEX(GeoByClient[GEOID],MATCH(Table2[[#This Row],[CLID]],GeoByClient[Right],0))</f>
        <v>GEO1004</v>
      </c>
      <c r="G269" s="2" t="str">
        <f>_xlfn.XLOOKUP(Table2[[#This Row],[Xlookup Region ID]],GEONames[GEOID],GEONames[GEO Name])</f>
        <v>LATAM</v>
      </c>
      <c r="H269" s="2" t="str">
        <f>"Q"&amp;ROUNDUP(MONTH(Table2[[#This Row],[Date]])/3,0)&amp;" "&amp;YEAR(Table2[[#This Row],[Date]])</f>
        <v>Q1 2025</v>
      </c>
      <c r="I269" s="2" t="str">
        <f>VLOOKUP(Table2[[#This Row],[Date]],Table7[],3)</f>
        <v>Q4 2024</v>
      </c>
    </row>
    <row r="270" spans="1:9" x14ac:dyDescent="0.25">
      <c r="A270" s="3" t="s">
        <v>17</v>
      </c>
      <c r="B270" s="3">
        <v>45322</v>
      </c>
      <c r="C270" s="6">
        <v>20394</v>
      </c>
      <c r="D270" s="2">
        <f>LEN(Table2[[#This Row],[CLID]])</f>
        <v>7</v>
      </c>
      <c r="E270" s="2" t="str">
        <f>_xlfn.XLOOKUP('Volume Data'!A:A,'Geo Data'!D:D,'Geo Data'!B:B)</f>
        <v>GEO1001</v>
      </c>
      <c r="F270" s="2" t="str">
        <f>INDEX(GeoByClient[GEOID],MATCH(Table2[[#This Row],[CLID]],GeoByClient[Right],0))</f>
        <v>GEO1001</v>
      </c>
      <c r="G270" s="2" t="str">
        <f>_xlfn.XLOOKUP(Table2[[#This Row],[Xlookup Region ID]],GEONames[GEOID],GEONames[GEO Name])</f>
        <v>NAM</v>
      </c>
      <c r="H270" s="2" t="str">
        <f>"Q"&amp;ROUNDUP(MONTH(Table2[[#This Row],[Date]])/3,0)&amp;" "&amp;YEAR(Table2[[#This Row],[Date]])</f>
        <v>Q1 2024</v>
      </c>
      <c r="I270" s="2" t="str">
        <f>VLOOKUP(Table2[[#This Row],[Date]],Table7[],3)</f>
        <v>Q1 2024</v>
      </c>
    </row>
    <row r="271" spans="1:9" x14ac:dyDescent="0.25">
      <c r="A271" s="3" t="s">
        <v>17</v>
      </c>
      <c r="B271" s="3">
        <v>45351</v>
      </c>
      <c r="C271" s="6">
        <v>22941</v>
      </c>
      <c r="D271" s="2">
        <f>LEN(Table2[[#This Row],[CLID]])</f>
        <v>7</v>
      </c>
      <c r="E271" s="2" t="str">
        <f>_xlfn.XLOOKUP('Volume Data'!A:A,'Geo Data'!D:D,'Geo Data'!B:B)</f>
        <v>GEO1001</v>
      </c>
      <c r="F271" s="2" t="str">
        <f>INDEX(GeoByClient[GEOID],MATCH(Table2[[#This Row],[CLID]],GeoByClient[Right],0))</f>
        <v>GEO1001</v>
      </c>
      <c r="G271" s="2" t="str">
        <f>_xlfn.XLOOKUP(Table2[[#This Row],[Xlookup Region ID]],GEONames[GEOID],GEONames[GEO Name])</f>
        <v>NAM</v>
      </c>
      <c r="H271" s="2" t="str">
        <f>"Q"&amp;ROUNDUP(MONTH(Table2[[#This Row],[Date]])/3,0)&amp;" "&amp;YEAR(Table2[[#This Row],[Date]])</f>
        <v>Q1 2024</v>
      </c>
      <c r="I271" s="2" t="str">
        <f>VLOOKUP(Table2[[#This Row],[Date]],Table7[],3)</f>
        <v>Q1 2024</v>
      </c>
    </row>
    <row r="272" spans="1:9" x14ac:dyDescent="0.25">
      <c r="A272" s="3" t="s">
        <v>17</v>
      </c>
      <c r="B272" s="3">
        <v>45382</v>
      </c>
      <c r="C272" s="6">
        <v>25487</v>
      </c>
      <c r="D272" s="2">
        <f>LEN(Table2[[#This Row],[CLID]])</f>
        <v>7</v>
      </c>
      <c r="E272" s="2" t="str">
        <f>_xlfn.XLOOKUP('Volume Data'!A:A,'Geo Data'!D:D,'Geo Data'!B:B)</f>
        <v>GEO1001</v>
      </c>
      <c r="F272" s="2" t="str">
        <f>INDEX(GeoByClient[GEOID],MATCH(Table2[[#This Row],[CLID]],GeoByClient[Right],0))</f>
        <v>GEO1001</v>
      </c>
      <c r="G272" s="2" t="str">
        <f>_xlfn.XLOOKUP(Table2[[#This Row],[Xlookup Region ID]],GEONames[GEOID],GEONames[GEO Name])</f>
        <v>NAM</v>
      </c>
      <c r="H272" s="2" t="str">
        <f>"Q"&amp;ROUNDUP(MONTH(Table2[[#This Row],[Date]])/3,0)&amp;" "&amp;YEAR(Table2[[#This Row],[Date]])</f>
        <v>Q1 2024</v>
      </c>
      <c r="I272" s="2" t="str">
        <f>VLOOKUP(Table2[[#This Row],[Date]],Table7[],3)</f>
        <v>Q1 2024</v>
      </c>
    </row>
    <row r="273" spans="1:9" x14ac:dyDescent="0.25">
      <c r="A273" s="3" t="s">
        <v>17</v>
      </c>
      <c r="B273" s="3">
        <v>45412</v>
      </c>
      <c r="C273" s="6">
        <v>30586</v>
      </c>
      <c r="D273" s="2">
        <f>LEN(Table2[[#This Row],[CLID]])</f>
        <v>7</v>
      </c>
      <c r="E273" s="2" t="str">
        <f>_xlfn.XLOOKUP('Volume Data'!A:A,'Geo Data'!D:D,'Geo Data'!B:B)</f>
        <v>GEO1001</v>
      </c>
      <c r="F273" s="2" t="str">
        <f>INDEX(GeoByClient[GEOID],MATCH(Table2[[#This Row],[CLID]],GeoByClient[Right],0))</f>
        <v>GEO1001</v>
      </c>
      <c r="G273" s="2" t="str">
        <f>_xlfn.XLOOKUP(Table2[[#This Row],[Xlookup Region ID]],GEONames[GEOID],GEONames[GEO Name])</f>
        <v>NAM</v>
      </c>
      <c r="H273" s="2" t="str">
        <f>"Q"&amp;ROUNDUP(MONTH(Table2[[#This Row],[Date]])/3,0)&amp;" "&amp;YEAR(Table2[[#This Row],[Date]])</f>
        <v>Q2 2024</v>
      </c>
      <c r="I273" s="2" t="str">
        <f>VLOOKUP(Table2[[#This Row],[Date]],Table7[],3)</f>
        <v>Q2 2024</v>
      </c>
    </row>
    <row r="274" spans="1:9" x14ac:dyDescent="0.25">
      <c r="A274" s="3" t="s">
        <v>17</v>
      </c>
      <c r="B274" s="3">
        <v>45443</v>
      </c>
      <c r="C274" s="6">
        <v>28040</v>
      </c>
      <c r="D274" s="2">
        <f>LEN(Table2[[#This Row],[CLID]])</f>
        <v>7</v>
      </c>
      <c r="E274" s="2" t="str">
        <f>_xlfn.XLOOKUP('Volume Data'!A:A,'Geo Data'!D:D,'Geo Data'!B:B)</f>
        <v>GEO1001</v>
      </c>
      <c r="F274" s="2" t="str">
        <f>INDEX(GeoByClient[GEOID],MATCH(Table2[[#This Row],[CLID]],GeoByClient[Right],0))</f>
        <v>GEO1001</v>
      </c>
      <c r="G274" s="2" t="str">
        <f>_xlfn.XLOOKUP(Table2[[#This Row],[Xlookup Region ID]],GEONames[GEOID],GEONames[GEO Name])</f>
        <v>NAM</v>
      </c>
      <c r="H274" s="2" t="str">
        <f>"Q"&amp;ROUNDUP(MONTH(Table2[[#This Row],[Date]])/3,0)&amp;" "&amp;YEAR(Table2[[#This Row],[Date]])</f>
        <v>Q2 2024</v>
      </c>
      <c r="I274" s="2" t="str">
        <f>VLOOKUP(Table2[[#This Row],[Date]],Table7[],3)</f>
        <v>Q2 2024</v>
      </c>
    </row>
    <row r="275" spans="1:9" x14ac:dyDescent="0.25">
      <c r="A275" s="3" t="s">
        <v>17</v>
      </c>
      <c r="B275" s="3">
        <v>45473</v>
      </c>
      <c r="C275" s="6">
        <v>20393</v>
      </c>
      <c r="D275" s="2">
        <f>LEN(Table2[[#This Row],[CLID]])</f>
        <v>7</v>
      </c>
      <c r="E275" s="2" t="str">
        <f>_xlfn.XLOOKUP('Volume Data'!A:A,'Geo Data'!D:D,'Geo Data'!B:B)</f>
        <v>GEO1001</v>
      </c>
      <c r="F275" s="2" t="str">
        <f>INDEX(GeoByClient[GEOID],MATCH(Table2[[#This Row],[CLID]],GeoByClient[Right],0))</f>
        <v>GEO1001</v>
      </c>
      <c r="G275" s="2" t="str">
        <f>_xlfn.XLOOKUP(Table2[[#This Row],[Xlookup Region ID]],GEONames[GEOID],GEONames[GEO Name])</f>
        <v>NAM</v>
      </c>
      <c r="H275" s="2" t="str">
        <f>"Q"&amp;ROUNDUP(MONTH(Table2[[#This Row],[Date]])/3,0)&amp;" "&amp;YEAR(Table2[[#This Row],[Date]])</f>
        <v>Q2 2024</v>
      </c>
      <c r="I275" s="2" t="str">
        <f>VLOOKUP(Table2[[#This Row],[Date]],Table7[],3)</f>
        <v>Q2 2024</v>
      </c>
    </row>
    <row r="276" spans="1:9" x14ac:dyDescent="0.25">
      <c r="A276" s="3" t="s">
        <v>17</v>
      </c>
      <c r="B276" s="3">
        <v>45504</v>
      </c>
      <c r="C276" s="6">
        <v>17841</v>
      </c>
      <c r="D276" s="2">
        <f>LEN(Table2[[#This Row],[CLID]])</f>
        <v>7</v>
      </c>
      <c r="E276" s="2" t="str">
        <f>_xlfn.XLOOKUP('Volume Data'!A:A,'Geo Data'!D:D,'Geo Data'!B:B)</f>
        <v>GEO1001</v>
      </c>
      <c r="F276" s="2" t="str">
        <f>INDEX(GeoByClient[GEOID],MATCH(Table2[[#This Row],[CLID]],GeoByClient[Right],0))</f>
        <v>GEO1001</v>
      </c>
      <c r="G276" s="2" t="str">
        <f>_xlfn.XLOOKUP(Table2[[#This Row],[Xlookup Region ID]],GEONames[GEOID],GEONames[GEO Name])</f>
        <v>NAM</v>
      </c>
      <c r="H276" s="2" t="str">
        <f>"Q"&amp;ROUNDUP(MONTH(Table2[[#This Row],[Date]])/3,0)&amp;" "&amp;YEAR(Table2[[#This Row],[Date]])</f>
        <v>Q3 2024</v>
      </c>
      <c r="I276" s="2" t="str">
        <f>VLOOKUP(Table2[[#This Row],[Date]],Table7[],3)</f>
        <v>Q3 2024</v>
      </c>
    </row>
    <row r="277" spans="1:9" x14ac:dyDescent="0.25">
      <c r="A277" s="3" t="s">
        <v>17</v>
      </c>
      <c r="B277" s="3">
        <v>45535</v>
      </c>
      <c r="C277" s="6">
        <v>15298</v>
      </c>
      <c r="D277" s="2">
        <f>LEN(Table2[[#This Row],[CLID]])</f>
        <v>7</v>
      </c>
      <c r="E277" s="2" t="str">
        <f>_xlfn.XLOOKUP('Volume Data'!A:A,'Geo Data'!D:D,'Geo Data'!B:B)</f>
        <v>GEO1001</v>
      </c>
      <c r="F277" s="2" t="str">
        <f>INDEX(GeoByClient[GEOID],MATCH(Table2[[#This Row],[CLID]],GeoByClient[Right],0))</f>
        <v>GEO1001</v>
      </c>
      <c r="G277" s="2" t="str">
        <f>_xlfn.XLOOKUP(Table2[[#This Row],[Xlookup Region ID]],GEONames[GEOID],GEONames[GEO Name])</f>
        <v>NAM</v>
      </c>
      <c r="H277" s="2" t="str">
        <f>"Q"&amp;ROUNDUP(MONTH(Table2[[#This Row],[Date]])/3,0)&amp;" "&amp;YEAR(Table2[[#This Row],[Date]])</f>
        <v>Q3 2024</v>
      </c>
      <c r="I277" s="2" t="str">
        <f>VLOOKUP(Table2[[#This Row],[Date]],Table7[],3)</f>
        <v>Q3 2024</v>
      </c>
    </row>
    <row r="278" spans="1:9" x14ac:dyDescent="0.25">
      <c r="A278" s="3" t="s">
        <v>17</v>
      </c>
      <c r="B278" s="3">
        <v>45565</v>
      </c>
      <c r="C278" s="6">
        <v>15295</v>
      </c>
      <c r="D278" s="2">
        <f>LEN(Table2[[#This Row],[CLID]])</f>
        <v>7</v>
      </c>
      <c r="E278" s="2" t="str">
        <f>_xlfn.XLOOKUP('Volume Data'!A:A,'Geo Data'!D:D,'Geo Data'!B:B)</f>
        <v>GEO1001</v>
      </c>
      <c r="F278" s="2" t="str">
        <f>INDEX(GeoByClient[GEOID],MATCH(Table2[[#This Row],[CLID]],GeoByClient[Right],0))</f>
        <v>GEO1001</v>
      </c>
      <c r="G278" s="2" t="str">
        <f>_xlfn.XLOOKUP(Table2[[#This Row],[Xlookup Region ID]],GEONames[GEOID],GEONames[GEO Name])</f>
        <v>NAM</v>
      </c>
      <c r="H278" s="2" t="str">
        <f>"Q"&amp;ROUNDUP(MONTH(Table2[[#This Row],[Date]])/3,0)&amp;" "&amp;YEAR(Table2[[#This Row],[Date]])</f>
        <v>Q3 2024</v>
      </c>
      <c r="I278" s="2" t="str">
        <f>VLOOKUP(Table2[[#This Row],[Date]],Table7[],3)</f>
        <v>Q3 2024</v>
      </c>
    </row>
    <row r="279" spans="1:9" x14ac:dyDescent="0.25">
      <c r="A279" s="3" t="s">
        <v>17</v>
      </c>
      <c r="B279" s="3">
        <v>45596</v>
      </c>
      <c r="C279" s="6">
        <v>17846</v>
      </c>
      <c r="D279" s="2">
        <f>LEN(Table2[[#This Row],[CLID]])</f>
        <v>7</v>
      </c>
      <c r="E279" s="2" t="str">
        <f>_xlfn.XLOOKUP('Volume Data'!A:A,'Geo Data'!D:D,'Geo Data'!B:B)</f>
        <v>GEO1001</v>
      </c>
      <c r="F279" s="2" t="str">
        <f>INDEX(GeoByClient[GEOID],MATCH(Table2[[#This Row],[CLID]],GeoByClient[Right],0))</f>
        <v>GEO1001</v>
      </c>
      <c r="G279" s="2" t="str">
        <f>_xlfn.XLOOKUP(Table2[[#This Row],[Xlookup Region ID]],GEONames[GEOID],GEONames[GEO Name])</f>
        <v>NAM</v>
      </c>
      <c r="H279" s="2" t="str">
        <f>"Q"&amp;ROUNDUP(MONTH(Table2[[#This Row],[Date]])/3,0)&amp;" "&amp;YEAR(Table2[[#This Row],[Date]])</f>
        <v>Q4 2024</v>
      </c>
      <c r="I279" s="2" t="str">
        <f>VLOOKUP(Table2[[#This Row],[Date]],Table7[],3)</f>
        <v>Q4 2024</v>
      </c>
    </row>
    <row r="280" spans="1:9" x14ac:dyDescent="0.25">
      <c r="A280" s="3" t="s">
        <v>17</v>
      </c>
      <c r="B280" s="3">
        <v>45626</v>
      </c>
      <c r="C280" s="6">
        <v>20388</v>
      </c>
      <c r="D280" s="2">
        <f>LEN(Table2[[#This Row],[CLID]])</f>
        <v>7</v>
      </c>
      <c r="E280" s="2" t="str">
        <f>_xlfn.XLOOKUP('Volume Data'!A:A,'Geo Data'!D:D,'Geo Data'!B:B)</f>
        <v>GEO1001</v>
      </c>
      <c r="F280" s="2" t="str">
        <f>INDEX(GeoByClient[GEOID],MATCH(Table2[[#This Row],[CLID]],GeoByClient[Right],0))</f>
        <v>GEO1001</v>
      </c>
      <c r="G280" s="2" t="str">
        <f>_xlfn.XLOOKUP(Table2[[#This Row],[Xlookup Region ID]],GEONames[GEOID],GEONames[GEO Name])</f>
        <v>NAM</v>
      </c>
      <c r="H280" s="2" t="str">
        <f>"Q"&amp;ROUNDUP(MONTH(Table2[[#This Row],[Date]])/3,0)&amp;" "&amp;YEAR(Table2[[#This Row],[Date]])</f>
        <v>Q4 2024</v>
      </c>
      <c r="I280" s="2" t="str">
        <f>VLOOKUP(Table2[[#This Row],[Date]],Table7[],3)</f>
        <v>Q4 2024</v>
      </c>
    </row>
    <row r="281" spans="1:9" x14ac:dyDescent="0.25">
      <c r="A281" s="3" t="s">
        <v>17</v>
      </c>
      <c r="B281" s="3">
        <v>45657</v>
      </c>
      <c r="C281" s="6">
        <v>20391</v>
      </c>
      <c r="D281" s="2">
        <f>LEN(Table2[[#This Row],[CLID]])</f>
        <v>7</v>
      </c>
      <c r="E281" s="2" t="str">
        <f>_xlfn.XLOOKUP('Volume Data'!A:A,'Geo Data'!D:D,'Geo Data'!B:B)</f>
        <v>GEO1001</v>
      </c>
      <c r="F281" s="2" t="str">
        <f>INDEX(GeoByClient[GEOID],MATCH(Table2[[#This Row],[CLID]],GeoByClient[Right],0))</f>
        <v>GEO1001</v>
      </c>
      <c r="G281" s="2" t="str">
        <f>_xlfn.XLOOKUP(Table2[[#This Row],[Xlookup Region ID]],GEONames[GEOID],GEONames[GEO Name])</f>
        <v>NAM</v>
      </c>
      <c r="H281" s="2" t="str">
        <f>"Q"&amp;ROUNDUP(MONTH(Table2[[#This Row],[Date]])/3,0)&amp;" "&amp;YEAR(Table2[[#This Row],[Date]])</f>
        <v>Q4 2024</v>
      </c>
      <c r="I281" s="2" t="str">
        <f>VLOOKUP(Table2[[#This Row],[Date]],Table7[],3)</f>
        <v>Q4 2024</v>
      </c>
    </row>
    <row r="282" spans="1:9" x14ac:dyDescent="0.25">
      <c r="A282" s="3" t="s">
        <v>17</v>
      </c>
      <c r="B282" s="3">
        <v>45838</v>
      </c>
      <c r="C282" s="6">
        <v>20289</v>
      </c>
      <c r="D282" s="2">
        <f>LEN(Table2[[#This Row],[CLID]])</f>
        <v>7</v>
      </c>
      <c r="E282" s="2" t="str">
        <f>_xlfn.XLOOKUP('Volume Data'!A:A,'Geo Data'!D:D,'Geo Data'!B:B)</f>
        <v>GEO1001</v>
      </c>
      <c r="F282" s="2" t="str">
        <f>INDEX(GeoByClient[GEOID],MATCH(Table2[[#This Row],[CLID]],GeoByClient[Right],0))</f>
        <v>GEO1001</v>
      </c>
      <c r="G282" s="2" t="str">
        <f>_xlfn.XLOOKUP(Table2[[#This Row],[Xlookup Region ID]],GEONames[GEOID],GEONames[GEO Name])</f>
        <v>NAM</v>
      </c>
      <c r="H282" s="2" t="str">
        <f>"Q"&amp;ROUNDUP(MONTH(Table2[[#This Row],[Date]])/3,0)&amp;" "&amp;YEAR(Table2[[#This Row],[Date]])</f>
        <v>Q2 2025</v>
      </c>
      <c r="I282" s="2" t="str">
        <f>VLOOKUP(Table2[[#This Row],[Date]],Table7[],3)</f>
        <v>Q2 2025</v>
      </c>
    </row>
    <row r="283" spans="1:9" x14ac:dyDescent="0.25">
      <c r="A283" s="3" t="s">
        <v>17</v>
      </c>
      <c r="B283" s="3">
        <v>45808</v>
      </c>
      <c r="C283" s="6">
        <v>29437</v>
      </c>
      <c r="D283" s="2">
        <f>LEN(Table2[[#This Row],[CLID]])</f>
        <v>7</v>
      </c>
      <c r="E283" s="2" t="str">
        <f>_xlfn.XLOOKUP('Volume Data'!A:A,'Geo Data'!D:D,'Geo Data'!B:B)</f>
        <v>GEO1001</v>
      </c>
      <c r="F283" s="2" t="str">
        <f>INDEX(GeoByClient[GEOID],MATCH(Table2[[#This Row],[CLID]],GeoByClient[Right],0))</f>
        <v>GEO1001</v>
      </c>
      <c r="G283" s="2" t="str">
        <f>_xlfn.XLOOKUP(Table2[[#This Row],[Xlookup Region ID]],GEONames[GEOID],GEONames[GEO Name])</f>
        <v>NAM</v>
      </c>
      <c r="H283" s="2" t="str">
        <f>"Q"&amp;ROUNDUP(MONTH(Table2[[#This Row],[Date]])/3,0)&amp;" "&amp;YEAR(Table2[[#This Row],[Date]])</f>
        <v>Q2 2025</v>
      </c>
      <c r="I283" s="2" t="str">
        <f>VLOOKUP(Table2[[#This Row],[Date]],Table7[],3)</f>
        <v>Q2 2025</v>
      </c>
    </row>
    <row r="284" spans="1:9" x14ac:dyDescent="0.25">
      <c r="A284" s="3" t="s">
        <v>17</v>
      </c>
      <c r="B284" s="3">
        <v>45777</v>
      </c>
      <c r="C284" s="6">
        <v>32113</v>
      </c>
      <c r="D284" s="2">
        <f>LEN(Table2[[#This Row],[CLID]])</f>
        <v>7</v>
      </c>
      <c r="E284" s="2" t="str">
        <f>_xlfn.XLOOKUP('Volume Data'!A:A,'Geo Data'!D:D,'Geo Data'!B:B)</f>
        <v>GEO1001</v>
      </c>
      <c r="F284" s="2" t="str">
        <f>INDEX(GeoByClient[GEOID],MATCH(Table2[[#This Row],[CLID]],GeoByClient[Right],0))</f>
        <v>GEO1001</v>
      </c>
      <c r="G284" s="2" t="str">
        <f>_xlfn.XLOOKUP(Table2[[#This Row],[Xlookup Region ID]],GEONames[GEOID],GEONames[GEO Name])</f>
        <v>NAM</v>
      </c>
      <c r="H284" s="2" t="str">
        <f>"Q"&amp;ROUNDUP(MONTH(Table2[[#This Row],[Date]])/3,0)&amp;" "&amp;YEAR(Table2[[#This Row],[Date]])</f>
        <v>Q2 2025</v>
      </c>
      <c r="I284" s="2" t="str">
        <f>VLOOKUP(Table2[[#This Row],[Date]],Table7[],3)</f>
        <v>Q2 2025</v>
      </c>
    </row>
    <row r="285" spans="1:9" x14ac:dyDescent="0.25">
      <c r="A285" s="3" t="s">
        <v>17</v>
      </c>
      <c r="B285" s="3">
        <v>45747</v>
      </c>
      <c r="C285" s="6">
        <v>26762</v>
      </c>
      <c r="D285" s="2">
        <f>LEN(Table2[[#This Row],[CLID]])</f>
        <v>7</v>
      </c>
      <c r="E285" s="2" t="str">
        <f>_xlfn.XLOOKUP('Volume Data'!A:A,'Geo Data'!D:D,'Geo Data'!B:B)</f>
        <v>GEO1001</v>
      </c>
      <c r="F285" s="2" t="str">
        <f>INDEX(GeoByClient[GEOID],MATCH(Table2[[#This Row],[CLID]],GeoByClient[Right],0))</f>
        <v>GEO1001</v>
      </c>
      <c r="G285" s="2" t="str">
        <f>_xlfn.XLOOKUP(Table2[[#This Row],[Xlookup Region ID]],GEONames[GEOID],GEONames[GEO Name])</f>
        <v>NAM</v>
      </c>
      <c r="H285" s="2" t="str">
        <f>"Q"&amp;ROUNDUP(MONTH(Table2[[#This Row],[Date]])/3,0)&amp;" "&amp;YEAR(Table2[[#This Row],[Date]])</f>
        <v>Q1 2025</v>
      </c>
      <c r="I285" s="2" t="str">
        <f>VLOOKUP(Table2[[#This Row],[Date]],Table7[],3)</f>
        <v>Q4 2024</v>
      </c>
    </row>
    <row r="286" spans="1:9" x14ac:dyDescent="0.25">
      <c r="A286" s="3" t="s">
        <v>17</v>
      </c>
      <c r="B286" s="3">
        <v>45716</v>
      </c>
      <c r="C286" s="6">
        <v>22713</v>
      </c>
      <c r="D286" s="2">
        <f>LEN(Table2[[#This Row],[CLID]])</f>
        <v>7</v>
      </c>
      <c r="E286" s="2" t="str">
        <f>_xlfn.XLOOKUP('Volume Data'!A:A,'Geo Data'!D:D,'Geo Data'!B:B)</f>
        <v>GEO1001</v>
      </c>
      <c r="F286" s="2" t="str">
        <f>INDEX(GeoByClient[GEOID],MATCH(Table2[[#This Row],[CLID]],GeoByClient[Right],0))</f>
        <v>GEO1001</v>
      </c>
      <c r="G286" s="2" t="str">
        <f>_xlfn.XLOOKUP(Table2[[#This Row],[Xlookup Region ID]],GEONames[GEOID],GEONames[GEO Name])</f>
        <v>NAM</v>
      </c>
      <c r="H286" s="2" t="str">
        <f>"Q"&amp;ROUNDUP(MONTH(Table2[[#This Row],[Date]])/3,0)&amp;" "&amp;YEAR(Table2[[#This Row],[Date]])</f>
        <v>Q1 2025</v>
      </c>
      <c r="I286" s="2" t="str">
        <f>VLOOKUP(Table2[[#This Row],[Date]],Table7[],3)</f>
        <v>Q4 2024</v>
      </c>
    </row>
    <row r="287" spans="1:9" x14ac:dyDescent="0.25">
      <c r="A287" s="3" t="s">
        <v>17</v>
      </c>
      <c r="B287" s="3">
        <v>45688</v>
      </c>
      <c r="C287" s="6">
        <v>20286</v>
      </c>
      <c r="D287" s="2">
        <f>LEN(Table2[[#This Row],[CLID]])</f>
        <v>7</v>
      </c>
      <c r="E287" s="2" t="str">
        <f>_xlfn.XLOOKUP('Volume Data'!A:A,'Geo Data'!D:D,'Geo Data'!B:B)</f>
        <v>GEO1001</v>
      </c>
      <c r="F287" s="2" t="str">
        <f>INDEX(GeoByClient[GEOID],MATCH(Table2[[#This Row],[CLID]],GeoByClient[Right],0))</f>
        <v>GEO1001</v>
      </c>
      <c r="G287" s="2" t="str">
        <f>_xlfn.XLOOKUP(Table2[[#This Row],[Xlookup Region ID]],GEONames[GEOID],GEONames[GEO Name])</f>
        <v>NAM</v>
      </c>
      <c r="H287" s="2" t="str">
        <f>"Q"&amp;ROUNDUP(MONTH(Table2[[#This Row],[Date]])/3,0)&amp;" "&amp;YEAR(Table2[[#This Row],[Date]])</f>
        <v>Q1 2025</v>
      </c>
      <c r="I287" s="2" t="str">
        <f>VLOOKUP(Table2[[#This Row],[Date]],Table7[],3)</f>
        <v>Q4 2024</v>
      </c>
    </row>
    <row r="288" spans="1:9" x14ac:dyDescent="0.25">
      <c r="A288" s="3" t="s">
        <v>8</v>
      </c>
      <c r="B288" s="3">
        <v>45322</v>
      </c>
      <c r="C288" s="6">
        <v>11682</v>
      </c>
      <c r="D288" s="2">
        <f>LEN(Table2[[#This Row],[CLID]])</f>
        <v>7</v>
      </c>
      <c r="E288" s="2" t="str">
        <f>_xlfn.XLOOKUP('Volume Data'!A:A,'Geo Data'!D:D,'Geo Data'!B:B)</f>
        <v>GEO1004</v>
      </c>
      <c r="F288" s="2" t="str">
        <f>INDEX(GeoByClient[GEOID],MATCH(Table2[[#This Row],[CLID]],GeoByClient[Right],0))</f>
        <v>GEO1004</v>
      </c>
      <c r="G288" s="2" t="str">
        <f>_xlfn.XLOOKUP(Table2[[#This Row],[Xlookup Region ID]],GEONames[GEOID],GEONames[GEO Name])</f>
        <v>LATAM</v>
      </c>
      <c r="H288" s="2" t="str">
        <f>"Q"&amp;ROUNDUP(MONTH(Table2[[#This Row],[Date]])/3,0)&amp;" "&amp;YEAR(Table2[[#This Row],[Date]])</f>
        <v>Q1 2024</v>
      </c>
      <c r="I288" s="2" t="str">
        <f>VLOOKUP(Table2[[#This Row],[Date]],Table7[],3)</f>
        <v>Q1 2024</v>
      </c>
    </row>
    <row r="289" spans="1:9" x14ac:dyDescent="0.25">
      <c r="A289" s="3" t="s">
        <v>8</v>
      </c>
      <c r="B289" s="3">
        <v>45351</v>
      </c>
      <c r="C289" s="6">
        <v>14802</v>
      </c>
      <c r="D289" s="2">
        <f>LEN(Table2[[#This Row],[CLID]])</f>
        <v>7</v>
      </c>
      <c r="E289" s="2" t="str">
        <f>_xlfn.XLOOKUP('Volume Data'!A:A,'Geo Data'!D:D,'Geo Data'!B:B)</f>
        <v>GEO1004</v>
      </c>
      <c r="F289" s="2" t="str">
        <f>INDEX(GeoByClient[GEOID],MATCH(Table2[[#This Row],[CLID]],GeoByClient[Right],0))</f>
        <v>GEO1004</v>
      </c>
      <c r="G289" s="2" t="str">
        <f>_xlfn.XLOOKUP(Table2[[#This Row],[Xlookup Region ID]],GEONames[GEOID],GEONames[GEO Name])</f>
        <v>LATAM</v>
      </c>
      <c r="H289" s="2" t="str">
        <f>"Q"&amp;ROUNDUP(MONTH(Table2[[#This Row],[Date]])/3,0)&amp;" "&amp;YEAR(Table2[[#This Row],[Date]])</f>
        <v>Q1 2024</v>
      </c>
      <c r="I289" s="2" t="str">
        <f>VLOOKUP(Table2[[#This Row],[Date]],Table7[],3)</f>
        <v>Q1 2024</v>
      </c>
    </row>
    <row r="290" spans="1:9" x14ac:dyDescent="0.25">
      <c r="A290" s="3" t="s">
        <v>8</v>
      </c>
      <c r="B290" s="3">
        <v>45382</v>
      </c>
      <c r="C290" s="6">
        <v>14798</v>
      </c>
      <c r="D290" s="2">
        <f>LEN(Table2[[#This Row],[CLID]])</f>
        <v>7</v>
      </c>
      <c r="E290" s="2" t="str">
        <f>_xlfn.XLOOKUP('Volume Data'!A:A,'Geo Data'!D:D,'Geo Data'!B:B)</f>
        <v>GEO1004</v>
      </c>
      <c r="F290" s="2" t="str">
        <f>INDEX(GeoByClient[GEOID],MATCH(Table2[[#This Row],[CLID]],GeoByClient[Right],0))</f>
        <v>GEO1004</v>
      </c>
      <c r="G290" s="2" t="str">
        <f>_xlfn.XLOOKUP(Table2[[#This Row],[Xlookup Region ID]],GEONames[GEOID],GEONames[GEO Name])</f>
        <v>LATAM</v>
      </c>
      <c r="H290" s="2" t="str">
        <f>"Q"&amp;ROUNDUP(MONTH(Table2[[#This Row],[Date]])/3,0)&amp;" "&amp;YEAR(Table2[[#This Row],[Date]])</f>
        <v>Q1 2024</v>
      </c>
      <c r="I290" s="2" t="str">
        <f>VLOOKUP(Table2[[#This Row],[Date]],Table7[],3)</f>
        <v>Q1 2024</v>
      </c>
    </row>
    <row r="291" spans="1:9" x14ac:dyDescent="0.25">
      <c r="A291" s="3" t="s">
        <v>8</v>
      </c>
      <c r="B291" s="3">
        <v>45412</v>
      </c>
      <c r="C291" s="6">
        <v>19470</v>
      </c>
      <c r="D291" s="2">
        <f>LEN(Table2[[#This Row],[CLID]])</f>
        <v>7</v>
      </c>
      <c r="E291" s="2" t="str">
        <f>_xlfn.XLOOKUP('Volume Data'!A:A,'Geo Data'!D:D,'Geo Data'!B:B)</f>
        <v>GEO1004</v>
      </c>
      <c r="F291" s="2" t="str">
        <f>INDEX(GeoByClient[GEOID],MATCH(Table2[[#This Row],[CLID]],GeoByClient[Right],0))</f>
        <v>GEO1004</v>
      </c>
      <c r="G291" s="2" t="str">
        <f>_xlfn.XLOOKUP(Table2[[#This Row],[Xlookup Region ID]],GEONames[GEOID],GEONames[GEO Name])</f>
        <v>LATAM</v>
      </c>
      <c r="H291" s="2" t="str">
        <f>"Q"&amp;ROUNDUP(MONTH(Table2[[#This Row],[Date]])/3,0)&amp;" "&amp;YEAR(Table2[[#This Row],[Date]])</f>
        <v>Q2 2024</v>
      </c>
      <c r="I291" s="2" t="str">
        <f>VLOOKUP(Table2[[#This Row],[Date]],Table7[],3)</f>
        <v>Q2 2024</v>
      </c>
    </row>
    <row r="292" spans="1:9" x14ac:dyDescent="0.25">
      <c r="A292" s="3" t="s">
        <v>8</v>
      </c>
      <c r="B292" s="3">
        <v>45443</v>
      </c>
      <c r="C292" s="6">
        <v>16356</v>
      </c>
      <c r="D292" s="2">
        <f>LEN(Table2[[#This Row],[CLID]])</f>
        <v>7</v>
      </c>
      <c r="E292" s="2" t="str">
        <f>_xlfn.XLOOKUP('Volume Data'!A:A,'Geo Data'!D:D,'Geo Data'!B:B)</f>
        <v>GEO1004</v>
      </c>
      <c r="F292" s="2" t="str">
        <f>INDEX(GeoByClient[GEOID],MATCH(Table2[[#This Row],[CLID]],GeoByClient[Right],0))</f>
        <v>GEO1004</v>
      </c>
      <c r="G292" s="2" t="str">
        <f>_xlfn.XLOOKUP(Table2[[#This Row],[Xlookup Region ID]],GEONames[GEOID],GEONames[GEO Name])</f>
        <v>LATAM</v>
      </c>
      <c r="H292" s="2" t="str">
        <f>"Q"&amp;ROUNDUP(MONTH(Table2[[#This Row],[Date]])/3,0)&amp;" "&amp;YEAR(Table2[[#This Row],[Date]])</f>
        <v>Q2 2024</v>
      </c>
      <c r="I292" s="2" t="str">
        <f>VLOOKUP(Table2[[#This Row],[Date]],Table7[],3)</f>
        <v>Q2 2024</v>
      </c>
    </row>
    <row r="293" spans="1:9" x14ac:dyDescent="0.25">
      <c r="A293" s="3" t="s">
        <v>8</v>
      </c>
      <c r="B293" s="3">
        <v>45473</v>
      </c>
      <c r="C293" s="6">
        <v>13245</v>
      </c>
      <c r="D293" s="2">
        <f>LEN(Table2[[#This Row],[CLID]])</f>
        <v>7</v>
      </c>
      <c r="E293" s="2" t="str">
        <f>_xlfn.XLOOKUP('Volume Data'!A:A,'Geo Data'!D:D,'Geo Data'!B:B)</f>
        <v>GEO1004</v>
      </c>
      <c r="F293" s="2" t="str">
        <f>INDEX(GeoByClient[GEOID],MATCH(Table2[[#This Row],[CLID]],GeoByClient[Right],0))</f>
        <v>GEO1004</v>
      </c>
      <c r="G293" s="2" t="str">
        <f>_xlfn.XLOOKUP(Table2[[#This Row],[Xlookup Region ID]],GEONames[GEOID],GEONames[GEO Name])</f>
        <v>LATAM</v>
      </c>
      <c r="H293" s="2" t="str">
        <f>"Q"&amp;ROUNDUP(MONTH(Table2[[#This Row],[Date]])/3,0)&amp;" "&amp;YEAR(Table2[[#This Row],[Date]])</f>
        <v>Q2 2024</v>
      </c>
      <c r="I293" s="2" t="str">
        <f>VLOOKUP(Table2[[#This Row],[Date]],Table7[],3)</f>
        <v>Q2 2024</v>
      </c>
    </row>
    <row r="294" spans="1:9" x14ac:dyDescent="0.25">
      <c r="A294" s="3" t="s">
        <v>8</v>
      </c>
      <c r="B294" s="3">
        <v>45504</v>
      </c>
      <c r="C294" s="6">
        <v>10130</v>
      </c>
      <c r="D294" s="2">
        <f>LEN(Table2[[#This Row],[CLID]])</f>
        <v>7</v>
      </c>
      <c r="E294" s="2" t="str">
        <f>_xlfn.XLOOKUP('Volume Data'!A:A,'Geo Data'!D:D,'Geo Data'!B:B)</f>
        <v>GEO1004</v>
      </c>
      <c r="F294" s="2" t="str">
        <f>INDEX(GeoByClient[GEOID],MATCH(Table2[[#This Row],[CLID]],GeoByClient[Right],0))</f>
        <v>GEO1004</v>
      </c>
      <c r="G294" s="2" t="str">
        <f>_xlfn.XLOOKUP(Table2[[#This Row],[Xlookup Region ID]],GEONames[GEOID],GEONames[GEO Name])</f>
        <v>LATAM</v>
      </c>
      <c r="H294" s="2" t="str">
        <f>"Q"&amp;ROUNDUP(MONTH(Table2[[#This Row],[Date]])/3,0)&amp;" "&amp;YEAR(Table2[[#This Row],[Date]])</f>
        <v>Q3 2024</v>
      </c>
      <c r="I294" s="2" t="str">
        <f>VLOOKUP(Table2[[#This Row],[Date]],Table7[],3)</f>
        <v>Q3 2024</v>
      </c>
    </row>
    <row r="295" spans="1:9" x14ac:dyDescent="0.25">
      <c r="A295" s="3" t="s">
        <v>8</v>
      </c>
      <c r="B295" s="3">
        <v>45535</v>
      </c>
      <c r="C295" s="6">
        <v>10124</v>
      </c>
      <c r="D295" s="2">
        <f>LEN(Table2[[#This Row],[CLID]])</f>
        <v>7</v>
      </c>
      <c r="E295" s="2" t="str">
        <f>_xlfn.XLOOKUP('Volume Data'!A:A,'Geo Data'!D:D,'Geo Data'!B:B)</f>
        <v>GEO1004</v>
      </c>
      <c r="F295" s="2" t="str">
        <f>INDEX(GeoByClient[GEOID],MATCH(Table2[[#This Row],[CLID]],GeoByClient[Right],0))</f>
        <v>GEO1004</v>
      </c>
      <c r="G295" s="2" t="str">
        <f>_xlfn.XLOOKUP(Table2[[#This Row],[Xlookup Region ID]],GEONames[GEOID],GEONames[GEO Name])</f>
        <v>LATAM</v>
      </c>
      <c r="H295" s="2" t="str">
        <f>"Q"&amp;ROUNDUP(MONTH(Table2[[#This Row],[Date]])/3,0)&amp;" "&amp;YEAR(Table2[[#This Row],[Date]])</f>
        <v>Q3 2024</v>
      </c>
      <c r="I295" s="2" t="str">
        <f>VLOOKUP(Table2[[#This Row],[Date]],Table7[],3)</f>
        <v>Q3 2024</v>
      </c>
    </row>
    <row r="296" spans="1:9" x14ac:dyDescent="0.25">
      <c r="A296" s="3" t="s">
        <v>8</v>
      </c>
      <c r="B296" s="3">
        <v>45565</v>
      </c>
      <c r="C296" s="6">
        <v>8573</v>
      </c>
      <c r="D296" s="2">
        <f>LEN(Table2[[#This Row],[CLID]])</f>
        <v>7</v>
      </c>
      <c r="E296" s="2" t="str">
        <f>_xlfn.XLOOKUP('Volume Data'!A:A,'Geo Data'!D:D,'Geo Data'!B:B)</f>
        <v>GEO1004</v>
      </c>
      <c r="F296" s="2" t="str">
        <f>INDEX(GeoByClient[GEOID],MATCH(Table2[[#This Row],[CLID]],GeoByClient[Right],0))</f>
        <v>GEO1004</v>
      </c>
      <c r="G296" s="2" t="str">
        <f>_xlfn.XLOOKUP(Table2[[#This Row],[Xlookup Region ID]],GEONames[GEOID],GEONames[GEO Name])</f>
        <v>LATAM</v>
      </c>
      <c r="H296" s="2" t="str">
        <f>"Q"&amp;ROUNDUP(MONTH(Table2[[#This Row],[Date]])/3,0)&amp;" "&amp;YEAR(Table2[[#This Row],[Date]])</f>
        <v>Q3 2024</v>
      </c>
      <c r="I296" s="2" t="str">
        <f>VLOOKUP(Table2[[#This Row],[Date]],Table7[],3)</f>
        <v>Q3 2024</v>
      </c>
    </row>
    <row r="297" spans="1:9" x14ac:dyDescent="0.25">
      <c r="A297" s="3" t="s">
        <v>8</v>
      </c>
      <c r="B297" s="3">
        <v>45596</v>
      </c>
      <c r="C297" s="6">
        <v>11682</v>
      </c>
      <c r="D297" s="2">
        <f>LEN(Table2[[#This Row],[CLID]])</f>
        <v>7</v>
      </c>
      <c r="E297" s="2" t="str">
        <f>_xlfn.XLOOKUP('Volume Data'!A:A,'Geo Data'!D:D,'Geo Data'!B:B)</f>
        <v>GEO1004</v>
      </c>
      <c r="F297" s="2" t="str">
        <f>INDEX(GeoByClient[GEOID],MATCH(Table2[[#This Row],[CLID]],GeoByClient[Right],0))</f>
        <v>GEO1004</v>
      </c>
      <c r="G297" s="2" t="str">
        <f>_xlfn.XLOOKUP(Table2[[#This Row],[Xlookup Region ID]],GEONames[GEOID],GEONames[GEO Name])</f>
        <v>LATAM</v>
      </c>
      <c r="H297" s="2" t="str">
        <f>"Q"&amp;ROUNDUP(MONTH(Table2[[#This Row],[Date]])/3,0)&amp;" "&amp;YEAR(Table2[[#This Row],[Date]])</f>
        <v>Q4 2024</v>
      </c>
      <c r="I297" s="2" t="str">
        <f>VLOOKUP(Table2[[#This Row],[Date]],Table7[],3)</f>
        <v>Q4 2024</v>
      </c>
    </row>
    <row r="298" spans="1:9" x14ac:dyDescent="0.25">
      <c r="A298" s="3" t="s">
        <v>8</v>
      </c>
      <c r="B298" s="3">
        <v>45626</v>
      </c>
      <c r="C298" s="6">
        <v>11686</v>
      </c>
      <c r="D298" s="2">
        <f>LEN(Table2[[#This Row],[CLID]])</f>
        <v>7</v>
      </c>
      <c r="E298" s="2" t="str">
        <f>_xlfn.XLOOKUP('Volume Data'!A:A,'Geo Data'!D:D,'Geo Data'!B:B)</f>
        <v>GEO1004</v>
      </c>
      <c r="F298" s="2" t="str">
        <f>INDEX(GeoByClient[GEOID],MATCH(Table2[[#This Row],[CLID]],GeoByClient[Right],0))</f>
        <v>GEO1004</v>
      </c>
      <c r="G298" s="2" t="str">
        <f>_xlfn.XLOOKUP(Table2[[#This Row],[Xlookup Region ID]],GEONames[GEOID],GEONames[GEO Name])</f>
        <v>LATAM</v>
      </c>
      <c r="H298" s="2" t="str">
        <f>"Q"&amp;ROUNDUP(MONTH(Table2[[#This Row],[Date]])/3,0)&amp;" "&amp;YEAR(Table2[[#This Row],[Date]])</f>
        <v>Q4 2024</v>
      </c>
      <c r="I298" s="2" t="str">
        <f>VLOOKUP(Table2[[#This Row],[Date]],Table7[],3)</f>
        <v>Q4 2024</v>
      </c>
    </row>
    <row r="299" spans="1:9" x14ac:dyDescent="0.25">
      <c r="A299" s="3" t="s">
        <v>8</v>
      </c>
      <c r="B299" s="3">
        <v>45657</v>
      </c>
      <c r="C299" s="6">
        <v>13239</v>
      </c>
      <c r="D299" s="2">
        <f>LEN(Table2[[#This Row],[CLID]])</f>
        <v>7</v>
      </c>
      <c r="E299" s="2" t="str">
        <f>_xlfn.XLOOKUP('Volume Data'!A:A,'Geo Data'!D:D,'Geo Data'!B:B)</f>
        <v>GEO1004</v>
      </c>
      <c r="F299" s="2" t="str">
        <f>INDEX(GeoByClient[GEOID],MATCH(Table2[[#This Row],[CLID]],GeoByClient[Right],0))</f>
        <v>GEO1004</v>
      </c>
      <c r="G299" s="2" t="str">
        <f>_xlfn.XLOOKUP(Table2[[#This Row],[Xlookup Region ID]],GEONames[GEOID],GEONames[GEO Name])</f>
        <v>LATAM</v>
      </c>
      <c r="H299" s="2" t="str">
        <f>"Q"&amp;ROUNDUP(MONTH(Table2[[#This Row],[Date]])/3,0)&amp;" "&amp;YEAR(Table2[[#This Row],[Date]])</f>
        <v>Q4 2024</v>
      </c>
      <c r="I299" s="2" t="str">
        <f>VLOOKUP(Table2[[#This Row],[Date]],Table7[],3)</f>
        <v>Q4 2024</v>
      </c>
    </row>
    <row r="300" spans="1:9" x14ac:dyDescent="0.25">
      <c r="A300" s="3" t="s">
        <v>8</v>
      </c>
      <c r="B300" s="3">
        <v>45838</v>
      </c>
      <c r="C300" s="6">
        <v>13905</v>
      </c>
      <c r="D300" s="2">
        <f>LEN(Table2[[#This Row],[CLID]])</f>
        <v>7</v>
      </c>
      <c r="E300" s="2" t="str">
        <f>_xlfn.XLOOKUP('Volume Data'!A:A,'Geo Data'!D:D,'Geo Data'!B:B)</f>
        <v>GEO1004</v>
      </c>
      <c r="F300" s="2" t="str">
        <f>INDEX(GeoByClient[GEOID],MATCH(Table2[[#This Row],[CLID]],GeoByClient[Right],0))</f>
        <v>GEO1004</v>
      </c>
      <c r="G300" s="2" t="str">
        <f>_xlfn.XLOOKUP(Table2[[#This Row],[Xlookup Region ID]],GEONames[GEOID],GEONames[GEO Name])</f>
        <v>LATAM</v>
      </c>
      <c r="H300" s="2" t="str">
        <f>"Q"&amp;ROUNDUP(MONTH(Table2[[#This Row],[Date]])/3,0)&amp;" "&amp;YEAR(Table2[[#This Row],[Date]])</f>
        <v>Q2 2025</v>
      </c>
      <c r="I300" s="2" t="str">
        <f>VLOOKUP(Table2[[#This Row],[Date]],Table7[],3)</f>
        <v>Q2 2025</v>
      </c>
    </row>
    <row r="301" spans="1:9" x14ac:dyDescent="0.25">
      <c r="A301" s="3" t="s">
        <v>8</v>
      </c>
      <c r="B301" s="3">
        <v>45808</v>
      </c>
      <c r="C301" s="6">
        <v>16273</v>
      </c>
      <c r="D301" s="2">
        <f>LEN(Table2[[#This Row],[CLID]])</f>
        <v>7</v>
      </c>
      <c r="E301" s="2" t="str">
        <f>_xlfn.XLOOKUP('Volume Data'!A:A,'Geo Data'!D:D,'Geo Data'!B:B)</f>
        <v>GEO1004</v>
      </c>
      <c r="F301" s="2" t="str">
        <f>INDEX(GeoByClient[GEOID],MATCH(Table2[[#This Row],[CLID]],GeoByClient[Right],0))</f>
        <v>GEO1004</v>
      </c>
      <c r="G301" s="2" t="str">
        <f>_xlfn.XLOOKUP(Table2[[#This Row],[Xlookup Region ID]],GEONames[GEOID],GEONames[GEO Name])</f>
        <v>LATAM</v>
      </c>
      <c r="H301" s="2" t="str">
        <f>"Q"&amp;ROUNDUP(MONTH(Table2[[#This Row],[Date]])/3,0)&amp;" "&amp;YEAR(Table2[[#This Row],[Date]])</f>
        <v>Q2 2025</v>
      </c>
      <c r="I301" s="2" t="str">
        <f>VLOOKUP(Table2[[#This Row],[Date]],Table7[],3)</f>
        <v>Q2 2025</v>
      </c>
    </row>
    <row r="302" spans="1:9" x14ac:dyDescent="0.25">
      <c r="A302" s="3" t="s">
        <v>8</v>
      </c>
      <c r="B302" s="3">
        <v>45777</v>
      </c>
      <c r="C302" s="6">
        <v>20251</v>
      </c>
      <c r="D302" s="2">
        <f>LEN(Table2[[#This Row],[CLID]])</f>
        <v>7</v>
      </c>
      <c r="E302" s="2" t="str">
        <f>_xlfn.XLOOKUP('Volume Data'!A:A,'Geo Data'!D:D,'Geo Data'!B:B)</f>
        <v>GEO1004</v>
      </c>
      <c r="F302" s="2" t="str">
        <f>INDEX(GeoByClient[GEOID],MATCH(Table2[[#This Row],[CLID]],GeoByClient[Right],0))</f>
        <v>GEO1004</v>
      </c>
      <c r="G302" s="2" t="str">
        <f>_xlfn.XLOOKUP(Table2[[#This Row],[Xlookup Region ID]],GEONames[GEOID],GEONames[GEO Name])</f>
        <v>LATAM</v>
      </c>
      <c r="H302" s="2" t="str">
        <f>"Q"&amp;ROUNDUP(MONTH(Table2[[#This Row],[Date]])/3,0)&amp;" "&amp;YEAR(Table2[[#This Row],[Date]])</f>
        <v>Q2 2025</v>
      </c>
      <c r="I302" s="2" t="str">
        <f>VLOOKUP(Table2[[#This Row],[Date]],Table7[],3)</f>
        <v>Q2 2025</v>
      </c>
    </row>
    <row r="303" spans="1:9" x14ac:dyDescent="0.25">
      <c r="A303" s="3" t="s">
        <v>8</v>
      </c>
      <c r="B303" s="3">
        <v>45747</v>
      </c>
      <c r="C303" s="6">
        <v>15092</v>
      </c>
      <c r="D303" s="2">
        <f>LEN(Table2[[#This Row],[CLID]])</f>
        <v>7</v>
      </c>
      <c r="E303" s="2" t="str">
        <f>_xlfn.XLOOKUP('Volume Data'!A:A,'Geo Data'!D:D,'Geo Data'!B:B)</f>
        <v>GEO1004</v>
      </c>
      <c r="F303" s="2" t="str">
        <f>INDEX(GeoByClient[GEOID],MATCH(Table2[[#This Row],[CLID]],GeoByClient[Right],0))</f>
        <v>GEO1004</v>
      </c>
      <c r="G303" s="2" t="str">
        <f>_xlfn.XLOOKUP(Table2[[#This Row],[Xlookup Region ID]],GEONames[GEOID],GEONames[GEO Name])</f>
        <v>LATAM</v>
      </c>
      <c r="H303" s="2" t="str">
        <f>"Q"&amp;ROUNDUP(MONTH(Table2[[#This Row],[Date]])/3,0)&amp;" "&amp;YEAR(Table2[[#This Row],[Date]])</f>
        <v>Q1 2025</v>
      </c>
      <c r="I303" s="2" t="str">
        <f>VLOOKUP(Table2[[#This Row],[Date]],Table7[],3)</f>
        <v>Q4 2024</v>
      </c>
    </row>
    <row r="304" spans="1:9" x14ac:dyDescent="0.25">
      <c r="A304" s="3" t="s">
        <v>8</v>
      </c>
      <c r="B304" s="3">
        <v>45716</v>
      </c>
      <c r="C304" s="6">
        <v>15094</v>
      </c>
      <c r="D304" s="2">
        <f>LEN(Table2[[#This Row],[CLID]])</f>
        <v>7</v>
      </c>
      <c r="E304" s="2" t="str">
        <f>_xlfn.XLOOKUP('Volume Data'!A:A,'Geo Data'!D:D,'Geo Data'!B:B)</f>
        <v>GEO1004</v>
      </c>
      <c r="F304" s="2" t="str">
        <f>INDEX(GeoByClient[GEOID],MATCH(Table2[[#This Row],[CLID]],GeoByClient[Right],0))</f>
        <v>GEO1004</v>
      </c>
      <c r="G304" s="2" t="str">
        <f>_xlfn.XLOOKUP(Table2[[#This Row],[Xlookup Region ID]],GEONames[GEOID],GEONames[GEO Name])</f>
        <v>LATAM</v>
      </c>
      <c r="H304" s="2" t="str">
        <f>"Q"&amp;ROUNDUP(MONTH(Table2[[#This Row],[Date]])/3,0)&amp;" "&amp;YEAR(Table2[[#This Row],[Date]])</f>
        <v>Q1 2025</v>
      </c>
      <c r="I304" s="2" t="str">
        <f>VLOOKUP(Table2[[#This Row],[Date]],Table7[],3)</f>
        <v>Q4 2024</v>
      </c>
    </row>
    <row r="305" spans="1:9" x14ac:dyDescent="0.25">
      <c r="A305" s="3" t="s">
        <v>8</v>
      </c>
      <c r="B305" s="3">
        <v>45688</v>
      </c>
      <c r="C305" s="6">
        <v>11799</v>
      </c>
      <c r="D305" s="2">
        <f>LEN(Table2[[#This Row],[CLID]])</f>
        <v>7</v>
      </c>
      <c r="E305" s="2" t="str">
        <f>_xlfn.XLOOKUP('Volume Data'!A:A,'Geo Data'!D:D,'Geo Data'!B:B)</f>
        <v>GEO1004</v>
      </c>
      <c r="F305" s="2" t="str">
        <f>INDEX(GeoByClient[GEOID],MATCH(Table2[[#This Row],[CLID]],GeoByClient[Right],0))</f>
        <v>GEO1004</v>
      </c>
      <c r="G305" s="2" t="str">
        <f>_xlfn.XLOOKUP(Table2[[#This Row],[Xlookup Region ID]],GEONames[GEOID],GEONames[GEO Name])</f>
        <v>LATAM</v>
      </c>
      <c r="H305" s="2" t="str">
        <f>"Q"&amp;ROUNDUP(MONTH(Table2[[#This Row],[Date]])/3,0)&amp;" "&amp;YEAR(Table2[[#This Row],[Date]])</f>
        <v>Q1 2025</v>
      </c>
      <c r="I305" s="2" t="str">
        <f>VLOOKUP(Table2[[#This Row],[Date]],Table7[],3)</f>
        <v>Q4 2024</v>
      </c>
    </row>
    <row r="306" spans="1:9" x14ac:dyDescent="0.25">
      <c r="A306" s="3" t="s">
        <v>12</v>
      </c>
      <c r="B306" s="3">
        <v>45504</v>
      </c>
      <c r="C306" s="6">
        <v>326</v>
      </c>
      <c r="D306" s="2">
        <f>LEN(Table2[[#This Row],[CLID]])</f>
        <v>7</v>
      </c>
      <c r="E306" s="2" t="str">
        <f>_xlfn.XLOOKUP('Volume Data'!A:A,'Geo Data'!D:D,'Geo Data'!B:B)</f>
        <v>GEO1002</v>
      </c>
      <c r="F306" s="2" t="str">
        <f>INDEX(GeoByClient[GEOID],MATCH(Table2[[#This Row],[CLID]],GeoByClient[Right],0))</f>
        <v>GEO1002</v>
      </c>
      <c r="G306" s="2" t="str">
        <f>_xlfn.XLOOKUP(Table2[[#This Row],[Xlookup Region ID]],GEONames[GEOID],GEONames[GEO Name])</f>
        <v>APAC</v>
      </c>
      <c r="H306" s="2" t="str">
        <f>"Q"&amp;ROUNDUP(MONTH(Table2[[#This Row],[Date]])/3,0)&amp;" "&amp;YEAR(Table2[[#This Row],[Date]])</f>
        <v>Q3 2024</v>
      </c>
      <c r="I306" s="2" t="str">
        <f>VLOOKUP(Table2[[#This Row],[Date]],Table7[],3)</f>
        <v>Q3 2024</v>
      </c>
    </row>
    <row r="307" spans="1:9" x14ac:dyDescent="0.25">
      <c r="A307" s="3" t="s">
        <v>12</v>
      </c>
      <c r="B307" s="3">
        <v>45535</v>
      </c>
      <c r="C307" s="6">
        <v>202</v>
      </c>
      <c r="D307" s="2">
        <f>LEN(Table2[[#This Row],[CLID]])</f>
        <v>7</v>
      </c>
      <c r="E307" s="2" t="str">
        <f>_xlfn.XLOOKUP('Volume Data'!A:A,'Geo Data'!D:D,'Geo Data'!B:B)</f>
        <v>GEO1002</v>
      </c>
      <c r="F307" s="2" t="str">
        <f>INDEX(GeoByClient[GEOID],MATCH(Table2[[#This Row],[CLID]],GeoByClient[Right],0))</f>
        <v>GEO1002</v>
      </c>
      <c r="G307" s="2" t="str">
        <f>_xlfn.XLOOKUP(Table2[[#This Row],[Xlookup Region ID]],GEONames[GEOID],GEONames[GEO Name])</f>
        <v>APAC</v>
      </c>
      <c r="H307" s="2" t="str">
        <f>"Q"&amp;ROUNDUP(MONTH(Table2[[#This Row],[Date]])/3,0)&amp;" "&amp;YEAR(Table2[[#This Row],[Date]])</f>
        <v>Q3 2024</v>
      </c>
      <c r="I307" s="2" t="str">
        <f>VLOOKUP(Table2[[#This Row],[Date]],Table7[],3)</f>
        <v>Q3 2024</v>
      </c>
    </row>
    <row r="308" spans="1:9" x14ac:dyDescent="0.25">
      <c r="A308" s="3" t="s">
        <v>12</v>
      </c>
      <c r="B308" s="3">
        <v>45565</v>
      </c>
      <c r="C308" s="6">
        <v>283</v>
      </c>
      <c r="D308" s="2">
        <f>LEN(Table2[[#This Row],[CLID]])</f>
        <v>7</v>
      </c>
      <c r="E308" s="2" t="str">
        <f>_xlfn.XLOOKUP('Volume Data'!A:A,'Geo Data'!D:D,'Geo Data'!B:B)</f>
        <v>GEO1002</v>
      </c>
      <c r="F308" s="2" t="str">
        <f>INDEX(GeoByClient[GEOID],MATCH(Table2[[#This Row],[CLID]],GeoByClient[Right],0))</f>
        <v>GEO1002</v>
      </c>
      <c r="G308" s="2" t="str">
        <f>_xlfn.XLOOKUP(Table2[[#This Row],[Xlookup Region ID]],GEONames[GEOID],GEONames[GEO Name])</f>
        <v>APAC</v>
      </c>
      <c r="H308" s="2" t="str">
        <f>"Q"&amp;ROUNDUP(MONTH(Table2[[#This Row],[Date]])/3,0)&amp;" "&amp;YEAR(Table2[[#This Row],[Date]])</f>
        <v>Q3 2024</v>
      </c>
      <c r="I308" s="2" t="str">
        <f>VLOOKUP(Table2[[#This Row],[Date]],Table7[],3)</f>
        <v>Q3 2024</v>
      </c>
    </row>
    <row r="309" spans="1:9" x14ac:dyDescent="0.25">
      <c r="A309" s="3" t="s">
        <v>12</v>
      </c>
      <c r="B309" s="3">
        <v>45596</v>
      </c>
      <c r="C309" s="6">
        <v>243</v>
      </c>
      <c r="D309" s="2">
        <f>LEN(Table2[[#This Row],[CLID]])</f>
        <v>7</v>
      </c>
      <c r="E309" s="2" t="str">
        <f>_xlfn.XLOOKUP('Volume Data'!A:A,'Geo Data'!D:D,'Geo Data'!B:B)</f>
        <v>GEO1002</v>
      </c>
      <c r="F309" s="2" t="str">
        <f>INDEX(GeoByClient[GEOID],MATCH(Table2[[#This Row],[CLID]],GeoByClient[Right],0))</f>
        <v>GEO1002</v>
      </c>
      <c r="G309" s="2" t="str">
        <f>_xlfn.XLOOKUP(Table2[[#This Row],[Xlookup Region ID]],GEONames[GEOID],GEONames[GEO Name])</f>
        <v>APAC</v>
      </c>
      <c r="H309" s="2" t="str">
        <f>"Q"&amp;ROUNDUP(MONTH(Table2[[#This Row],[Date]])/3,0)&amp;" "&amp;YEAR(Table2[[#This Row],[Date]])</f>
        <v>Q4 2024</v>
      </c>
      <c r="I309" s="2" t="str">
        <f>VLOOKUP(Table2[[#This Row],[Date]],Table7[],3)</f>
        <v>Q4 2024</v>
      </c>
    </row>
    <row r="310" spans="1:9" x14ac:dyDescent="0.25">
      <c r="A310" s="3" t="s">
        <v>12</v>
      </c>
      <c r="B310" s="3">
        <v>45626</v>
      </c>
      <c r="C310" s="6">
        <v>368</v>
      </c>
      <c r="D310" s="2">
        <f>LEN(Table2[[#This Row],[CLID]])</f>
        <v>7</v>
      </c>
      <c r="E310" s="2" t="str">
        <f>_xlfn.XLOOKUP('Volume Data'!A:A,'Geo Data'!D:D,'Geo Data'!B:B)</f>
        <v>GEO1002</v>
      </c>
      <c r="F310" s="2" t="str">
        <f>INDEX(GeoByClient[GEOID],MATCH(Table2[[#This Row],[CLID]],GeoByClient[Right],0))</f>
        <v>GEO1002</v>
      </c>
      <c r="G310" s="2" t="str">
        <f>_xlfn.XLOOKUP(Table2[[#This Row],[Xlookup Region ID]],GEONames[GEOID],GEONames[GEO Name])</f>
        <v>APAC</v>
      </c>
      <c r="H310" s="2" t="str">
        <f>"Q"&amp;ROUNDUP(MONTH(Table2[[#This Row],[Date]])/3,0)&amp;" "&amp;YEAR(Table2[[#This Row],[Date]])</f>
        <v>Q4 2024</v>
      </c>
      <c r="I310" s="2" t="str">
        <f>VLOOKUP(Table2[[#This Row],[Date]],Table7[],3)</f>
        <v>Q4 2024</v>
      </c>
    </row>
    <row r="311" spans="1:9" x14ac:dyDescent="0.25">
      <c r="A311" s="3" t="s">
        <v>12</v>
      </c>
      <c r="B311" s="3">
        <v>45657</v>
      </c>
      <c r="C311" s="6">
        <v>285</v>
      </c>
      <c r="D311" s="2">
        <f>LEN(Table2[[#This Row],[CLID]])</f>
        <v>7</v>
      </c>
      <c r="E311" s="2" t="str">
        <f>_xlfn.XLOOKUP('Volume Data'!A:A,'Geo Data'!D:D,'Geo Data'!B:B)</f>
        <v>GEO1002</v>
      </c>
      <c r="F311" s="2" t="str">
        <f>INDEX(GeoByClient[GEOID],MATCH(Table2[[#This Row],[CLID]],GeoByClient[Right],0))</f>
        <v>GEO1002</v>
      </c>
      <c r="G311" s="2" t="str">
        <f>_xlfn.XLOOKUP(Table2[[#This Row],[Xlookup Region ID]],GEONames[GEOID],GEONames[GEO Name])</f>
        <v>APAC</v>
      </c>
      <c r="H311" s="2" t="str">
        <f>"Q"&amp;ROUNDUP(MONTH(Table2[[#This Row],[Date]])/3,0)&amp;" "&amp;YEAR(Table2[[#This Row],[Date]])</f>
        <v>Q4 2024</v>
      </c>
      <c r="I311" s="2" t="str">
        <f>VLOOKUP(Table2[[#This Row],[Date]],Table7[],3)</f>
        <v>Q4 2024</v>
      </c>
    </row>
    <row r="312" spans="1:9" x14ac:dyDescent="0.25">
      <c r="A312" s="3" t="s">
        <v>12</v>
      </c>
      <c r="B312" s="3">
        <v>45838</v>
      </c>
      <c r="C312" s="6">
        <v>292</v>
      </c>
      <c r="D312" s="2">
        <f>LEN(Table2[[#This Row],[CLID]])</f>
        <v>7</v>
      </c>
      <c r="E312" s="2" t="str">
        <f>_xlfn.XLOOKUP('Volume Data'!A:A,'Geo Data'!D:D,'Geo Data'!B:B)</f>
        <v>GEO1002</v>
      </c>
      <c r="F312" s="2" t="str">
        <f>INDEX(GeoByClient[GEOID],MATCH(Table2[[#This Row],[CLID]],GeoByClient[Right],0))</f>
        <v>GEO1002</v>
      </c>
      <c r="G312" s="2" t="str">
        <f>_xlfn.XLOOKUP(Table2[[#This Row],[Xlookup Region ID]],GEONames[GEOID],GEONames[GEO Name])</f>
        <v>APAC</v>
      </c>
      <c r="H312" s="2" t="str">
        <f>"Q"&amp;ROUNDUP(MONTH(Table2[[#This Row],[Date]])/3,0)&amp;" "&amp;YEAR(Table2[[#This Row],[Date]])</f>
        <v>Q2 2025</v>
      </c>
      <c r="I312" s="2" t="str">
        <f>VLOOKUP(Table2[[#This Row],[Date]],Table7[],3)</f>
        <v>Q2 2025</v>
      </c>
    </row>
    <row r="313" spans="1:9" x14ac:dyDescent="0.25">
      <c r="A313" s="3" t="s">
        <v>12</v>
      </c>
      <c r="B313" s="3">
        <v>45808</v>
      </c>
      <c r="C313" s="6">
        <v>495</v>
      </c>
      <c r="D313" s="2">
        <f>LEN(Table2[[#This Row],[CLID]])</f>
        <v>7</v>
      </c>
      <c r="E313" s="2" t="str">
        <f>_xlfn.XLOOKUP('Volume Data'!A:A,'Geo Data'!D:D,'Geo Data'!B:B)</f>
        <v>GEO1002</v>
      </c>
      <c r="F313" s="2" t="str">
        <f>INDEX(GeoByClient[GEOID],MATCH(Table2[[#This Row],[CLID]],GeoByClient[Right],0))</f>
        <v>GEO1002</v>
      </c>
      <c r="G313" s="2" t="str">
        <f>_xlfn.XLOOKUP(Table2[[#This Row],[Xlookup Region ID]],GEONames[GEOID],GEONames[GEO Name])</f>
        <v>APAC</v>
      </c>
      <c r="H313" s="2" t="str">
        <f>"Q"&amp;ROUNDUP(MONTH(Table2[[#This Row],[Date]])/3,0)&amp;" "&amp;YEAR(Table2[[#This Row],[Date]])</f>
        <v>Q2 2025</v>
      </c>
      <c r="I313" s="2" t="str">
        <f>VLOOKUP(Table2[[#This Row],[Date]],Table7[],3)</f>
        <v>Q2 2025</v>
      </c>
    </row>
    <row r="314" spans="1:9" x14ac:dyDescent="0.25">
      <c r="A314" s="3" t="s">
        <v>12</v>
      </c>
      <c r="B314" s="3">
        <v>45777</v>
      </c>
      <c r="C314" s="6">
        <v>467</v>
      </c>
      <c r="D314" s="2">
        <f>LEN(Table2[[#This Row],[CLID]])</f>
        <v>7</v>
      </c>
      <c r="E314" s="2" t="str">
        <f>_xlfn.XLOOKUP('Volume Data'!A:A,'Geo Data'!D:D,'Geo Data'!B:B)</f>
        <v>GEO1002</v>
      </c>
      <c r="F314" s="2" t="str">
        <f>INDEX(GeoByClient[GEOID],MATCH(Table2[[#This Row],[CLID]],GeoByClient[Right],0))</f>
        <v>GEO1002</v>
      </c>
      <c r="G314" s="2" t="str">
        <f>_xlfn.XLOOKUP(Table2[[#This Row],[Xlookup Region ID]],GEONames[GEOID],GEONames[GEO Name])</f>
        <v>APAC</v>
      </c>
      <c r="H314" s="2" t="str">
        <f>"Q"&amp;ROUNDUP(MONTH(Table2[[#This Row],[Date]])/3,0)&amp;" "&amp;YEAR(Table2[[#This Row],[Date]])</f>
        <v>Q2 2025</v>
      </c>
      <c r="I314" s="2" t="str">
        <f>VLOOKUP(Table2[[#This Row],[Date]],Table7[],3)</f>
        <v>Q2 2025</v>
      </c>
    </row>
    <row r="315" spans="1:9" x14ac:dyDescent="0.25">
      <c r="A315" s="3" t="s">
        <v>12</v>
      </c>
      <c r="B315" s="3">
        <v>45747</v>
      </c>
      <c r="C315" s="6">
        <v>451</v>
      </c>
      <c r="D315" s="2">
        <f>LEN(Table2[[#This Row],[CLID]])</f>
        <v>7</v>
      </c>
      <c r="E315" s="2" t="str">
        <f>_xlfn.XLOOKUP('Volume Data'!A:A,'Geo Data'!D:D,'Geo Data'!B:B)</f>
        <v>GEO1002</v>
      </c>
      <c r="F315" s="2" t="str">
        <f>INDEX(GeoByClient[GEOID],MATCH(Table2[[#This Row],[CLID]],GeoByClient[Right],0))</f>
        <v>GEO1002</v>
      </c>
      <c r="G315" s="2" t="str">
        <f>_xlfn.XLOOKUP(Table2[[#This Row],[Xlookup Region ID]],GEONames[GEOID],GEONames[GEO Name])</f>
        <v>APAC</v>
      </c>
      <c r="H315" s="2" t="str">
        <f>"Q"&amp;ROUNDUP(MONTH(Table2[[#This Row],[Date]])/3,0)&amp;" "&amp;YEAR(Table2[[#This Row],[Date]])</f>
        <v>Q1 2025</v>
      </c>
      <c r="I315" s="2" t="str">
        <f>VLOOKUP(Table2[[#This Row],[Date]],Table7[],3)</f>
        <v>Q4 2024</v>
      </c>
    </row>
    <row r="316" spans="1:9" x14ac:dyDescent="0.25">
      <c r="A316" s="3" t="s">
        <v>12</v>
      </c>
      <c r="B316" s="3">
        <v>45716</v>
      </c>
      <c r="C316" s="6">
        <v>320</v>
      </c>
      <c r="D316" s="2">
        <f>LEN(Table2[[#This Row],[CLID]])</f>
        <v>7</v>
      </c>
      <c r="E316" s="2" t="str">
        <f>_xlfn.XLOOKUP('Volume Data'!A:A,'Geo Data'!D:D,'Geo Data'!B:B)</f>
        <v>GEO1002</v>
      </c>
      <c r="F316" s="2" t="str">
        <f>INDEX(GeoByClient[GEOID],MATCH(Table2[[#This Row],[CLID]],GeoByClient[Right],0))</f>
        <v>GEO1002</v>
      </c>
      <c r="G316" s="2" t="str">
        <f>_xlfn.XLOOKUP(Table2[[#This Row],[Xlookup Region ID]],GEONames[GEOID],GEONames[GEO Name])</f>
        <v>APAC</v>
      </c>
      <c r="H316" s="2" t="str">
        <f>"Q"&amp;ROUNDUP(MONTH(Table2[[#This Row],[Date]])/3,0)&amp;" "&amp;YEAR(Table2[[#This Row],[Date]])</f>
        <v>Q1 2025</v>
      </c>
      <c r="I316" s="2" t="str">
        <f>VLOOKUP(Table2[[#This Row],[Date]],Table7[],3)</f>
        <v>Q4 2024</v>
      </c>
    </row>
    <row r="317" spans="1:9" x14ac:dyDescent="0.25">
      <c r="A317" s="3" t="s">
        <v>12</v>
      </c>
      <c r="B317" s="3">
        <v>45688</v>
      </c>
      <c r="C317" s="6">
        <v>361</v>
      </c>
      <c r="D317" s="2">
        <f>LEN(Table2[[#This Row],[CLID]])</f>
        <v>7</v>
      </c>
      <c r="E317" s="2" t="str">
        <f>_xlfn.XLOOKUP('Volume Data'!A:A,'Geo Data'!D:D,'Geo Data'!B:B)</f>
        <v>GEO1002</v>
      </c>
      <c r="F317" s="2" t="str">
        <f>INDEX(GeoByClient[GEOID],MATCH(Table2[[#This Row],[CLID]],GeoByClient[Right],0))</f>
        <v>GEO1002</v>
      </c>
      <c r="G317" s="2" t="str">
        <f>_xlfn.XLOOKUP(Table2[[#This Row],[Xlookup Region ID]],GEONames[GEOID],GEONames[GEO Name])</f>
        <v>APAC</v>
      </c>
      <c r="H317" s="2" t="str">
        <f>"Q"&amp;ROUNDUP(MONTH(Table2[[#This Row],[Date]])/3,0)&amp;" "&amp;YEAR(Table2[[#This Row],[Date]])</f>
        <v>Q1 2025</v>
      </c>
      <c r="I317" s="2" t="str">
        <f>VLOOKUP(Table2[[#This Row],[Date]],Table7[],3)</f>
        <v>Q4 2024</v>
      </c>
    </row>
    <row r="318" spans="1:9" x14ac:dyDescent="0.25">
      <c r="A318" s="3" t="s">
        <v>51</v>
      </c>
      <c r="B318" s="3">
        <v>45322</v>
      </c>
      <c r="C318" s="6">
        <v>2691</v>
      </c>
      <c r="D318" s="2">
        <f>LEN(Table2[[#This Row],[CLID]])</f>
        <v>7</v>
      </c>
      <c r="E318" s="2" t="str">
        <f>_xlfn.XLOOKUP('Volume Data'!A:A,'Geo Data'!D:D,'Geo Data'!B:B)</f>
        <v>GEO1001</v>
      </c>
      <c r="F318" s="2" t="str">
        <f>INDEX(GeoByClient[GEOID],MATCH(Table2[[#This Row],[CLID]],GeoByClient[Right],0))</f>
        <v>GEO1001</v>
      </c>
      <c r="G318" s="2" t="str">
        <f>_xlfn.XLOOKUP(Table2[[#This Row],[Xlookup Region ID]],GEONames[GEOID],GEONames[GEO Name])</f>
        <v>NAM</v>
      </c>
      <c r="H318" s="2" t="str">
        <f>"Q"&amp;ROUNDUP(MONTH(Table2[[#This Row],[Date]])/3,0)&amp;" "&amp;YEAR(Table2[[#This Row],[Date]])</f>
        <v>Q1 2024</v>
      </c>
      <c r="I318" s="2" t="str">
        <f>VLOOKUP(Table2[[#This Row],[Date]],Table7[],3)</f>
        <v>Q1 2024</v>
      </c>
    </row>
    <row r="319" spans="1:9" x14ac:dyDescent="0.25">
      <c r="A319" s="3" t="s">
        <v>51</v>
      </c>
      <c r="B319" s="3">
        <v>45351</v>
      </c>
      <c r="C319" s="6">
        <v>2129</v>
      </c>
      <c r="D319" s="2">
        <f>LEN(Table2[[#This Row],[CLID]])</f>
        <v>7</v>
      </c>
      <c r="E319" s="2" t="str">
        <f>_xlfn.XLOOKUP('Volume Data'!A:A,'Geo Data'!D:D,'Geo Data'!B:B)</f>
        <v>GEO1001</v>
      </c>
      <c r="F319" s="2" t="str">
        <f>INDEX(GeoByClient[GEOID],MATCH(Table2[[#This Row],[CLID]],GeoByClient[Right],0))</f>
        <v>GEO1001</v>
      </c>
      <c r="G319" s="2" t="str">
        <f>_xlfn.XLOOKUP(Table2[[#This Row],[Xlookup Region ID]],GEONames[GEOID],GEONames[GEO Name])</f>
        <v>NAM</v>
      </c>
      <c r="H319" s="2" t="str">
        <f>"Q"&amp;ROUNDUP(MONTH(Table2[[#This Row],[Date]])/3,0)&amp;" "&amp;YEAR(Table2[[#This Row],[Date]])</f>
        <v>Q1 2024</v>
      </c>
      <c r="I319" s="2" t="str">
        <f>VLOOKUP(Table2[[#This Row],[Date]],Table7[],3)</f>
        <v>Q1 2024</v>
      </c>
    </row>
    <row r="320" spans="1:9" x14ac:dyDescent="0.25">
      <c r="A320" s="3" t="s">
        <v>51</v>
      </c>
      <c r="B320" s="3">
        <v>45382</v>
      </c>
      <c r="C320" s="6">
        <v>3258</v>
      </c>
      <c r="D320" s="2">
        <f>LEN(Table2[[#This Row],[CLID]])</f>
        <v>7</v>
      </c>
      <c r="E320" s="2" t="str">
        <f>_xlfn.XLOOKUP('Volume Data'!A:A,'Geo Data'!D:D,'Geo Data'!B:B)</f>
        <v>GEO1001</v>
      </c>
      <c r="F320" s="2" t="str">
        <f>INDEX(GeoByClient[GEOID],MATCH(Table2[[#This Row],[CLID]],GeoByClient[Right],0))</f>
        <v>GEO1001</v>
      </c>
      <c r="G320" s="2" t="str">
        <f>_xlfn.XLOOKUP(Table2[[#This Row],[Xlookup Region ID]],GEONames[GEOID],GEONames[GEO Name])</f>
        <v>NAM</v>
      </c>
      <c r="H320" s="2" t="str">
        <f>"Q"&amp;ROUNDUP(MONTH(Table2[[#This Row],[Date]])/3,0)&amp;" "&amp;YEAR(Table2[[#This Row],[Date]])</f>
        <v>Q1 2024</v>
      </c>
      <c r="I320" s="2" t="str">
        <f>VLOOKUP(Table2[[#This Row],[Date]],Table7[],3)</f>
        <v>Q1 2024</v>
      </c>
    </row>
    <row r="321" spans="1:9" x14ac:dyDescent="0.25">
      <c r="A321" s="3" t="s">
        <v>51</v>
      </c>
      <c r="B321" s="3">
        <v>45412</v>
      </c>
      <c r="C321" s="6">
        <v>2978</v>
      </c>
      <c r="D321" s="2">
        <f>LEN(Table2[[#This Row],[CLID]])</f>
        <v>7</v>
      </c>
      <c r="E321" s="2" t="str">
        <f>_xlfn.XLOOKUP('Volume Data'!A:A,'Geo Data'!D:D,'Geo Data'!B:B)</f>
        <v>GEO1001</v>
      </c>
      <c r="F321" s="2" t="str">
        <f>INDEX(GeoByClient[GEOID],MATCH(Table2[[#This Row],[CLID]],GeoByClient[Right],0))</f>
        <v>GEO1001</v>
      </c>
      <c r="G321" s="2" t="str">
        <f>_xlfn.XLOOKUP(Table2[[#This Row],[Xlookup Region ID]],GEONames[GEOID],GEONames[GEO Name])</f>
        <v>NAM</v>
      </c>
      <c r="H321" s="2" t="str">
        <f>"Q"&amp;ROUNDUP(MONTH(Table2[[#This Row],[Date]])/3,0)&amp;" "&amp;YEAR(Table2[[#This Row],[Date]])</f>
        <v>Q2 2024</v>
      </c>
      <c r="I321" s="2" t="str">
        <f>VLOOKUP(Table2[[#This Row],[Date]],Table7[],3)</f>
        <v>Q2 2024</v>
      </c>
    </row>
    <row r="322" spans="1:9" x14ac:dyDescent="0.25">
      <c r="A322" s="3" t="s">
        <v>51</v>
      </c>
      <c r="B322" s="3">
        <v>45443</v>
      </c>
      <c r="C322" s="6">
        <v>3544</v>
      </c>
      <c r="D322" s="2">
        <f>LEN(Table2[[#This Row],[CLID]])</f>
        <v>7</v>
      </c>
      <c r="E322" s="2" t="str">
        <f>_xlfn.XLOOKUP('Volume Data'!A:A,'Geo Data'!D:D,'Geo Data'!B:B)</f>
        <v>GEO1001</v>
      </c>
      <c r="F322" s="2" t="str">
        <f>INDEX(GeoByClient[GEOID],MATCH(Table2[[#This Row],[CLID]],GeoByClient[Right],0))</f>
        <v>GEO1001</v>
      </c>
      <c r="G322" s="2" t="str">
        <f>_xlfn.XLOOKUP(Table2[[#This Row],[Xlookup Region ID]],GEONames[GEOID],GEONames[GEO Name])</f>
        <v>NAM</v>
      </c>
      <c r="H322" s="2" t="str">
        <f>"Q"&amp;ROUNDUP(MONTH(Table2[[#This Row],[Date]])/3,0)&amp;" "&amp;YEAR(Table2[[#This Row],[Date]])</f>
        <v>Q2 2024</v>
      </c>
      <c r="I322" s="2" t="str">
        <f>VLOOKUP(Table2[[#This Row],[Date]],Table7[],3)</f>
        <v>Q2 2024</v>
      </c>
    </row>
    <row r="323" spans="1:9" x14ac:dyDescent="0.25">
      <c r="A323" s="3" t="s">
        <v>51</v>
      </c>
      <c r="B323" s="3">
        <v>45473</v>
      </c>
      <c r="C323" s="6">
        <v>1845</v>
      </c>
      <c r="D323" s="2">
        <f>LEN(Table2[[#This Row],[CLID]])</f>
        <v>7</v>
      </c>
      <c r="E323" s="2" t="str">
        <f>_xlfn.XLOOKUP('Volume Data'!A:A,'Geo Data'!D:D,'Geo Data'!B:B)</f>
        <v>GEO1001</v>
      </c>
      <c r="F323" s="2" t="str">
        <f>INDEX(GeoByClient[GEOID],MATCH(Table2[[#This Row],[CLID]],GeoByClient[Right],0))</f>
        <v>GEO1001</v>
      </c>
      <c r="G323" s="2" t="str">
        <f>_xlfn.XLOOKUP(Table2[[#This Row],[Xlookup Region ID]],GEONames[GEOID],GEONames[GEO Name])</f>
        <v>NAM</v>
      </c>
      <c r="H323" s="2" t="str">
        <f>"Q"&amp;ROUNDUP(MONTH(Table2[[#This Row],[Date]])/3,0)&amp;" "&amp;YEAR(Table2[[#This Row],[Date]])</f>
        <v>Q2 2024</v>
      </c>
      <c r="I323" s="2" t="str">
        <f>VLOOKUP(Table2[[#This Row],[Date]],Table7[],3)</f>
        <v>Q2 2024</v>
      </c>
    </row>
    <row r="324" spans="1:9" x14ac:dyDescent="0.25">
      <c r="A324" s="3" t="s">
        <v>51</v>
      </c>
      <c r="B324" s="3">
        <v>45504</v>
      </c>
      <c r="C324" s="6">
        <v>2414</v>
      </c>
      <c r="D324" s="2">
        <f>LEN(Table2[[#This Row],[CLID]])</f>
        <v>7</v>
      </c>
      <c r="E324" s="2" t="str">
        <f>_xlfn.XLOOKUP('Volume Data'!A:A,'Geo Data'!D:D,'Geo Data'!B:B)</f>
        <v>GEO1001</v>
      </c>
      <c r="F324" s="2" t="str">
        <f>INDEX(GeoByClient[GEOID],MATCH(Table2[[#This Row],[CLID]],GeoByClient[Right],0))</f>
        <v>GEO1001</v>
      </c>
      <c r="G324" s="2" t="str">
        <f>_xlfn.XLOOKUP(Table2[[#This Row],[Xlookup Region ID]],GEONames[GEOID],GEONames[GEO Name])</f>
        <v>NAM</v>
      </c>
      <c r="H324" s="2" t="str">
        <f>"Q"&amp;ROUNDUP(MONTH(Table2[[#This Row],[Date]])/3,0)&amp;" "&amp;YEAR(Table2[[#This Row],[Date]])</f>
        <v>Q3 2024</v>
      </c>
      <c r="I324" s="2" t="str">
        <f>VLOOKUP(Table2[[#This Row],[Date]],Table7[],3)</f>
        <v>Q3 2024</v>
      </c>
    </row>
    <row r="325" spans="1:9" x14ac:dyDescent="0.25">
      <c r="A325" s="3" t="s">
        <v>51</v>
      </c>
      <c r="B325" s="3">
        <v>45535</v>
      </c>
      <c r="C325" s="6">
        <v>1281</v>
      </c>
      <c r="D325" s="2">
        <f>LEN(Table2[[#This Row],[CLID]])</f>
        <v>7</v>
      </c>
      <c r="E325" s="2" t="str">
        <f>_xlfn.XLOOKUP('Volume Data'!A:A,'Geo Data'!D:D,'Geo Data'!B:B)</f>
        <v>GEO1001</v>
      </c>
      <c r="F325" s="2" t="str">
        <f>INDEX(GeoByClient[GEOID],MATCH(Table2[[#This Row],[CLID]],GeoByClient[Right],0))</f>
        <v>GEO1001</v>
      </c>
      <c r="G325" s="2" t="str">
        <f>_xlfn.XLOOKUP(Table2[[#This Row],[Xlookup Region ID]],GEONames[GEOID],GEONames[GEO Name])</f>
        <v>NAM</v>
      </c>
      <c r="H325" s="2" t="str">
        <f>"Q"&amp;ROUNDUP(MONTH(Table2[[#This Row],[Date]])/3,0)&amp;" "&amp;YEAR(Table2[[#This Row],[Date]])</f>
        <v>Q3 2024</v>
      </c>
      <c r="I325" s="2" t="str">
        <f>VLOOKUP(Table2[[#This Row],[Date]],Table7[],3)</f>
        <v>Q3 2024</v>
      </c>
    </row>
    <row r="326" spans="1:9" x14ac:dyDescent="0.25">
      <c r="A326" s="3" t="s">
        <v>51</v>
      </c>
      <c r="B326" s="3">
        <v>45565</v>
      </c>
      <c r="C326" s="6">
        <v>2131</v>
      </c>
      <c r="D326" s="2">
        <f>LEN(Table2[[#This Row],[CLID]])</f>
        <v>7</v>
      </c>
      <c r="E326" s="2" t="str">
        <f>_xlfn.XLOOKUP('Volume Data'!A:A,'Geo Data'!D:D,'Geo Data'!B:B)</f>
        <v>GEO1001</v>
      </c>
      <c r="F326" s="2" t="str">
        <f>INDEX(GeoByClient[GEOID],MATCH(Table2[[#This Row],[CLID]],GeoByClient[Right],0))</f>
        <v>GEO1001</v>
      </c>
      <c r="G326" s="2" t="str">
        <f>_xlfn.XLOOKUP(Table2[[#This Row],[Xlookup Region ID]],GEONames[GEOID],GEONames[GEO Name])</f>
        <v>NAM</v>
      </c>
      <c r="H326" s="2" t="str">
        <f>"Q"&amp;ROUNDUP(MONTH(Table2[[#This Row],[Date]])/3,0)&amp;" "&amp;YEAR(Table2[[#This Row],[Date]])</f>
        <v>Q3 2024</v>
      </c>
      <c r="I326" s="2" t="str">
        <f>VLOOKUP(Table2[[#This Row],[Date]],Table7[],3)</f>
        <v>Q3 2024</v>
      </c>
    </row>
    <row r="327" spans="1:9" x14ac:dyDescent="0.25">
      <c r="A327" s="3" t="s">
        <v>51</v>
      </c>
      <c r="B327" s="3">
        <v>45596</v>
      </c>
      <c r="C327" s="6">
        <v>1560</v>
      </c>
      <c r="D327" s="2">
        <f>LEN(Table2[[#This Row],[CLID]])</f>
        <v>7</v>
      </c>
      <c r="E327" s="2" t="str">
        <f>_xlfn.XLOOKUP('Volume Data'!A:A,'Geo Data'!D:D,'Geo Data'!B:B)</f>
        <v>GEO1001</v>
      </c>
      <c r="F327" s="2" t="str">
        <f>INDEX(GeoByClient[GEOID],MATCH(Table2[[#This Row],[CLID]],GeoByClient[Right],0))</f>
        <v>GEO1001</v>
      </c>
      <c r="G327" s="2" t="str">
        <f>_xlfn.XLOOKUP(Table2[[#This Row],[Xlookup Region ID]],GEONames[GEOID],GEONames[GEO Name])</f>
        <v>NAM</v>
      </c>
      <c r="H327" s="2" t="str">
        <f>"Q"&amp;ROUNDUP(MONTH(Table2[[#This Row],[Date]])/3,0)&amp;" "&amp;YEAR(Table2[[#This Row],[Date]])</f>
        <v>Q4 2024</v>
      </c>
      <c r="I327" s="2" t="str">
        <f>VLOOKUP(Table2[[#This Row],[Date]],Table7[],3)</f>
        <v>Q4 2024</v>
      </c>
    </row>
    <row r="328" spans="1:9" x14ac:dyDescent="0.25">
      <c r="A328" s="3" t="s">
        <v>51</v>
      </c>
      <c r="B328" s="3">
        <v>45626</v>
      </c>
      <c r="C328" s="6">
        <v>2691</v>
      </c>
      <c r="D328" s="2">
        <f>LEN(Table2[[#This Row],[CLID]])</f>
        <v>7</v>
      </c>
      <c r="E328" s="2" t="str">
        <f>_xlfn.XLOOKUP('Volume Data'!A:A,'Geo Data'!D:D,'Geo Data'!B:B)</f>
        <v>GEO1001</v>
      </c>
      <c r="F328" s="2" t="str">
        <f>INDEX(GeoByClient[GEOID],MATCH(Table2[[#This Row],[CLID]],GeoByClient[Right],0))</f>
        <v>GEO1001</v>
      </c>
      <c r="G328" s="2" t="str">
        <f>_xlfn.XLOOKUP(Table2[[#This Row],[Xlookup Region ID]],GEONames[GEOID],GEONames[GEO Name])</f>
        <v>NAM</v>
      </c>
      <c r="H328" s="2" t="str">
        <f>"Q"&amp;ROUNDUP(MONTH(Table2[[#This Row],[Date]])/3,0)&amp;" "&amp;YEAR(Table2[[#This Row],[Date]])</f>
        <v>Q4 2024</v>
      </c>
      <c r="I328" s="2" t="str">
        <f>VLOOKUP(Table2[[#This Row],[Date]],Table7[],3)</f>
        <v>Q4 2024</v>
      </c>
    </row>
    <row r="329" spans="1:9" x14ac:dyDescent="0.25">
      <c r="A329" s="3" t="s">
        <v>51</v>
      </c>
      <c r="B329" s="3">
        <v>45657</v>
      </c>
      <c r="C329" s="6">
        <v>1843</v>
      </c>
      <c r="D329" s="2">
        <f>LEN(Table2[[#This Row],[CLID]])</f>
        <v>7</v>
      </c>
      <c r="E329" s="2" t="str">
        <f>_xlfn.XLOOKUP('Volume Data'!A:A,'Geo Data'!D:D,'Geo Data'!B:B)</f>
        <v>GEO1001</v>
      </c>
      <c r="F329" s="2" t="str">
        <f>INDEX(GeoByClient[GEOID],MATCH(Table2[[#This Row],[CLID]],GeoByClient[Right],0))</f>
        <v>GEO1001</v>
      </c>
      <c r="G329" s="2" t="str">
        <f>_xlfn.XLOOKUP(Table2[[#This Row],[Xlookup Region ID]],GEONames[GEOID],GEONames[GEO Name])</f>
        <v>NAM</v>
      </c>
      <c r="H329" s="2" t="str">
        <f>"Q"&amp;ROUNDUP(MONTH(Table2[[#This Row],[Date]])/3,0)&amp;" "&amp;YEAR(Table2[[#This Row],[Date]])</f>
        <v>Q4 2024</v>
      </c>
      <c r="I329" s="2" t="str">
        <f>VLOOKUP(Table2[[#This Row],[Date]],Table7[],3)</f>
        <v>Q4 2024</v>
      </c>
    </row>
    <row r="330" spans="1:9" x14ac:dyDescent="0.25">
      <c r="A330" s="3" t="s">
        <v>51</v>
      </c>
      <c r="B330" s="3">
        <v>45838</v>
      </c>
      <c r="C330" s="6">
        <v>1864</v>
      </c>
      <c r="D330" s="2">
        <f>LEN(Table2[[#This Row],[CLID]])</f>
        <v>7</v>
      </c>
      <c r="E330" s="2" t="str">
        <f>_xlfn.XLOOKUP('Volume Data'!A:A,'Geo Data'!D:D,'Geo Data'!B:B)</f>
        <v>GEO1001</v>
      </c>
      <c r="F330" s="2" t="str">
        <f>INDEX(GeoByClient[GEOID],MATCH(Table2[[#This Row],[CLID]],GeoByClient[Right],0))</f>
        <v>GEO1001</v>
      </c>
      <c r="G330" s="2" t="str">
        <f>_xlfn.XLOOKUP(Table2[[#This Row],[Xlookup Region ID]],GEONames[GEOID],GEONames[GEO Name])</f>
        <v>NAM</v>
      </c>
      <c r="H330" s="2" t="str">
        <f>"Q"&amp;ROUNDUP(MONTH(Table2[[#This Row],[Date]])/3,0)&amp;" "&amp;YEAR(Table2[[#This Row],[Date]])</f>
        <v>Q2 2025</v>
      </c>
      <c r="I330" s="2" t="str">
        <f>VLOOKUP(Table2[[#This Row],[Date]],Table7[],3)</f>
        <v>Q2 2025</v>
      </c>
    </row>
    <row r="331" spans="1:9" x14ac:dyDescent="0.25">
      <c r="A331" s="3" t="s">
        <v>51</v>
      </c>
      <c r="B331" s="3">
        <v>45808</v>
      </c>
      <c r="C331" s="6">
        <v>3527</v>
      </c>
      <c r="D331" s="2">
        <f>LEN(Table2[[#This Row],[CLID]])</f>
        <v>7</v>
      </c>
      <c r="E331" s="2" t="str">
        <f>_xlfn.XLOOKUP('Volume Data'!A:A,'Geo Data'!D:D,'Geo Data'!B:B)</f>
        <v>GEO1001</v>
      </c>
      <c r="F331" s="2" t="str">
        <f>INDEX(GeoByClient[GEOID],MATCH(Table2[[#This Row],[CLID]],GeoByClient[Right],0))</f>
        <v>GEO1001</v>
      </c>
      <c r="G331" s="2" t="str">
        <f>_xlfn.XLOOKUP(Table2[[#This Row],[Xlookup Region ID]],GEONames[GEOID],GEONames[GEO Name])</f>
        <v>NAM</v>
      </c>
      <c r="H331" s="2" t="str">
        <f>"Q"&amp;ROUNDUP(MONTH(Table2[[#This Row],[Date]])/3,0)&amp;" "&amp;YEAR(Table2[[#This Row],[Date]])</f>
        <v>Q2 2025</v>
      </c>
      <c r="I331" s="2" t="str">
        <f>VLOOKUP(Table2[[#This Row],[Date]],Table7[],3)</f>
        <v>Q2 2025</v>
      </c>
    </row>
    <row r="332" spans="1:9" x14ac:dyDescent="0.25">
      <c r="A332" s="3" t="s">
        <v>51</v>
      </c>
      <c r="B332" s="3">
        <v>45777</v>
      </c>
      <c r="C332" s="6">
        <v>3010</v>
      </c>
      <c r="D332" s="2">
        <f>LEN(Table2[[#This Row],[CLID]])</f>
        <v>7</v>
      </c>
      <c r="E332" s="2" t="str">
        <f>_xlfn.XLOOKUP('Volume Data'!A:A,'Geo Data'!D:D,'Geo Data'!B:B)</f>
        <v>GEO1001</v>
      </c>
      <c r="F332" s="2" t="str">
        <f>INDEX(GeoByClient[GEOID],MATCH(Table2[[#This Row],[CLID]],GeoByClient[Right],0))</f>
        <v>GEO1001</v>
      </c>
      <c r="G332" s="2" t="str">
        <f>_xlfn.XLOOKUP(Table2[[#This Row],[Xlookup Region ID]],GEONames[GEOID],GEONames[GEO Name])</f>
        <v>NAM</v>
      </c>
      <c r="H332" s="2" t="str">
        <f>"Q"&amp;ROUNDUP(MONTH(Table2[[#This Row],[Date]])/3,0)&amp;" "&amp;YEAR(Table2[[#This Row],[Date]])</f>
        <v>Q2 2025</v>
      </c>
      <c r="I332" s="2" t="str">
        <f>VLOOKUP(Table2[[#This Row],[Date]],Table7[],3)</f>
        <v>Q2 2025</v>
      </c>
    </row>
    <row r="333" spans="1:9" x14ac:dyDescent="0.25">
      <c r="A333" s="3" t="s">
        <v>51</v>
      </c>
      <c r="B333" s="3">
        <v>45747</v>
      </c>
      <c r="C333" s="6">
        <v>3387</v>
      </c>
      <c r="D333" s="2">
        <f>LEN(Table2[[#This Row],[CLID]])</f>
        <v>7</v>
      </c>
      <c r="E333" s="2" t="str">
        <f>_xlfn.XLOOKUP('Volume Data'!A:A,'Geo Data'!D:D,'Geo Data'!B:B)</f>
        <v>GEO1001</v>
      </c>
      <c r="F333" s="2" t="str">
        <f>INDEX(GeoByClient[GEOID],MATCH(Table2[[#This Row],[CLID]],GeoByClient[Right],0))</f>
        <v>GEO1001</v>
      </c>
      <c r="G333" s="2" t="str">
        <f>_xlfn.XLOOKUP(Table2[[#This Row],[Xlookup Region ID]],GEONames[GEOID],GEONames[GEO Name])</f>
        <v>NAM</v>
      </c>
      <c r="H333" s="2" t="str">
        <f>"Q"&amp;ROUNDUP(MONTH(Table2[[#This Row],[Date]])/3,0)&amp;" "&amp;YEAR(Table2[[#This Row],[Date]])</f>
        <v>Q1 2025</v>
      </c>
      <c r="I333" s="2" t="str">
        <f>VLOOKUP(Table2[[#This Row],[Date]],Table7[],3)</f>
        <v>Q4 2024</v>
      </c>
    </row>
    <row r="334" spans="1:9" x14ac:dyDescent="0.25">
      <c r="A334" s="3" t="s">
        <v>51</v>
      </c>
      <c r="B334" s="3">
        <v>45716</v>
      </c>
      <c r="C334" s="6">
        <v>2190</v>
      </c>
      <c r="D334" s="2">
        <f>LEN(Table2[[#This Row],[CLID]])</f>
        <v>7</v>
      </c>
      <c r="E334" s="2" t="str">
        <f>_xlfn.XLOOKUP('Volume Data'!A:A,'Geo Data'!D:D,'Geo Data'!B:B)</f>
        <v>GEO1001</v>
      </c>
      <c r="F334" s="2" t="str">
        <f>INDEX(GeoByClient[GEOID],MATCH(Table2[[#This Row],[CLID]],GeoByClient[Right],0))</f>
        <v>GEO1001</v>
      </c>
      <c r="G334" s="2" t="str">
        <f>_xlfn.XLOOKUP(Table2[[#This Row],[Xlookup Region ID]],GEONames[GEOID],GEONames[GEO Name])</f>
        <v>NAM</v>
      </c>
      <c r="H334" s="2" t="str">
        <f>"Q"&amp;ROUNDUP(MONTH(Table2[[#This Row],[Date]])/3,0)&amp;" "&amp;YEAR(Table2[[#This Row],[Date]])</f>
        <v>Q1 2025</v>
      </c>
      <c r="I334" s="2" t="str">
        <f>VLOOKUP(Table2[[#This Row],[Date]],Table7[],3)</f>
        <v>Q4 2024</v>
      </c>
    </row>
    <row r="335" spans="1:9" x14ac:dyDescent="0.25">
      <c r="A335" s="3" t="s">
        <v>51</v>
      </c>
      <c r="B335" s="3">
        <v>45688</v>
      </c>
      <c r="C335" s="6">
        <v>2719</v>
      </c>
      <c r="D335" s="2">
        <f>LEN(Table2[[#This Row],[CLID]])</f>
        <v>7</v>
      </c>
      <c r="E335" s="2" t="str">
        <f>_xlfn.XLOOKUP('Volume Data'!A:A,'Geo Data'!D:D,'Geo Data'!B:B)</f>
        <v>GEO1001</v>
      </c>
      <c r="F335" s="2" t="str">
        <f>INDEX(GeoByClient[GEOID],MATCH(Table2[[#This Row],[CLID]],GeoByClient[Right],0))</f>
        <v>GEO1001</v>
      </c>
      <c r="G335" s="2" t="str">
        <f>_xlfn.XLOOKUP(Table2[[#This Row],[Xlookup Region ID]],GEONames[GEOID],GEONames[GEO Name])</f>
        <v>NAM</v>
      </c>
      <c r="H335" s="2" t="str">
        <f>"Q"&amp;ROUNDUP(MONTH(Table2[[#This Row],[Date]])/3,0)&amp;" "&amp;YEAR(Table2[[#This Row],[Date]])</f>
        <v>Q1 2025</v>
      </c>
      <c r="I335" s="2" t="str">
        <f>VLOOKUP(Table2[[#This Row],[Date]],Table7[],3)</f>
        <v>Q4 2024</v>
      </c>
    </row>
    <row r="336" spans="1:9" x14ac:dyDescent="0.25">
      <c r="A336" s="3" t="s">
        <v>16</v>
      </c>
      <c r="B336" s="3">
        <v>45322</v>
      </c>
      <c r="C336" s="6">
        <v>484</v>
      </c>
      <c r="D336" s="2">
        <f>LEN(Table2[[#This Row],[CLID]])</f>
        <v>7</v>
      </c>
      <c r="E336" s="2" t="str">
        <f>_xlfn.XLOOKUP('Volume Data'!A:A,'Geo Data'!D:D,'Geo Data'!B:B)</f>
        <v>GEO1004</v>
      </c>
      <c r="F336" s="2" t="str">
        <f>INDEX(GeoByClient[GEOID],MATCH(Table2[[#This Row],[CLID]],GeoByClient[Right],0))</f>
        <v>GEO1004</v>
      </c>
      <c r="G336" s="2" t="str">
        <f>_xlfn.XLOOKUP(Table2[[#This Row],[Xlookup Region ID]],GEONames[GEOID],GEONames[GEO Name])</f>
        <v>LATAM</v>
      </c>
      <c r="H336" s="2" t="str">
        <f>"Q"&amp;ROUNDUP(MONTH(Table2[[#This Row],[Date]])/3,0)&amp;" "&amp;YEAR(Table2[[#This Row],[Date]])</f>
        <v>Q1 2024</v>
      </c>
      <c r="I336" s="2" t="str">
        <f>VLOOKUP(Table2[[#This Row],[Date]],Table7[],3)</f>
        <v>Q1 2024</v>
      </c>
    </row>
    <row r="337" spans="1:9" x14ac:dyDescent="0.25">
      <c r="A337" s="3" t="s">
        <v>16</v>
      </c>
      <c r="B337" s="3">
        <v>45351</v>
      </c>
      <c r="C337" s="6">
        <v>546</v>
      </c>
      <c r="D337" s="2">
        <f>LEN(Table2[[#This Row],[CLID]])</f>
        <v>7</v>
      </c>
      <c r="E337" s="2" t="str">
        <f>_xlfn.XLOOKUP('Volume Data'!A:A,'Geo Data'!D:D,'Geo Data'!B:B)</f>
        <v>GEO1004</v>
      </c>
      <c r="F337" s="2" t="str">
        <f>INDEX(GeoByClient[GEOID],MATCH(Table2[[#This Row],[CLID]],GeoByClient[Right],0))</f>
        <v>GEO1004</v>
      </c>
      <c r="G337" s="2" t="str">
        <f>_xlfn.XLOOKUP(Table2[[#This Row],[Xlookup Region ID]],GEONames[GEOID],GEONames[GEO Name])</f>
        <v>LATAM</v>
      </c>
      <c r="H337" s="2" t="str">
        <f>"Q"&amp;ROUNDUP(MONTH(Table2[[#This Row],[Date]])/3,0)&amp;" "&amp;YEAR(Table2[[#This Row],[Date]])</f>
        <v>Q1 2024</v>
      </c>
      <c r="I337" s="2" t="str">
        <f>VLOOKUP(Table2[[#This Row],[Date]],Table7[],3)</f>
        <v>Q1 2024</v>
      </c>
    </row>
    <row r="338" spans="1:9" x14ac:dyDescent="0.25">
      <c r="A338" s="3" t="s">
        <v>16</v>
      </c>
      <c r="B338" s="3">
        <v>45382</v>
      </c>
      <c r="C338" s="6">
        <v>609</v>
      </c>
      <c r="D338" s="2">
        <f>LEN(Table2[[#This Row],[CLID]])</f>
        <v>7</v>
      </c>
      <c r="E338" s="2" t="str">
        <f>_xlfn.XLOOKUP('Volume Data'!A:A,'Geo Data'!D:D,'Geo Data'!B:B)</f>
        <v>GEO1004</v>
      </c>
      <c r="F338" s="2" t="str">
        <f>INDEX(GeoByClient[GEOID],MATCH(Table2[[#This Row],[CLID]],GeoByClient[Right],0))</f>
        <v>GEO1004</v>
      </c>
      <c r="G338" s="2" t="str">
        <f>_xlfn.XLOOKUP(Table2[[#This Row],[Xlookup Region ID]],GEONames[GEOID],GEONames[GEO Name])</f>
        <v>LATAM</v>
      </c>
      <c r="H338" s="2" t="str">
        <f>"Q"&amp;ROUNDUP(MONTH(Table2[[#This Row],[Date]])/3,0)&amp;" "&amp;YEAR(Table2[[#This Row],[Date]])</f>
        <v>Q1 2024</v>
      </c>
      <c r="I338" s="2" t="str">
        <f>VLOOKUP(Table2[[#This Row],[Date]],Table7[],3)</f>
        <v>Q1 2024</v>
      </c>
    </row>
    <row r="339" spans="1:9" x14ac:dyDescent="0.25">
      <c r="A339" s="3" t="s">
        <v>16</v>
      </c>
      <c r="B339" s="3">
        <v>45412</v>
      </c>
      <c r="C339" s="6">
        <v>727</v>
      </c>
      <c r="D339" s="2">
        <f>LEN(Table2[[#This Row],[CLID]])</f>
        <v>7</v>
      </c>
      <c r="E339" s="2" t="str">
        <f>_xlfn.XLOOKUP('Volume Data'!A:A,'Geo Data'!D:D,'Geo Data'!B:B)</f>
        <v>GEO1004</v>
      </c>
      <c r="F339" s="2" t="str">
        <f>INDEX(GeoByClient[GEOID],MATCH(Table2[[#This Row],[CLID]],GeoByClient[Right],0))</f>
        <v>GEO1004</v>
      </c>
      <c r="G339" s="2" t="str">
        <f>_xlfn.XLOOKUP(Table2[[#This Row],[Xlookup Region ID]],GEONames[GEOID],GEONames[GEO Name])</f>
        <v>LATAM</v>
      </c>
      <c r="H339" s="2" t="str">
        <f>"Q"&amp;ROUNDUP(MONTH(Table2[[#This Row],[Date]])/3,0)&amp;" "&amp;YEAR(Table2[[#This Row],[Date]])</f>
        <v>Q2 2024</v>
      </c>
      <c r="I339" s="2" t="str">
        <f>VLOOKUP(Table2[[#This Row],[Date]],Table7[],3)</f>
        <v>Q2 2024</v>
      </c>
    </row>
    <row r="340" spans="1:9" x14ac:dyDescent="0.25">
      <c r="A340" s="3" t="s">
        <v>16</v>
      </c>
      <c r="B340" s="3">
        <v>45443</v>
      </c>
      <c r="C340" s="6">
        <v>663</v>
      </c>
      <c r="D340" s="2">
        <f>LEN(Table2[[#This Row],[CLID]])</f>
        <v>7</v>
      </c>
      <c r="E340" s="2" t="str">
        <f>_xlfn.XLOOKUP('Volume Data'!A:A,'Geo Data'!D:D,'Geo Data'!B:B)</f>
        <v>GEO1004</v>
      </c>
      <c r="F340" s="2" t="str">
        <f>INDEX(GeoByClient[GEOID],MATCH(Table2[[#This Row],[CLID]],GeoByClient[Right],0))</f>
        <v>GEO1004</v>
      </c>
      <c r="G340" s="2" t="str">
        <f>_xlfn.XLOOKUP(Table2[[#This Row],[Xlookup Region ID]],GEONames[GEOID],GEONames[GEO Name])</f>
        <v>LATAM</v>
      </c>
      <c r="H340" s="2" t="str">
        <f>"Q"&amp;ROUNDUP(MONTH(Table2[[#This Row],[Date]])/3,0)&amp;" "&amp;YEAR(Table2[[#This Row],[Date]])</f>
        <v>Q2 2024</v>
      </c>
      <c r="I340" s="2" t="str">
        <f>VLOOKUP(Table2[[#This Row],[Date]],Table7[],3)</f>
        <v>Q2 2024</v>
      </c>
    </row>
    <row r="341" spans="1:9" x14ac:dyDescent="0.25">
      <c r="A341" s="3" t="s">
        <v>16</v>
      </c>
      <c r="B341" s="3">
        <v>45473</v>
      </c>
      <c r="C341" s="6">
        <v>489</v>
      </c>
      <c r="D341" s="2">
        <f>LEN(Table2[[#This Row],[CLID]])</f>
        <v>7</v>
      </c>
      <c r="E341" s="2" t="str">
        <f>_xlfn.XLOOKUP('Volume Data'!A:A,'Geo Data'!D:D,'Geo Data'!B:B)</f>
        <v>GEO1004</v>
      </c>
      <c r="F341" s="2" t="str">
        <f>INDEX(GeoByClient[GEOID],MATCH(Table2[[#This Row],[CLID]],GeoByClient[Right],0))</f>
        <v>GEO1004</v>
      </c>
      <c r="G341" s="2" t="str">
        <f>_xlfn.XLOOKUP(Table2[[#This Row],[Xlookup Region ID]],GEONames[GEOID],GEONames[GEO Name])</f>
        <v>LATAM</v>
      </c>
      <c r="H341" s="2" t="str">
        <f>"Q"&amp;ROUNDUP(MONTH(Table2[[#This Row],[Date]])/3,0)&amp;" "&amp;YEAR(Table2[[#This Row],[Date]])</f>
        <v>Q2 2024</v>
      </c>
      <c r="I341" s="2" t="str">
        <f>VLOOKUP(Table2[[#This Row],[Date]],Table7[],3)</f>
        <v>Q2 2024</v>
      </c>
    </row>
    <row r="342" spans="1:9" x14ac:dyDescent="0.25">
      <c r="A342" s="3" t="s">
        <v>16</v>
      </c>
      <c r="B342" s="3">
        <v>45504</v>
      </c>
      <c r="C342" s="6">
        <v>422</v>
      </c>
      <c r="D342" s="2">
        <f>LEN(Table2[[#This Row],[CLID]])</f>
        <v>7</v>
      </c>
      <c r="E342" s="2" t="str">
        <f>_xlfn.XLOOKUP('Volume Data'!A:A,'Geo Data'!D:D,'Geo Data'!B:B)</f>
        <v>GEO1004</v>
      </c>
      <c r="F342" s="2" t="str">
        <f>INDEX(GeoByClient[GEOID],MATCH(Table2[[#This Row],[CLID]],GeoByClient[Right],0))</f>
        <v>GEO1004</v>
      </c>
      <c r="G342" s="2" t="str">
        <f>_xlfn.XLOOKUP(Table2[[#This Row],[Xlookup Region ID]],GEONames[GEOID],GEONames[GEO Name])</f>
        <v>LATAM</v>
      </c>
      <c r="H342" s="2" t="str">
        <f>"Q"&amp;ROUNDUP(MONTH(Table2[[#This Row],[Date]])/3,0)&amp;" "&amp;YEAR(Table2[[#This Row],[Date]])</f>
        <v>Q3 2024</v>
      </c>
      <c r="I342" s="2" t="str">
        <f>VLOOKUP(Table2[[#This Row],[Date]],Table7[],3)</f>
        <v>Q3 2024</v>
      </c>
    </row>
    <row r="343" spans="1:9" x14ac:dyDescent="0.25">
      <c r="A343" s="3" t="s">
        <v>16</v>
      </c>
      <c r="B343" s="3">
        <v>45535</v>
      </c>
      <c r="C343" s="6">
        <v>366</v>
      </c>
      <c r="D343" s="2">
        <f>LEN(Table2[[#This Row],[CLID]])</f>
        <v>7</v>
      </c>
      <c r="E343" s="2" t="str">
        <f>_xlfn.XLOOKUP('Volume Data'!A:A,'Geo Data'!D:D,'Geo Data'!B:B)</f>
        <v>GEO1004</v>
      </c>
      <c r="F343" s="2" t="str">
        <f>INDEX(GeoByClient[GEOID],MATCH(Table2[[#This Row],[CLID]],GeoByClient[Right],0))</f>
        <v>GEO1004</v>
      </c>
      <c r="G343" s="2" t="str">
        <f>_xlfn.XLOOKUP(Table2[[#This Row],[Xlookup Region ID]],GEONames[GEOID],GEONames[GEO Name])</f>
        <v>LATAM</v>
      </c>
      <c r="H343" s="2" t="str">
        <f>"Q"&amp;ROUNDUP(MONTH(Table2[[#This Row],[Date]])/3,0)&amp;" "&amp;YEAR(Table2[[#This Row],[Date]])</f>
        <v>Q3 2024</v>
      </c>
      <c r="I343" s="2" t="str">
        <f>VLOOKUP(Table2[[#This Row],[Date]],Table7[],3)</f>
        <v>Q3 2024</v>
      </c>
    </row>
    <row r="344" spans="1:9" x14ac:dyDescent="0.25">
      <c r="A344" s="3" t="s">
        <v>16</v>
      </c>
      <c r="B344" s="3">
        <v>45565</v>
      </c>
      <c r="C344" s="6">
        <v>365</v>
      </c>
      <c r="D344" s="2">
        <f>LEN(Table2[[#This Row],[CLID]])</f>
        <v>7</v>
      </c>
      <c r="E344" s="2" t="str">
        <f>_xlfn.XLOOKUP('Volume Data'!A:A,'Geo Data'!D:D,'Geo Data'!B:B)</f>
        <v>GEO1004</v>
      </c>
      <c r="F344" s="2" t="str">
        <f>INDEX(GeoByClient[GEOID],MATCH(Table2[[#This Row],[CLID]],GeoByClient[Right],0))</f>
        <v>GEO1004</v>
      </c>
      <c r="G344" s="2" t="str">
        <f>_xlfn.XLOOKUP(Table2[[#This Row],[Xlookup Region ID]],GEONames[GEOID],GEONames[GEO Name])</f>
        <v>LATAM</v>
      </c>
      <c r="H344" s="2" t="str">
        <f>"Q"&amp;ROUNDUP(MONTH(Table2[[#This Row],[Date]])/3,0)&amp;" "&amp;YEAR(Table2[[#This Row],[Date]])</f>
        <v>Q3 2024</v>
      </c>
      <c r="I344" s="2" t="str">
        <f>VLOOKUP(Table2[[#This Row],[Date]],Table7[],3)</f>
        <v>Q3 2024</v>
      </c>
    </row>
    <row r="345" spans="1:9" x14ac:dyDescent="0.25">
      <c r="A345" s="3" t="s">
        <v>16</v>
      </c>
      <c r="B345" s="3">
        <v>45596</v>
      </c>
      <c r="C345" s="6">
        <v>428</v>
      </c>
      <c r="D345" s="2">
        <f>LEN(Table2[[#This Row],[CLID]])</f>
        <v>7</v>
      </c>
      <c r="E345" s="2" t="str">
        <f>_xlfn.XLOOKUP('Volume Data'!A:A,'Geo Data'!D:D,'Geo Data'!B:B)</f>
        <v>GEO1004</v>
      </c>
      <c r="F345" s="2" t="str">
        <f>INDEX(GeoByClient[GEOID],MATCH(Table2[[#This Row],[CLID]],GeoByClient[Right],0))</f>
        <v>GEO1004</v>
      </c>
      <c r="G345" s="2" t="str">
        <f>_xlfn.XLOOKUP(Table2[[#This Row],[Xlookup Region ID]],GEONames[GEOID],GEONames[GEO Name])</f>
        <v>LATAM</v>
      </c>
      <c r="H345" s="2" t="str">
        <f>"Q"&amp;ROUNDUP(MONTH(Table2[[#This Row],[Date]])/3,0)&amp;" "&amp;YEAR(Table2[[#This Row],[Date]])</f>
        <v>Q4 2024</v>
      </c>
      <c r="I345" s="2" t="str">
        <f>VLOOKUP(Table2[[#This Row],[Date]],Table7[],3)</f>
        <v>Q4 2024</v>
      </c>
    </row>
    <row r="346" spans="1:9" x14ac:dyDescent="0.25">
      <c r="A346" s="3" t="s">
        <v>16</v>
      </c>
      <c r="B346" s="3">
        <v>45626</v>
      </c>
      <c r="C346" s="6">
        <v>486</v>
      </c>
      <c r="D346" s="2">
        <f>LEN(Table2[[#This Row],[CLID]])</f>
        <v>7</v>
      </c>
      <c r="E346" s="2" t="str">
        <f>_xlfn.XLOOKUP('Volume Data'!A:A,'Geo Data'!D:D,'Geo Data'!B:B)</f>
        <v>GEO1004</v>
      </c>
      <c r="F346" s="2" t="str">
        <f>INDEX(GeoByClient[GEOID],MATCH(Table2[[#This Row],[CLID]],GeoByClient[Right],0))</f>
        <v>GEO1004</v>
      </c>
      <c r="G346" s="2" t="str">
        <f>_xlfn.XLOOKUP(Table2[[#This Row],[Xlookup Region ID]],GEONames[GEOID],GEONames[GEO Name])</f>
        <v>LATAM</v>
      </c>
      <c r="H346" s="2" t="str">
        <f>"Q"&amp;ROUNDUP(MONTH(Table2[[#This Row],[Date]])/3,0)&amp;" "&amp;YEAR(Table2[[#This Row],[Date]])</f>
        <v>Q4 2024</v>
      </c>
      <c r="I346" s="2" t="str">
        <f>VLOOKUP(Table2[[#This Row],[Date]],Table7[],3)</f>
        <v>Q4 2024</v>
      </c>
    </row>
    <row r="347" spans="1:9" x14ac:dyDescent="0.25">
      <c r="A347" s="3" t="s">
        <v>16</v>
      </c>
      <c r="B347" s="3">
        <v>45657</v>
      </c>
      <c r="C347" s="6">
        <v>488</v>
      </c>
      <c r="D347" s="2">
        <f>LEN(Table2[[#This Row],[CLID]])</f>
        <v>7</v>
      </c>
      <c r="E347" s="2" t="str">
        <f>_xlfn.XLOOKUP('Volume Data'!A:A,'Geo Data'!D:D,'Geo Data'!B:B)</f>
        <v>GEO1004</v>
      </c>
      <c r="F347" s="2" t="str">
        <f>INDEX(GeoByClient[GEOID],MATCH(Table2[[#This Row],[CLID]],GeoByClient[Right],0))</f>
        <v>GEO1004</v>
      </c>
      <c r="G347" s="2" t="str">
        <f>_xlfn.XLOOKUP(Table2[[#This Row],[Xlookup Region ID]],GEONames[GEOID],GEONames[GEO Name])</f>
        <v>LATAM</v>
      </c>
      <c r="H347" s="2" t="str">
        <f>"Q"&amp;ROUNDUP(MONTH(Table2[[#This Row],[Date]])/3,0)&amp;" "&amp;YEAR(Table2[[#This Row],[Date]])</f>
        <v>Q4 2024</v>
      </c>
      <c r="I347" s="2" t="str">
        <f>VLOOKUP(Table2[[#This Row],[Date]],Table7[],3)</f>
        <v>Q4 2024</v>
      </c>
    </row>
    <row r="348" spans="1:9" x14ac:dyDescent="0.25">
      <c r="A348" s="3" t="s">
        <v>16</v>
      </c>
      <c r="B348" s="3">
        <v>45688</v>
      </c>
      <c r="C348" s="6">
        <v>483</v>
      </c>
      <c r="D348" s="2">
        <f>LEN(Table2[[#This Row],[CLID]])</f>
        <v>7</v>
      </c>
      <c r="E348" s="2" t="str">
        <f>_xlfn.XLOOKUP('Volume Data'!A:A,'Geo Data'!D:D,'Geo Data'!B:B)</f>
        <v>GEO1004</v>
      </c>
      <c r="F348" s="2" t="str">
        <f>INDEX(GeoByClient[GEOID],MATCH(Table2[[#This Row],[CLID]],GeoByClient[Right],0))</f>
        <v>GEO1004</v>
      </c>
      <c r="G348" s="2" t="str">
        <f>_xlfn.XLOOKUP(Table2[[#This Row],[Xlookup Region ID]],GEONames[GEOID],GEONames[GEO Name])</f>
        <v>LATAM</v>
      </c>
      <c r="H348" s="2" t="str">
        <f>"Q"&amp;ROUNDUP(MONTH(Table2[[#This Row],[Date]])/3,0)&amp;" "&amp;YEAR(Table2[[#This Row],[Date]])</f>
        <v>Q1 2025</v>
      </c>
      <c r="I348" s="2" t="str">
        <f>VLOOKUP(Table2[[#This Row],[Date]],Table7[],3)</f>
        <v>Q4 2024</v>
      </c>
    </row>
    <row r="349" spans="1:9" x14ac:dyDescent="0.25">
      <c r="A349" s="3" t="s">
        <v>43</v>
      </c>
      <c r="B349" s="3">
        <v>45322</v>
      </c>
      <c r="C349" s="6">
        <v>13597</v>
      </c>
      <c r="D349" s="2">
        <f>LEN(Table2[[#This Row],[CLID]])</f>
        <v>7</v>
      </c>
      <c r="E349" s="2" t="str">
        <f>_xlfn.XLOOKUP('Volume Data'!A:A,'Geo Data'!D:D,'Geo Data'!B:B)</f>
        <v>GEO1002</v>
      </c>
      <c r="F349" s="2" t="str">
        <f>INDEX(GeoByClient[GEOID],MATCH(Table2[[#This Row],[CLID]],GeoByClient[Right],0))</f>
        <v>GEO1002</v>
      </c>
      <c r="G349" s="2" t="str">
        <f>_xlfn.XLOOKUP(Table2[[#This Row],[Xlookup Region ID]],GEONames[GEOID],GEONames[GEO Name])</f>
        <v>APAC</v>
      </c>
      <c r="H349" s="2" t="str">
        <f>"Q"&amp;ROUNDUP(MONTH(Table2[[#This Row],[Date]])/3,0)&amp;" "&amp;YEAR(Table2[[#This Row],[Date]])</f>
        <v>Q1 2024</v>
      </c>
      <c r="I349" s="2" t="str">
        <f>VLOOKUP(Table2[[#This Row],[Date]],Table7[],3)</f>
        <v>Q1 2024</v>
      </c>
    </row>
    <row r="350" spans="1:9" x14ac:dyDescent="0.25">
      <c r="A350" s="3" t="s">
        <v>43</v>
      </c>
      <c r="B350" s="3">
        <v>45351</v>
      </c>
      <c r="C350" s="6">
        <v>15298</v>
      </c>
      <c r="D350" s="2">
        <f>LEN(Table2[[#This Row],[CLID]])</f>
        <v>7</v>
      </c>
      <c r="E350" s="2" t="str">
        <f>_xlfn.XLOOKUP('Volume Data'!A:A,'Geo Data'!D:D,'Geo Data'!B:B)</f>
        <v>GEO1002</v>
      </c>
      <c r="F350" s="2" t="str">
        <f>INDEX(GeoByClient[GEOID],MATCH(Table2[[#This Row],[CLID]],GeoByClient[Right],0))</f>
        <v>GEO1002</v>
      </c>
      <c r="G350" s="2" t="str">
        <f>_xlfn.XLOOKUP(Table2[[#This Row],[Xlookup Region ID]],GEONames[GEOID],GEONames[GEO Name])</f>
        <v>APAC</v>
      </c>
      <c r="H350" s="2" t="str">
        <f>"Q"&amp;ROUNDUP(MONTH(Table2[[#This Row],[Date]])/3,0)&amp;" "&amp;YEAR(Table2[[#This Row],[Date]])</f>
        <v>Q1 2024</v>
      </c>
      <c r="I350" s="2" t="str">
        <f>VLOOKUP(Table2[[#This Row],[Date]],Table7[],3)</f>
        <v>Q1 2024</v>
      </c>
    </row>
    <row r="351" spans="1:9" x14ac:dyDescent="0.25">
      <c r="A351" s="3" t="s">
        <v>43</v>
      </c>
      <c r="B351" s="3">
        <v>45382</v>
      </c>
      <c r="C351" s="6">
        <v>16992</v>
      </c>
      <c r="D351" s="2">
        <f>LEN(Table2[[#This Row],[CLID]])</f>
        <v>7</v>
      </c>
      <c r="E351" s="2" t="str">
        <f>_xlfn.XLOOKUP('Volume Data'!A:A,'Geo Data'!D:D,'Geo Data'!B:B)</f>
        <v>GEO1002</v>
      </c>
      <c r="F351" s="2" t="str">
        <f>INDEX(GeoByClient[GEOID],MATCH(Table2[[#This Row],[CLID]],GeoByClient[Right],0))</f>
        <v>GEO1002</v>
      </c>
      <c r="G351" s="2" t="str">
        <f>_xlfn.XLOOKUP(Table2[[#This Row],[Xlookup Region ID]],GEONames[GEOID],GEONames[GEO Name])</f>
        <v>APAC</v>
      </c>
      <c r="H351" s="2" t="str">
        <f>"Q"&amp;ROUNDUP(MONTH(Table2[[#This Row],[Date]])/3,0)&amp;" "&amp;YEAR(Table2[[#This Row],[Date]])</f>
        <v>Q1 2024</v>
      </c>
      <c r="I351" s="2" t="str">
        <f>VLOOKUP(Table2[[#This Row],[Date]],Table7[],3)</f>
        <v>Q1 2024</v>
      </c>
    </row>
    <row r="352" spans="1:9" x14ac:dyDescent="0.25">
      <c r="A352" s="3" t="s">
        <v>43</v>
      </c>
      <c r="B352" s="3">
        <v>45412</v>
      </c>
      <c r="C352" s="6">
        <v>20394</v>
      </c>
      <c r="D352" s="2">
        <f>LEN(Table2[[#This Row],[CLID]])</f>
        <v>7</v>
      </c>
      <c r="E352" s="2" t="str">
        <f>_xlfn.XLOOKUP('Volume Data'!A:A,'Geo Data'!D:D,'Geo Data'!B:B)</f>
        <v>GEO1002</v>
      </c>
      <c r="F352" s="2" t="str">
        <f>INDEX(GeoByClient[GEOID],MATCH(Table2[[#This Row],[CLID]],GeoByClient[Right],0))</f>
        <v>GEO1002</v>
      </c>
      <c r="G352" s="2" t="str">
        <f>_xlfn.XLOOKUP(Table2[[#This Row],[Xlookup Region ID]],GEONames[GEOID],GEONames[GEO Name])</f>
        <v>APAC</v>
      </c>
      <c r="H352" s="2" t="str">
        <f>"Q"&amp;ROUNDUP(MONTH(Table2[[#This Row],[Date]])/3,0)&amp;" "&amp;YEAR(Table2[[#This Row],[Date]])</f>
        <v>Q2 2024</v>
      </c>
      <c r="I352" s="2" t="str">
        <f>VLOOKUP(Table2[[#This Row],[Date]],Table7[],3)</f>
        <v>Q2 2024</v>
      </c>
    </row>
    <row r="353" spans="1:9" x14ac:dyDescent="0.25">
      <c r="A353" s="3" t="s">
        <v>43</v>
      </c>
      <c r="B353" s="3">
        <v>45443</v>
      </c>
      <c r="C353" s="6">
        <v>18695</v>
      </c>
      <c r="D353" s="2">
        <f>LEN(Table2[[#This Row],[CLID]])</f>
        <v>7</v>
      </c>
      <c r="E353" s="2" t="str">
        <f>_xlfn.XLOOKUP('Volume Data'!A:A,'Geo Data'!D:D,'Geo Data'!B:B)</f>
        <v>GEO1002</v>
      </c>
      <c r="F353" s="2" t="str">
        <f>INDEX(GeoByClient[GEOID],MATCH(Table2[[#This Row],[CLID]],GeoByClient[Right],0))</f>
        <v>GEO1002</v>
      </c>
      <c r="G353" s="2" t="str">
        <f>_xlfn.XLOOKUP(Table2[[#This Row],[Xlookup Region ID]],GEONames[GEOID],GEONames[GEO Name])</f>
        <v>APAC</v>
      </c>
      <c r="H353" s="2" t="str">
        <f>"Q"&amp;ROUNDUP(MONTH(Table2[[#This Row],[Date]])/3,0)&amp;" "&amp;YEAR(Table2[[#This Row],[Date]])</f>
        <v>Q2 2024</v>
      </c>
      <c r="I353" s="2" t="str">
        <f>VLOOKUP(Table2[[#This Row],[Date]],Table7[],3)</f>
        <v>Q2 2024</v>
      </c>
    </row>
    <row r="354" spans="1:9" x14ac:dyDescent="0.25">
      <c r="A354" s="3" t="s">
        <v>43</v>
      </c>
      <c r="B354" s="3">
        <v>45473</v>
      </c>
      <c r="C354" s="6">
        <v>13597</v>
      </c>
      <c r="D354" s="2">
        <f>LEN(Table2[[#This Row],[CLID]])</f>
        <v>7</v>
      </c>
      <c r="E354" s="2" t="str">
        <f>_xlfn.XLOOKUP('Volume Data'!A:A,'Geo Data'!D:D,'Geo Data'!B:B)</f>
        <v>GEO1002</v>
      </c>
      <c r="F354" s="2" t="str">
        <f>INDEX(GeoByClient[GEOID],MATCH(Table2[[#This Row],[CLID]],GeoByClient[Right],0))</f>
        <v>GEO1002</v>
      </c>
      <c r="G354" s="2" t="str">
        <f>_xlfn.XLOOKUP(Table2[[#This Row],[Xlookup Region ID]],GEONames[GEOID],GEONames[GEO Name])</f>
        <v>APAC</v>
      </c>
      <c r="H354" s="2" t="str">
        <f>"Q"&amp;ROUNDUP(MONTH(Table2[[#This Row],[Date]])/3,0)&amp;" "&amp;YEAR(Table2[[#This Row],[Date]])</f>
        <v>Q2 2024</v>
      </c>
      <c r="I354" s="2" t="str">
        <f>VLOOKUP(Table2[[#This Row],[Date]],Table7[],3)</f>
        <v>Q2 2024</v>
      </c>
    </row>
    <row r="355" spans="1:9" x14ac:dyDescent="0.25">
      <c r="A355" s="3" t="s">
        <v>43</v>
      </c>
      <c r="B355" s="3">
        <v>45504</v>
      </c>
      <c r="C355" s="6">
        <v>11899</v>
      </c>
      <c r="D355" s="2">
        <f>LEN(Table2[[#This Row],[CLID]])</f>
        <v>7</v>
      </c>
      <c r="E355" s="2" t="str">
        <f>_xlfn.XLOOKUP('Volume Data'!A:A,'Geo Data'!D:D,'Geo Data'!B:B)</f>
        <v>GEO1002</v>
      </c>
      <c r="F355" s="2" t="str">
        <f>INDEX(GeoByClient[GEOID],MATCH(Table2[[#This Row],[CLID]],GeoByClient[Right],0))</f>
        <v>GEO1002</v>
      </c>
      <c r="G355" s="2" t="str">
        <f>_xlfn.XLOOKUP(Table2[[#This Row],[Xlookup Region ID]],GEONames[GEOID],GEONames[GEO Name])</f>
        <v>APAC</v>
      </c>
      <c r="H355" s="2" t="str">
        <f>"Q"&amp;ROUNDUP(MONTH(Table2[[#This Row],[Date]])/3,0)&amp;" "&amp;YEAR(Table2[[#This Row],[Date]])</f>
        <v>Q3 2024</v>
      </c>
      <c r="I355" s="2" t="str">
        <f>VLOOKUP(Table2[[#This Row],[Date]],Table7[],3)</f>
        <v>Q3 2024</v>
      </c>
    </row>
    <row r="356" spans="1:9" x14ac:dyDescent="0.25">
      <c r="A356" s="3" t="s">
        <v>43</v>
      </c>
      <c r="B356" s="3">
        <v>45535</v>
      </c>
      <c r="C356" s="6">
        <v>10197</v>
      </c>
      <c r="D356" s="2">
        <f>LEN(Table2[[#This Row],[CLID]])</f>
        <v>7</v>
      </c>
      <c r="E356" s="2" t="str">
        <f>_xlfn.XLOOKUP('Volume Data'!A:A,'Geo Data'!D:D,'Geo Data'!B:B)</f>
        <v>GEO1002</v>
      </c>
      <c r="F356" s="2" t="str">
        <f>INDEX(GeoByClient[GEOID],MATCH(Table2[[#This Row],[CLID]],GeoByClient[Right],0))</f>
        <v>GEO1002</v>
      </c>
      <c r="G356" s="2" t="str">
        <f>_xlfn.XLOOKUP(Table2[[#This Row],[Xlookup Region ID]],GEONames[GEOID],GEONames[GEO Name])</f>
        <v>APAC</v>
      </c>
      <c r="H356" s="2" t="str">
        <f>"Q"&amp;ROUNDUP(MONTH(Table2[[#This Row],[Date]])/3,0)&amp;" "&amp;YEAR(Table2[[#This Row],[Date]])</f>
        <v>Q3 2024</v>
      </c>
      <c r="I356" s="2" t="str">
        <f>VLOOKUP(Table2[[#This Row],[Date]],Table7[],3)</f>
        <v>Q3 2024</v>
      </c>
    </row>
    <row r="357" spans="1:9" x14ac:dyDescent="0.25">
      <c r="A357" s="3" t="s">
        <v>43</v>
      </c>
      <c r="B357" s="3">
        <v>45565</v>
      </c>
      <c r="C357" s="6">
        <v>10196</v>
      </c>
      <c r="D357" s="2">
        <f>LEN(Table2[[#This Row],[CLID]])</f>
        <v>7</v>
      </c>
      <c r="E357" s="2" t="str">
        <f>_xlfn.XLOOKUP('Volume Data'!A:A,'Geo Data'!D:D,'Geo Data'!B:B)</f>
        <v>GEO1002</v>
      </c>
      <c r="F357" s="2" t="str">
        <f>INDEX(GeoByClient[GEOID],MATCH(Table2[[#This Row],[CLID]],GeoByClient[Right],0))</f>
        <v>GEO1002</v>
      </c>
      <c r="G357" s="2" t="str">
        <f>_xlfn.XLOOKUP(Table2[[#This Row],[Xlookup Region ID]],GEONames[GEOID],GEONames[GEO Name])</f>
        <v>APAC</v>
      </c>
      <c r="H357" s="2" t="str">
        <f>"Q"&amp;ROUNDUP(MONTH(Table2[[#This Row],[Date]])/3,0)&amp;" "&amp;YEAR(Table2[[#This Row],[Date]])</f>
        <v>Q3 2024</v>
      </c>
      <c r="I357" s="2" t="str">
        <f>VLOOKUP(Table2[[#This Row],[Date]],Table7[],3)</f>
        <v>Q3 2024</v>
      </c>
    </row>
    <row r="358" spans="1:9" x14ac:dyDescent="0.25">
      <c r="A358" s="3" t="s">
        <v>43</v>
      </c>
      <c r="B358" s="3">
        <v>45596</v>
      </c>
      <c r="C358" s="6">
        <v>11895</v>
      </c>
      <c r="D358" s="2">
        <f>LEN(Table2[[#This Row],[CLID]])</f>
        <v>7</v>
      </c>
      <c r="E358" s="2" t="str">
        <f>_xlfn.XLOOKUP('Volume Data'!A:A,'Geo Data'!D:D,'Geo Data'!B:B)</f>
        <v>GEO1002</v>
      </c>
      <c r="F358" s="2" t="str">
        <f>INDEX(GeoByClient[GEOID],MATCH(Table2[[#This Row],[CLID]],GeoByClient[Right],0))</f>
        <v>GEO1002</v>
      </c>
      <c r="G358" s="2" t="str">
        <f>_xlfn.XLOOKUP(Table2[[#This Row],[Xlookup Region ID]],GEONames[GEOID],GEONames[GEO Name])</f>
        <v>APAC</v>
      </c>
      <c r="H358" s="2" t="str">
        <f>"Q"&amp;ROUNDUP(MONTH(Table2[[#This Row],[Date]])/3,0)&amp;" "&amp;YEAR(Table2[[#This Row],[Date]])</f>
        <v>Q4 2024</v>
      </c>
      <c r="I358" s="2" t="str">
        <f>VLOOKUP(Table2[[#This Row],[Date]],Table7[],3)</f>
        <v>Q4 2024</v>
      </c>
    </row>
    <row r="359" spans="1:9" x14ac:dyDescent="0.25">
      <c r="A359" s="3" t="s">
        <v>43</v>
      </c>
      <c r="B359" s="3">
        <v>45626</v>
      </c>
      <c r="C359" s="6">
        <v>13596</v>
      </c>
      <c r="D359" s="2">
        <f>LEN(Table2[[#This Row],[CLID]])</f>
        <v>7</v>
      </c>
      <c r="E359" s="2" t="str">
        <f>_xlfn.XLOOKUP('Volume Data'!A:A,'Geo Data'!D:D,'Geo Data'!B:B)</f>
        <v>GEO1002</v>
      </c>
      <c r="F359" s="2" t="str">
        <f>INDEX(GeoByClient[GEOID],MATCH(Table2[[#This Row],[CLID]],GeoByClient[Right],0))</f>
        <v>GEO1002</v>
      </c>
      <c r="G359" s="2" t="str">
        <f>_xlfn.XLOOKUP(Table2[[#This Row],[Xlookup Region ID]],GEONames[GEOID],GEONames[GEO Name])</f>
        <v>APAC</v>
      </c>
      <c r="H359" s="2" t="str">
        <f>"Q"&amp;ROUNDUP(MONTH(Table2[[#This Row],[Date]])/3,0)&amp;" "&amp;YEAR(Table2[[#This Row],[Date]])</f>
        <v>Q4 2024</v>
      </c>
      <c r="I359" s="2" t="str">
        <f>VLOOKUP(Table2[[#This Row],[Date]],Table7[],3)</f>
        <v>Q4 2024</v>
      </c>
    </row>
    <row r="360" spans="1:9" x14ac:dyDescent="0.25">
      <c r="A360" s="3" t="s">
        <v>43</v>
      </c>
      <c r="B360" s="3">
        <v>45657</v>
      </c>
      <c r="C360" s="6">
        <v>13595</v>
      </c>
      <c r="D360" s="2">
        <f>LEN(Table2[[#This Row],[CLID]])</f>
        <v>7</v>
      </c>
      <c r="E360" s="2" t="str">
        <f>_xlfn.XLOOKUP('Volume Data'!A:A,'Geo Data'!D:D,'Geo Data'!B:B)</f>
        <v>GEO1002</v>
      </c>
      <c r="F360" s="2" t="str">
        <f>INDEX(GeoByClient[GEOID],MATCH(Table2[[#This Row],[CLID]],GeoByClient[Right],0))</f>
        <v>GEO1002</v>
      </c>
      <c r="G360" s="2" t="str">
        <f>_xlfn.XLOOKUP(Table2[[#This Row],[Xlookup Region ID]],GEONames[GEOID],GEONames[GEO Name])</f>
        <v>APAC</v>
      </c>
      <c r="H360" s="2" t="str">
        <f>"Q"&amp;ROUNDUP(MONTH(Table2[[#This Row],[Date]])/3,0)&amp;" "&amp;YEAR(Table2[[#This Row],[Date]])</f>
        <v>Q4 2024</v>
      </c>
      <c r="I360" s="2" t="str">
        <f>VLOOKUP(Table2[[#This Row],[Date]],Table7[],3)</f>
        <v>Q4 2024</v>
      </c>
    </row>
    <row r="361" spans="1:9" x14ac:dyDescent="0.25">
      <c r="A361" s="3" t="s">
        <v>43</v>
      </c>
      <c r="B361" s="3">
        <v>45838</v>
      </c>
      <c r="C361" s="6">
        <v>13732</v>
      </c>
      <c r="D361" s="2">
        <f>LEN(Table2[[#This Row],[CLID]])</f>
        <v>7</v>
      </c>
      <c r="E361" s="2" t="str">
        <f>_xlfn.XLOOKUP('Volume Data'!A:A,'Geo Data'!D:D,'Geo Data'!B:B)</f>
        <v>GEO1002</v>
      </c>
      <c r="F361" s="2" t="str">
        <f>INDEX(GeoByClient[GEOID],MATCH(Table2[[#This Row],[CLID]],GeoByClient[Right],0))</f>
        <v>GEO1002</v>
      </c>
      <c r="G361" s="2" t="str">
        <f>_xlfn.XLOOKUP(Table2[[#This Row],[Xlookup Region ID]],GEONames[GEOID],GEONames[GEO Name])</f>
        <v>APAC</v>
      </c>
      <c r="H361" s="2" t="str">
        <f>"Q"&amp;ROUNDUP(MONTH(Table2[[#This Row],[Date]])/3,0)&amp;" "&amp;YEAR(Table2[[#This Row],[Date]])</f>
        <v>Q2 2025</v>
      </c>
      <c r="I361" s="2" t="str">
        <f>VLOOKUP(Table2[[#This Row],[Date]],Table7[],3)</f>
        <v>Q2 2025</v>
      </c>
    </row>
    <row r="362" spans="1:9" x14ac:dyDescent="0.25">
      <c r="A362" s="3" t="s">
        <v>43</v>
      </c>
      <c r="B362" s="3">
        <v>45808</v>
      </c>
      <c r="C362" s="6">
        <v>19253</v>
      </c>
      <c r="D362" s="2">
        <f>LEN(Table2[[#This Row],[CLID]])</f>
        <v>7</v>
      </c>
      <c r="E362" s="2" t="str">
        <f>_xlfn.XLOOKUP('Volume Data'!A:A,'Geo Data'!D:D,'Geo Data'!B:B)</f>
        <v>GEO1002</v>
      </c>
      <c r="F362" s="2" t="str">
        <f>INDEX(GeoByClient[GEOID],MATCH(Table2[[#This Row],[CLID]],GeoByClient[Right],0))</f>
        <v>GEO1002</v>
      </c>
      <c r="G362" s="2" t="str">
        <f>_xlfn.XLOOKUP(Table2[[#This Row],[Xlookup Region ID]],GEONames[GEOID],GEONames[GEO Name])</f>
        <v>APAC</v>
      </c>
      <c r="H362" s="2" t="str">
        <f>"Q"&amp;ROUNDUP(MONTH(Table2[[#This Row],[Date]])/3,0)&amp;" "&amp;YEAR(Table2[[#This Row],[Date]])</f>
        <v>Q2 2025</v>
      </c>
      <c r="I362" s="2" t="str">
        <f>VLOOKUP(Table2[[#This Row],[Date]],Table7[],3)</f>
        <v>Q2 2025</v>
      </c>
    </row>
    <row r="363" spans="1:9" x14ac:dyDescent="0.25">
      <c r="A363" s="3" t="s">
        <v>43</v>
      </c>
      <c r="B363" s="3">
        <v>45777</v>
      </c>
      <c r="C363" s="6">
        <v>20185</v>
      </c>
      <c r="D363" s="2">
        <f>LEN(Table2[[#This Row],[CLID]])</f>
        <v>7</v>
      </c>
      <c r="E363" s="2" t="str">
        <f>_xlfn.XLOOKUP('Volume Data'!A:A,'Geo Data'!D:D,'Geo Data'!B:B)</f>
        <v>GEO1002</v>
      </c>
      <c r="F363" s="2" t="str">
        <f>INDEX(GeoByClient[GEOID],MATCH(Table2[[#This Row],[CLID]],GeoByClient[Right],0))</f>
        <v>GEO1002</v>
      </c>
      <c r="G363" s="2" t="str">
        <f>_xlfn.XLOOKUP(Table2[[#This Row],[Xlookup Region ID]],GEONames[GEOID],GEONames[GEO Name])</f>
        <v>APAC</v>
      </c>
      <c r="H363" s="2" t="str">
        <f>"Q"&amp;ROUNDUP(MONTH(Table2[[#This Row],[Date]])/3,0)&amp;" "&amp;YEAR(Table2[[#This Row],[Date]])</f>
        <v>Q2 2025</v>
      </c>
      <c r="I363" s="2" t="str">
        <f>VLOOKUP(Table2[[#This Row],[Date]],Table7[],3)</f>
        <v>Q2 2025</v>
      </c>
    </row>
    <row r="364" spans="1:9" x14ac:dyDescent="0.25">
      <c r="A364" s="3" t="s">
        <v>43</v>
      </c>
      <c r="B364" s="3">
        <v>45747</v>
      </c>
      <c r="C364" s="6">
        <v>17502</v>
      </c>
      <c r="D364" s="2">
        <f>LEN(Table2[[#This Row],[CLID]])</f>
        <v>7</v>
      </c>
      <c r="E364" s="2" t="str">
        <f>_xlfn.XLOOKUP('Volume Data'!A:A,'Geo Data'!D:D,'Geo Data'!B:B)</f>
        <v>GEO1002</v>
      </c>
      <c r="F364" s="2" t="str">
        <f>INDEX(GeoByClient[GEOID],MATCH(Table2[[#This Row],[CLID]],GeoByClient[Right],0))</f>
        <v>GEO1002</v>
      </c>
      <c r="G364" s="2" t="str">
        <f>_xlfn.XLOOKUP(Table2[[#This Row],[Xlookup Region ID]],GEONames[GEOID],GEONames[GEO Name])</f>
        <v>APAC</v>
      </c>
      <c r="H364" s="2" t="str">
        <f>"Q"&amp;ROUNDUP(MONTH(Table2[[#This Row],[Date]])/3,0)&amp;" "&amp;YEAR(Table2[[#This Row],[Date]])</f>
        <v>Q1 2025</v>
      </c>
      <c r="I364" s="2" t="str">
        <f>VLOOKUP(Table2[[#This Row],[Date]],Table7[],3)</f>
        <v>Q4 2024</v>
      </c>
    </row>
    <row r="365" spans="1:9" x14ac:dyDescent="0.25">
      <c r="A365" s="3" t="s">
        <v>43</v>
      </c>
      <c r="B365" s="3">
        <v>45716</v>
      </c>
      <c r="C365" s="6">
        <v>16057</v>
      </c>
      <c r="D365" s="2">
        <f>LEN(Table2[[#This Row],[CLID]])</f>
        <v>7</v>
      </c>
      <c r="E365" s="2" t="str">
        <f>_xlfn.XLOOKUP('Volume Data'!A:A,'Geo Data'!D:D,'Geo Data'!B:B)</f>
        <v>GEO1002</v>
      </c>
      <c r="F365" s="2" t="str">
        <f>INDEX(GeoByClient[GEOID],MATCH(Table2[[#This Row],[CLID]],GeoByClient[Right],0))</f>
        <v>GEO1002</v>
      </c>
      <c r="G365" s="2" t="str">
        <f>_xlfn.XLOOKUP(Table2[[#This Row],[Xlookup Region ID]],GEONames[GEOID],GEONames[GEO Name])</f>
        <v>APAC</v>
      </c>
      <c r="H365" s="2" t="str">
        <f>"Q"&amp;ROUNDUP(MONTH(Table2[[#This Row],[Date]])/3,0)&amp;" "&amp;YEAR(Table2[[#This Row],[Date]])</f>
        <v>Q1 2025</v>
      </c>
      <c r="I365" s="2" t="str">
        <f>VLOOKUP(Table2[[#This Row],[Date]],Table7[],3)</f>
        <v>Q4 2024</v>
      </c>
    </row>
    <row r="366" spans="1:9" x14ac:dyDescent="0.25">
      <c r="A366" s="3" t="s">
        <v>43</v>
      </c>
      <c r="B366" s="3">
        <v>45688</v>
      </c>
      <c r="C366" s="6">
        <v>14276</v>
      </c>
      <c r="D366" s="2">
        <f>LEN(Table2[[#This Row],[CLID]])</f>
        <v>7</v>
      </c>
      <c r="E366" s="2" t="str">
        <f>_xlfn.XLOOKUP('Volume Data'!A:A,'Geo Data'!D:D,'Geo Data'!B:B)</f>
        <v>GEO1002</v>
      </c>
      <c r="F366" s="2" t="str">
        <f>INDEX(GeoByClient[GEOID],MATCH(Table2[[#This Row],[CLID]],GeoByClient[Right],0))</f>
        <v>GEO1002</v>
      </c>
      <c r="G366" s="2" t="str">
        <f>_xlfn.XLOOKUP(Table2[[#This Row],[Xlookup Region ID]],GEONames[GEOID],GEONames[GEO Name])</f>
        <v>APAC</v>
      </c>
      <c r="H366" s="2" t="str">
        <f>"Q"&amp;ROUNDUP(MONTH(Table2[[#This Row],[Date]])/3,0)&amp;" "&amp;YEAR(Table2[[#This Row],[Date]])</f>
        <v>Q1 2025</v>
      </c>
      <c r="I366" s="2" t="str">
        <f>VLOOKUP(Table2[[#This Row],[Date]],Table7[],3)</f>
        <v>Q4 2024</v>
      </c>
    </row>
    <row r="367" spans="1:9" x14ac:dyDescent="0.25">
      <c r="A367" s="3" t="s">
        <v>26</v>
      </c>
      <c r="B367" s="3">
        <v>45322</v>
      </c>
      <c r="C367" s="6">
        <v>864</v>
      </c>
      <c r="D367" s="2">
        <f>LEN(Table2[[#This Row],[CLID]])</f>
        <v>7</v>
      </c>
      <c r="E367" s="2" t="str">
        <f>_xlfn.XLOOKUP('Volume Data'!A:A,'Geo Data'!D:D,'Geo Data'!B:B)</f>
        <v>GEO1001</v>
      </c>
      <c r="F367" s="2" t="str">
        <f>INDEX(GeoByClient[GEOID],MATCH(Table2[[#This Row],[CLID]],GeoByClient[Right],0))</f>
        <v>GEO1001</v>
      </c>
      <c r="G367" s="2" t="str">
        <f>_xlfn.XLOOKUP(Table2[[#This Row],[Xlookup Region ID]],GEONames[GEOID],GEONames[GEO Name])</f>
        <v>NAM</v>
      </c>
      <c r="H367" s="2" t="str">
        <f>"Q"&amp;ROUNDUP(MONTH(Table2[[#This Row],[Date]])/3,0)&amp;" "&amp;YEAR(Table2[[#This Row],[Date]])</f>
        <v>Q1 2024</v>
      </c>
      <c r="I367" s="2" t="str">
        <f>VLOOKUP(Table2[[#This Row],[Date]],Table7[],3)</f>
        <v>Q1 2024</v>
      </c>
    </row>
    <row r="368" spans="1:9" x14ac:dyDescent="0.25">
      <c r="A368" s="3" t="s">
        <v>26</v>
      </c>
      <c r="B368" s="3">
        <v>45351</v>
      </c>
      <c r="C368" s="6">
        <v>765</v>
      </c>
      <c r="D368" s="2">
        <f>LEN(Table2[[#This Row],[CLID]])</f>
        <v>7</v>
      </c>
      <c r="E368" s="2" t="str">
        <f>_xlfn.XLOOKUP('Volume Data'!A:A,'Geo Data'!D:D,'Geo Data'!B:B)</f>
        <v>GEO1001</v>
      </c>
      <c r="F368" s="2" t="str">
        <f>INDEX(GeoByClient[GEOID],MATCH(Table2[[#This Row],[CLID]],GeoByClient[Right],0))</f>
        <v>GEO1001</v>
      </c>
      <c r="G368" s="2" t="str">
        <f>_xlfn.XLOOKUP(Table2[[#This Row],[Xlookup Region ID]],GEONames[GEOID],GEONames[GEO Name])</f>
        <v>NAM</v>
      </c>
      <c r="H368" s="2" t="str">
        <f>"Q"&amp;ROUNDUP(MONTH(Table2[[#This Row],[Date]])/3,0)&amp;" "&amp;YEAR(Table2[[#This Row],[Date]])</f>
        <v>Q1 2024</v>
      </c>
      <c r="I368" s="2" t="str">
        <f>VLOOKUP(Table2[[#This Row],[Date]],Table7[],3)</f>
        <v>Q1 2024</v>
      </c>
    </row>
    <row r="369" spans="1:9" x14ac:dyDescent="0.25">
      <c r="A369" s="3" t="s">
        <v>26</v>
      </c>
      <c r="B369" s="3">
        <v>45382</v>
      </c>
      <c r="C369" s="6">
        <v>1051</v>
      </c>
      <c r="D369" s="2">
        <f>LEN(Table2[[#This Row],[CLID]])</f>
        <v>7</v>
      </c>
      <c r="E369" s="2" t="str">
        <f>_xlfn.XLOOKUP('Volume Data'!A:A,'Geo Data'!D:D,'Geo Data'!B:B)</f>
        <v>GEO1001</v>
      </c>
      <c r="F369" s="2" t="str">
        <f>INDEX(GeoByClient[GEOID],MATCH(Table2[[#This Row],[CLID]],GeoByClient[Right],0))</f>
        <v>GEO1001</v>
      </c>
      <c r="G369" s="2" t="str">
        <f>_xlfn.XLOOKUP(Table2[[#This Row],[Xlookup Region ID]],GEONames[GEOID],GEONames[GEO Name])</f>
        <v>NAM</v>
      </c>
      <c r="H369" s="2" t="str">
        <f>"Q"&amp;ROUNDUP(MONTH(Table2[[#This Row],[Date]])/3,0)&amp;" "&amp;YEAR(Table2[[#This Row],[Date]])</f>
        <v>Q1 2024</v>
      </c>
      <c r="I369" s="2" t="str">
        <f>VLOOKUP(Table2[[#This Row],[Date]],Table7[],3)</f>
        <v>Q1 2024</v>
      </c>
    </row>
    <row r="370" spans="1:9" x14ac:dyDescent="0.25">
      <c r="A370" s="3" t="s">
        <v>26</v>
      </c>
      <c r="B370" s="3">
        <v>45412</v>
      </c>
      <c r="C370" s="6">
        <v>1053</v>
      </c>
      <c r="D370" s="2">
        <f>LEN(Table2[[#This Row],[CLID]])</f>
        <v>7</v>
      </c>
      <c r="E370" s="2" t="str">
        <f>_xlfn.XLOOKUP('Volume Data'!A:A,'Geo Data'!D:D,'Geo Data'!B:B)</f>
        <v>GEO1001</v>
      </c>
      <c r="F370" s="2" t="str">
        <f>INDEX(GeoByClient[GEOID],MATCH(Table2[[#This Row],[CLID]],GeoByClient[Right],0))</f>
        <v>GEO1001</v>
      </c>
      <c r="G370" s="2" t="str">
        <f>_xlfn.XLOOKUP(Table2[[#This Row],[Xlookup Region ID]],GEONames[GEOID],GEONames[GEO Name])</f>
        <v>NAM</v>
      </c>
      <c r="H370" s="2" t="str">
        <f>"Q"&amp;ROUNDUP(MONTH(Table2[[#This Row],[Date]])/3,0)&amp;" "&amp;YEAR(Table2[[#This Row],[Date]])</f>
        <v>Q2 2024</v>
      </c>
      <c r="I370" s="2" t="str">
        <f>VLOOKUP(Table2[[#This Row],[Date]],Table7[],3)</f>
        <v>Q2 2024</v>
      </c>
    </row>
    <row r="371" spans="1:9" x14ac:dyDescent="0.25">
      <c r="A371" s="3" t="s">
        <v>26</v>
      </c>
      <c r="B371" s="3">
        <v>45443</v>
      </c>
      <c r="C371" s="6">
        <v>1146</v>
      </c>
      <c r="D371" s="2">
        <f>LEN(Table2[[#This Row],[CLID]])</f>
        <v>7</v>
      </c>
      <c r="E371" s="2" t="str">
        <f>_xlfn.XLOOKUP('Volume Data'!A:A,'Geo Data'!D:D,'Geo Data'!B:B)</f>
        <v>GEO1001</v>
      </c>
      <c r="F371" s="2" t="str">
        <f>INDEX(GeoByClient[GEOID],MATCH(Table2[[#This Row],[CLID]],GeoByClient[Right],0))</f>
        <v>GEO1001</v>
      </c>
      <c r="G371" s="2" t="str">
        <f>_xlfn.XLOOKUP(Table2[[#This Row],[Xlookup Region ID]],GEONames[GEOID],GEONames[GEO Name])</f>
        <v>NAM</v>
      </c>
      <c r="H371" s="2" t="str">
        <f>"Q"&amp;ROUNDUP(MONTH(Table2[[#This Row],[Date]])/3,0)&amp;" "&amp;YEAR(Table2[[#This Row],[Date]])</f>
        <v>Q2 2024</v>
      </c>
      <c r="I371" s="2" t="str">
        <f>VLOOKUP(Table2[[#This Row],[Date]],Table7[],3)</f>
        <v>Q2 2024</v>
      </c>
    </row>
    <row r="372" spans="1:9" x14ac:dyDescent="0.25">
      <c r="A372" s="3" t="s">
        <v>26</v>
      </c>
      <c r="B372" s="3">
        <v>45473</v>
      </c>
      <c r="C372" s="6">
        <v>674</v>
      </c>
      <c r="D372" s="2">
        <f>LEN(Table2[[#This Row],[CLID]])</f>
        <v>7</v>
      </c>
      <c r="E372" s="2" t="str">
        <f>_xlfn.XLOOKUP('Volume Data'!A:A,'Geo Data'!D:D,'Geo Data'!B:B)</f>
        <v>GEO1001</v>
      </c>
      <c r="F372" s="2" t="str">
        <f>INDEX(GeoByClient[GEOID],MATCH(Table2[[#This Row],[CLID]],GeoByClient[Right],0))</f>
        <v>GEO1001</v>
      </c>
      <c r="G372" s="2" t="str">
        <f>_xlfn.XLOOKUP(Table2[[#This Row],[Xlookup Region ID]],GEONames[GEOID],GEONames[GEO Name])</f>
        <v>NAM</v>
      </c>
      <c r="H372" s="2" t="str">
        <f>"Q"&amp;ROUNDUP(MONTH(Table2[[#This Row],[Date]])/3,0)&amp;" "&amp;YEAR(Table2[[#This Row],[Date]])</f>
        <v>Q2 2024</v>
      </c>
      <c r="I372" s="2" t="str">
        <f>VLOOKUP(Table2[[#This Row],[Date]],Table7[],3)</f>
        <v>Q2 2024</v>
      </c>
    </row>
    <row r="373" spans="1:9" x14ac:dyDescent="0.25">
      <c r="A373" s="3" t="s">
        <v>26</v>
      </c>
      <c r="B373" s="3">
        <v>45504</v>
      </c>
      <c r="C373" s="6">
        <v>764</v>
      </c>
      <c r="D373" s="2">
        <f>LEN(Table2[[#This Row],[CLID]])</f>
        <v>7</v>
      </c>
      <c r="E373" s="2" t="str">
        <f>_xlfn.XLOOKUP('Volume Data'!A:A,'Geo Data'!D:D,'Geo Data'!B:B)</f>
        <v>GEO1001</v>
      </c>
      <c r="F373" s="2" t="str">
        <f>INDEX(GeoByClient[GEOID],MATCH(Table2[[#This Row],[CLID]],GeoByClient[Right],0))</f>
        <v>GEO1001</v>
      </c>
      <c r="G373" s="2" t="str">
        <f>_xlfn.XLOOKUP(Table2[[#This Row],[Xlookup Region ID]],GEONames[GEOID],GEONames[GEO Name])</f>
        <v>NAM</v>
      </c>
      <c r="H373" s="2" t="str">
        <f>"Q"&amp;ROUNDUP(MONTH(Table2[[#This Row],[Date]])/3,0)&amp;" "&amp;YEAR(Table2[[#This Row],[Date]])</f>
        <v>Q3 2024</v>
      </c>
      <c r="I373" s="2" t="str">
        <f>VLOOKUP(Table2[[#This Row],[Date]],Table7[],3)</f>
        <v>Q3 2024</v>
      </c>
    </row>
    <row r="374" spans="1:9" x14ac:dyDescent="0.25">
      <c r="A374" s="3" t="s">
        <v>26</v>
      </c>
      <c r="B374" s="3">
        <v>45535</v>
      </c>
      <c r="C374" s="6">
        <v>482</v>
      </c>
      <c r="D374" s="2">
        <f>LEN(Table2[[#This Row],[CLID]])</f>
        <v>7</v>
      </c>
      <c r="E374" s="2" t="str">
        <f>_xlfn.XLOOKUP('Volume Data'!A:A,'Geo Data'!D:D,'Geo Data'!B:B)</f>
        <v>GEO1001</v>
      </c>
      <c r="F374" s="2" t="str">
        <f>INDEX(GeoByClient[GEOID],MATCH(Table2[[#This Row],[CLID]],GeoByClient[Right],0))</f>
        <v>GEO1001</v>
      </c>
      <c r="G374" s="2" t="str">
        <f>_xlfn.XLOOKUP(Table2[[#This Row],[Xlookup Region ID]],GEONames[GEOID],GEONames[GEO Name])</f>
        <v>NAM</v>
      </c>
      <c r="H374" s="2" t="str">
        <f>"Q"&amp;ROUNDUP(MONTH(Table2[[#This Row],[Date]])/3,0)&amp;" "&amp;YEAR(Table2[[#This Row],[Date]])</f>
        <v>Q3 2024</v>
      </c>
      <c r="I374" s="2" t="str">
        <f>VLOOKUP(Table2[[#This Row],[Date]],Table7[],3)</f>
        <v>Q3 2024</v>
      </c>
    </row>
    <row r="375" spans="1:9" x14ac:dyDescent="0.25">
      <c r="A375" s="3" t="s">
        <v>26</v>
      </c>
      <c r="B375" s="3">
        <v>45565</v>
      </c>
      <c r="C375" s="6">
        <v>673</v>
      </c>
      <c r="D375" s="2">
        <f>LEN(Table2[[#This Row],[CLID]])</f>
        <v>7</v>
      </c>
      <c r="E375" s="2" t="str">
        <f>_xlfn.XLOOKUP('Volume Data'!A:A,'Geo Data'!D:D,'Geo Data'!B:B)</f>
        <v>GEO1001</v>
      </c>
      <c r="F375" s="2" t="str">
        <f>INDEX(GeoByClient[GEOID],MATCH(Table2[[#This Row],[CLID]],GeoByClient[Right],0))</f>
        <v>GEO1001</v>
      </c>
      <c r="G375" s="2" t="str">
        <f>_xlfn.XLOOKUP(Table2[[#This Row],[Xlookup Region ID]],GEONames[GEOID],GEONames[GEO Name])</f>
        <v>NAM</v>
      </c>
      <c r="H375" s="2" t="str">
        <f>"Q"&amp;ROUNDUP(MONTH(Table2[[#This Row],[Date]])/3,0)&amp;" "&amp;YEAR(Table2[[#This Row],[Date]])</f>
        <v>Q3 2024</v>
      </c>
      <c r="I375" s="2" t="str">
        <f>VLOOKUP(Table2[[#This Row],[Date]],Table7[],3)</f>
        <v>Q3 2024</v>
      </c>
    </row>
    <row r="376" spans="1:9" x14ac:dyDescent="0.25">
      <c r="A376" s="3" t="s">
        <v>26</v>
      </c>
      <c r="B376" s="3">
        <v>45596</v>
      </c>
      <c r="C376" s="6">
        <v>575</v>
      </c>
      <c r="D376" s="2">
        <f>LEN(Table2[[#This Row],[CLID]])</f>
        <v>7</v>
      </c>
      <c r="E376" s="2" t="str">
        <f>_xlfn.XLOOKUP('Volume Data'!A:A,'Geo Data'!D:D,'Geo Data'!B:B)</f>
        <v>GEO1001</v>
      </c>
      <c r="F376" s="2" t="str">
        <f>INDEX(GeoByClient[GEOID],MATCH(Table2[[#This Row],[CLID]],GeoByClient[Right],0))</f>
        <v>GEO1001</v>
      </c>
      <c r="G376" s="2" t="str">
        <f>_xlfn.XLOOKUP(Table2[[#This Row],[Xlookup Region ID]],GEONames[GEOID],GEONames[GEO Name])</f>
        <v>NAM</v>
      </c>
      <c r="H376" s="2" t="str">
        <f>"Q"&amp;ROUNDUP(MONTH(Table2[[#This Row],[Date]])/3,0)&amp;" "&amp;YEAR(Table2[[#This Row],[Date]])</f>
        <v>Q4 2024</v>
      </c>
      <c r="I376" s="2" t="str">
        <f>VLOOKUP(Table2[[#This Row],[Date]],Table7[],3)</f>
        <v>Q4 2024</v>
      </c>
    </row>
    <row r="377" spans="1:9" x14ac:dyDescent="0.25">
      <c r="A377" s="3" t="s">
        <v>26</v>
      </c>
      <c r="B377" s="3">
        <v>45626</v>
      </c>
      <c r="C377" s="6">
        <v>865</v>
      </c>
      <c r="D377" s="2">
        <f>LEN(Table2[[#This Row],[CLID]])</f>
        <v>7</v>
      </c>
      <c r="E377" s="2" t="str">
        <f>_xlfn.XLOOKUP('Volume Data'!A:A,'Geo Data'!D:D,'Geo Data'!B:B)</f>
        <v>GEO1001</v>
      </c>
      <c r="F377" s="2" t="str">
        <f>INDEX(GeoByClient[GEOID],MATCH(Table2[[#This Row],[CLID]],GeoByClient[Right],0))</f>
        <v>GEO1001</v>
      </c>
      <c r="G377" s="2" t="str">
        <f>_xlfn.XLOOKUP(Table2[[#This Row],[Xlookup Region ID]],GEONames[GEOID],GEONames[GEO Name])</f>
        <v>NAM</v>
      </c>
      <c r="H377" s="2" t="str">
        <f>"Q"&amp;ROUNDUP(MONTH(Table2[[#This Row],[Date]])/3,0)&amp;" "&amp;YEAR(Table2[[#This Row],[Date]])</f>
        <v>Q4 2024</v>
      </c>
      <c r="I377" s="2" t="str">
        <f>VLOOKUP(Table2[[#This Row],[Date]],Table7[],3)</f>
        <v>Q4 2024</v>
      </c>
    </row>
    <row r="378" spans="1:9" x14ac:dyDescent="0.25">
      <c r="A378" s="3" t="s">
        <v>26</v>
      </c>
      <c r="B378" s="3">
        <v>45657</v>
      </c>
      <c r="C378" s="6">
        <v>674</v>
      </c>
      <c r="D378" s="2">
        <f>LEN(Table2[[#This Row],[CLID]])</f>
        <v>7</v>
      </c>
      <c r="E378" s="2" t="str">
        <f>_xlfn.XLOOKUP('Volume Data'!A:A,'Geo Data'!D:D,'Geo Data'!B:B)</f>
        <v>GEO1001</v>
      </c>
      <c r="F378" s="2" t="str">
        <f>INDEX(GeoByClient[GEOID],MATCH(Table2[[#This Row],[CLID]],GeoByClient[Right],0))</f>
        <v>GEO1001</v>
      </c>
      <c r="G378" s="2" t="str">
        <f>_xlfn.XLOOKUP(Table2[[#This Row],[Xlookup Region ID]],GEONames[GEOID],GEONames[GEO Name])</f>
        <v>NAM</v>
      </c>
      <c r="H378" s="2" t="str">
        <f>"Q"&amp;ROUNDUP(MONTH(Table2[[#This Row],[Date]])/3,0)&amp;" "&amp;YEAR(Table2[[#This Row],[Date]])</f>
        <v>Q4 2024</v>
      </c>
      <c r="I378" s="2" t="str">
        <f>VLOOKUP(Table2[[#This Row],[Date]],Table7[],3)</f>
        <v>Q4 2024</v>
      </c>
    </row>
    <row r="379" spans="1:9" x14ac:dyDescent="0.25">
      <c r="A379" s="3" t="s">
        <v>26</v>
      </c>
      <c r="B379" s="3">
        <v>45838</v>
      </c>
      <c r="C379" s="6">
        <v>681</v>
      </c>
      <c r="D379" s="2">
        <f>LEN(Table2[[#This Row],[CLID]])</f>
        <v>7</v>
      </c>
      <c r="E379" s="2" t="str">
        <f>_xlfn.XLOOKUP('Volume Data'!A:A,'Geo Data'!D:D,'Geo Data'!B:B)</f>
        <v>GEO1001</v>
      </c>
      <c r="F379" s="2" t="str">
        <f>INDEX(GeoByClient[GEOID],MATCH(Table2[[#This Row],[CLID]],GeoByClient[Right],0))</f>
        <v>GEO1001</v>
      </c>
      <c r="G379" s="2" t="str">
        <f>_xlfn.XLOOKUP(Table2[[#This Row],[Xlookup Region ID]],GEONames[GEOID],GEONames[GEO Name])</f>
        <v>NAM</v>
      </c>
      <c r="H379" s="2" t="str">
        <f>"Q"&amp;ROUNDUP(MONTH(Table2[[#This Row],[Date]])/3,0)&amp;" "&amp;YEAR(Table2[[#This Row],[Date]])</f>
        <v>Q2 2025</v>
      </c>
      <c r="I379" s="2" t="str">
        <f>VLOOKUP(Table2[[#This Row],[Date]],Table7[],3)</f>
        <v>Q2 2025</v>
      </c>
    </row>
    <row r="380" spans="1:9" x14ac:dyDescent="0.25">
      <c r="A380" s="3" t="s">
        <v>26</v>
      </c>
      <c r="B380" s="3">
        <v>45808</v>
      </c>
      <c r="C380" s="6">
        <v>1136</v>
      </c>
      <c r="D380" s="2">
        <f>LEN(Table2[[#This Row],[CLID]])</f>
        <v>7</v>
      </c>
      <c r="E380" s="2" t="str">
        <f>_xlfn.XLOOKUP('Volume Data'!A:A,'Geo Data'!D:D,'Geo Data'!B:B)</f>
        <v>GEO1001</v>
      </c>
      <c r="F380" s="2" t="str">
        <f>INDEX(GeoByClient[GEOID],MATCH(Table2[[#This Row],[CLID]],GeoByClient[Right],0))</f>
        <v>GEO1001</v>
      </c>
      <c r="G380" s="2" t="str">
        <f>_xlfn.XLOOKUP(Table2[[#This Row],[Xlookup Region ID]],GEONames[GEOID],GEONames[GEO Name])</f>
        <v>NAM</v>
      </c>
      <c r="H380" s="2" t="str">
        <f>"Q"&amp;ROUNDUP(MONTH(Table2[[#This Row],[Date]])/3,0)&amp;" "&amp;YEAR(Table2[[#This Row],[Date]])</f>
        <v>Q2 2025</v>
      </c>
      <c r="I380" s="2" t="str">
        <f>VLOOKUP(Table2[[#This Row],[Date]],Table7[],3)</f>
        <v>Q2 2025</v>
      </c>
    </row>
    <row r="381" spans="1:9" x14ac:dyDescent="0.25">
      <c r="A381" s="3" t="s">
        <v>26</v>
      </c>
      <c r="B381" s="3">
        <v>45777</v>
      </c>
      <c r="C381" s="6">
        <v>1095</v>
      </c>
      <c r="D381" s="2">
        <f>LEN(Table2[[#This Row],[CLID]])</f>
        <v>7</v>
      </c>
      <c r="E381" s="2" t="str">
        <f>_xlfn.XLOOKUP('Volume Data'!A:A,'Geo Data'!D:D,'Geo Data'!B:B)</f>
        <v>GEO1001</v>
      </c>
      <c r="F381" s="2" t="str">
        <f>INDEX(GeoByClient[GEOID],MATCH(Table2[[#This Row],[CLID]],GeoByClient[Right],0))</f>
        <v>GEO1001</v>
      </c>
      <c r="G381" s="2" t="str">
        <f>_xlfn.XLOOKUP(Table2[[#This Row],[Xlookup Region ID]],GEONames[GEOID],GEONames[GEO Name])</f>
        <v>NAM</v>
      </c>
      <c r="H381" s="2" t="str">
        <f>"Q"&amp;ROUNDUP(MONTH(Table2[[#This Row],[Date]])/3,0)&amp;" "&amp;YEAR(Table2[[#This Row],[Date]])</f>
        <v>Q2 2025</v>
      </c>
      <c r="I381" s="2" t="str">
        <f>VLOOKUP(Table2[[#This Row],[Date]],Table7[],3)</f>
        <v>Q2 2025</v>
      </c>
    </row>
    <row r="382" spans="1:9" x14ac:dyDescent="0.25">
      <c r="A382" s="3" t="s">
        <v>26</v>
      </c>
      <c r="B382" s="3">
        <v>45747</v>
      </c>
      <c r="C382" s="6">
        <v>1043</v>
      </c>
      <c r="D382" s="2">
        <f>LEN(Table2[[#This Row],[CLID]])</f>
        <v>7</v>
      </c>
      <c r="E382" s="2" t="str">
        <f>_xlfn.XLOOKUP('Volume Data'!A:A,'Geo Data'!D:D,'Geo Data'!B:B)</f>
        <v>GEO1001</v>
      </c>
      <c r="F382" s="2" t="str">
        <f>INDEX(GeoByClient[GEOID],MATCH(Table2[[#This Row],[CLID]],GeoByClient[Right],0))</f>
        <v>GEO1001</v>
      </c>
      <c r="G382" s="2" t="str">
        <f>_xlfn.XLOOKUP(Table2[[#This Row],[Xlookup Region ID]],GEONames[GEOID],GEONames[GEO Name])</f>
        <v>NAM</v>
      </c>
      <c r="H382" s="2" t="str">
        <f>"Q"&amp;ROUNDUP(MONTH(Table2[[#This Row],[Date]])/3,0)&amp;" "&amp;YEAR(Table2[[#This Row],[Date]])</f>
        <v>Q1 2025</v>
      </c>
      <c r="I382" s="2" t="str">
        <f>VLOOKUP(Table2[[#This Row],[Date]],Table7[],3)</f>
        <v>Q4 2024</v>
      </c>
    </row>
    <row r="383" spans="1:9" x14ac:dyDescent="0.25">
      <c r="A383" s="3" t="s">
        <v>26</v>
      </c>
      <c r="B383" s="3">
        <v>45716</v>
      </c>
      <c r="C383" s="6">
        <v>797</v>
      </c>
      <c r="D383" s="2">
        <f>LEN(Table2[[#This Row],[CLID]])</f>
        <v>7</v>
      </c>
      <c r="E383" s="2" t="str">
        <f>_xlfn.XLOOKUP('Volume Data'!A:A,'Geo Data'!D:D,'Geo Data'!B:B)</f>
        <v>GEO1001</v>
      </c>
      <c r="F383" s="2" t="str">
        <f>INDEX(GeoByClient[GEOID],MATCH(Table2[[#This Row],[CLID]],GeoByClient[Right],0))</f>
        <v>GEO1001</v>
      </c>
      <c r="G383" s="2" t="str">
        <f>_xlfn.XLOOKUP(Table2[[#This Row],[Xlookup Region ID]],GEONames[GEOID],GEONames[GEO Name])</f>
        <v>NAM</v>
      </c>
      <c r="H383" s="2" t="str">
        <f>"Q"&amp;ROUNDUP(MONTH(Table2[[#This Row],[Date]])/3,0)&amp;" "&amp;YEAR(Table2[[#This Row],[Date]])</f>
        <v>Q1 2025</v>
      </c>
      <c r="I383" s="2" t="str">
        <f>VLOOKUP(Table2[[#This Row],[Date]],Table7[],3)</f>
        <v>Q4 2024</v>
      </c>
    </row>
    <row r="384" spans="1:9" x14ac:dyDescent="0.25">
      <c r="A384" s="3" t="s">
        <v>26</v>
      </c>
      <c r="B384" s="3">
        <v>45688</v>
      </c>
      <c r="C384" s="6">
        <v>859</v>
      </c>
      <c r="D384" s="2">
        <f>LEN(Table2[[#This Row],[CLID]])</f>
        <v>7</v>
      </c>
      <c r="E384" s="2" t="str">
        <f>_xlfn.XLOOKUP('Volume Data'!A:A,'Geo Data'!D:D,'Geo Data'!B:B)</f>
        <v>GEO1001</v>
      </c>
      <c r="F384" s="2" t="str">
        <f>INDEX(GeoByClient[GEOID],MATCH(Table2[[#This Row],[CLID]],GeoByClient[Right],0))</f>
        <v>GEO1001</v>
      </c>
      <c r="G384" s="2" t="str">
        <f>_xlfn.XLOOKUP(Table2[[#This Row],[Xlookup Region ID]],GEONames[GEOID],GEONames[GEO Name])</f>
        <v>NAM</v>
      </c>
      <c r="H384" s="2" t="str">
        <f>"Q"&amp;ROUNDUP(MONTH(Table2[[#This Row],[Date]])/3,0)&amp;" "&amp;YEAR(Table2[[#This Row],[Date]])</f>
        <v>Q1 2025</v>
      </c>
      <c r="I384" s="2" t="str">
        <f>VLOOKUP(Table2[[#This Row],[Date]],Table7[],3)</f>
        <v>Q4 2024</v>
      </c>
    </row>
    <row r="385" spans="1:9" x14ac:dyDescent="0.25">
      <c r="A385" s="3" t="s">
        <v>34</v>
      </c>
      <c r="B385" s="3">
        <v>45626</v>
      </c>
      <c r="C385" s="6">
        <v>916</v>
      </c>
      <c r="D385" s="2">
        <f>LEN(Table2[[#This Row],[CLID]])</f>
        <v>7</v>
      </c>
      <c r="E385" s="2" t="str">
        <f>_xlfn.XLOOKUP('Volume Data'!A:A,'Geo Data'!D:D,'Geo Data'!B:B)</f>
        <v>GEO1001</v>
      </c>
      <c r="F385" s="2" t="str">
        <f>INDEX(GeoByClient[GEOID],MATCH(Table2[[#This Row],[CLID]],GeoByClient[Right],0))</f>
        <v>GEO1001</v>
      </c>
      <c r="G385" s="2" t="str">
        <f>_xlfn.XLOOKUP(Table2[[#This Row],[Xlookup Region ID]],GEONames[GEOID],GEONames[GEO Name])</f>
        <v>NAM</v>
      </c>
      <c r="H385" s="2" t="str">
        <f>"Q"&amp;ROUNDUP(MONTH(Table2[[#This Row],[Date]])/3,0)&amp;" "&amp;YEAR(Table2[[#This Row],[Date]])</f>
        <v>Q4 2024</v>
      </c>
      <c r="I385" s="2" t="str">
        <f>VLOOKUP(Table2[[#This Row],[Date]],Table7[],3)</f>
        <v>Q4 2024</v>
      </c>
    </row>
    <row r="386" spans="1:9" x14ac:dyDescent="0.25">
      <c r="A386" s="3" t="s">
        <v>34</v>
      </c>
      <c r="B386" s="3">
        <v>45657</v>
      </c>
      <c r="C386" s="6">
        <v>1176</v>
      </c>
      <c r="D386" s="2">
        <f>LEN(Table2[[#This Row],[CLID]])</f>
        <v>7</v>
      </c>
      <c r="E386" s="2" t="str">
        <f>_xlfn.XLOOKUP('Volume Data'!A:A,'Geo Data'!D:D,'Geo Data'!B:B)</f>
        <v>GEO1001</v>
      </c>
      <c r="F386" s="2" t="str">
        <f>INDEX(GeoByClient[GEOID],MATCH(Table2[[#This Row],[CLID]],GeoByClient[Right],0))</f>
        <v>GEO1001</v>
      </c>
      <c r="G386" s="2" t="str">
        <f>_xlfn.XLOOKUP(Table2[[#This Row],[Xlookup Region ID]],GEONames[GEOID],GEONames[GEO Name])</f>
        <v>NAM</v>
      </c>
      <c r="H386" s="2" t="str">
        <f>"Q"&amp;ROUNDUP(MONTH(Table2[[#This Row],[Date]])/3,0)&amp;" "&amp;YEAR(Table2[[#This Row],[Date]])</f>
        <v>Q4 2024</v>
      </c>
      <c r="I386" s="2" t="str">
        <f>VLOOKUP(Table2[[#This Row],[Date]],Table7[],3)</f>
        <v>Q4 2024</v>
      </c>
    </row>
    <row r="387" spans="1:9" x14ac:dyDescent="0.25">
      <c r="A387" s="3" t="s">
        <v>34</v>
      </c>
      <c r="B387" s="3">
        <v>45838</v>
      </c>
      <c r="C387" s="6">
        <v>1193</v>
      </c>
      <c r="D387" s="2">
        <f>LEN(Table2[[#This Row],[CLID]])</f>
        <v>7</v>
      </c>
      <c r="E387" s="2" t="str">
        <f>_xlfn.XLOOKUP('Volume Data'!A:A,'Geo Data'!D:D,'Geo Data'!B:B)</f>
        <v>GEO1001</v>
      </c>
      <c r="F387" s="2" t="str">
        <f>INDEX(GeoByClient[GEOID],MATCH(Table2[[#This Row],[CLID]],GeoByClient[Right],0))</f>
        <v>GEO1001</v>
      </c>
      <c r="G387" s="2" t="str">
        <f>_xlfn.XLOOKUP(Table2[[#This Row],[Xlookup Region ID]],GEONames[GEOID],GEONames[GEO Name])</f>
        <v>NAM</v>
      </c>
      <c r="H387" s="2" t="str">
        <f>"Q"&amp;ROUNDUP(MONTH(Table2[[#This Row],[Date]])/3,0)&amp;" "&amp;YEAR(Table2[[#This Row],[Date]])</f>
        <v>Q2 2025</v>
      </c>
      <c r="I387" s="2" t="str">
        <f>VLOOKUP(Table2[[#This Row],[Date]],Table7[],3)</f>
        <v>Q2 2025</v>
      </c>
    </row>
    <row r="388" spans="1:9" x14ac:dyDescent="0.25">
      <c r="A388" s="3" t="s">
        <v>34</v>
      </c>
      <c r="B388" s="3">
        <v>45808</v>
      </c>
      <c r="C388" s="6">
        <v>1360</v>
      </c>
      <c r="D388" s="2">
        <f>LEN(Table2[[#This Row],[CLID]])</f>
        <v>7</v>
      </c>
      <c r="E388" s="2" t="str">
        <f>_xlfn.XLOOKUP('Volume Data'!A:A,'Geo Data'!D:D,'Geo Data'!B:B)</f>
        <v>GEO1001</v>
      </c>
      <c r="F388" s="2" t="str">
        <f>INDEX(GeoByClient[GEOID],MATCH(Table2[[#This Row],[CLID]],GeoByClient[Right],0))</f>
        <v>GEO1001</v>
      </c>
      <c r="G388" s="2" t="str">
        <f>_xlfn.XLOOKUP(Table2[[#This Row],[Xlookup Region ID]],GEONames[GEOID],GEONames[GEO Name])</f>
        <v>NAM</v>
      </c>
      <c r="H388" s="2" t="str">
        <f>"Q"&amp;ROUNDUP(MONTH(Table2[[#This Row],[Date]])/3,0)&amp;" "&amp;YEAR(Table2[[#This Row],[Date]])</f>
        <v>Q2 2025</v>
      </c>
      <c r="I388" s="2" t="str">
        <f>VLOOKUP(Table2[[#This Row],[Date]],Table7[],3)</f>
        <v>Q2 2025</v>
      </c>
    </row>
    <row r="389" spans="1:9" x14ac:dyDescent="0.25">
      <c r="A389" s="3" t="s">
        <v>34</v>
      </c>
      <c r="B389" s="3">
        <v>45777</v>
      </c>
      <c r="C389" s="6">
        <v>1768</v>
      </c>
      <c r="D389" s="2">
        <f>LEN(Table2[[#This Row],[CLID]])</f>
        <v>7</v>
      </c>
      <c r="E389" s="2" t="str">
        <f>_xlfn.XLOOKUP('Volume Data'!A:A,'Geo Data'!D:D,'Geo Data'!B:B)</f>
        <v>GEO1001</v>
      </c>
      <c r="F389" s="2" t="str">
        <f>INDEX(GeoByClient[GEOID],MATCH(Table2[[#This Row],[CLID]],GeoByClient[Right],0))</f>
        <v>GEO1001</v>
      </c>
      <c r="G389" s="2" t="str">
        <f>_xlfn.XLOOKUP(Table2[[#This Row],[Xlookup Region ID]],GEONames[GEOID],GEONames[GEO Name])</f>
        <v>NAM</v>
      </c>
      <c r="H389" s="2" t="str">
        <f>"Q"&amp;ROUNDUP(MONTH(Table2[[#This Row],[Date]])/3,0)&amp;" "&amp;YEAR(Table2[[#This Row],[Date]])</f>
        <v>Q2 2025</v>
      </c>
      <c r="I389" s="2" t="str">
        <f>VLOOKUP(Table2[[#This Row],[Date]],Table7[],3)</f>
        <v>Q2 2025</v>
      </c>
    </row>
    <row r="390" spans="1:9" x14ac:dyDescent="0.25">
      <c r="A390" s="3" t="s">
        <v>34</v>
      </c>
      <c r="B390" s="3">
        <v>45747</v>
      </c>
      <c r="C390" s="6">
        <v>1192</v>
      </c>
      <c r="D390" s="2">
        <f>LEN(Table2[[#This Row],[CLID]])</f>
        <v>7</v>
      </c>
      <c r="E390" s="2" t="str">
        <f>_xlfn.XLOOKUP('Volume Data'!A:A,'Geo Data'!D:D,'Geo Data'!B:B)</f>
        <v>GEO1001</v>
      </c>
      <c r="F390" s="2" t="str">
        <f>INDEX(GeoByClient[GEOID],MATCH(Table2[[#This Row],[CLID]],GeoByClient[Right],0))</f>
        <v>GEO1001</v>
      </c>
      <c r="G390" s="2" t="str">
        <f>_xlfn.XLOOKUP(Table2[[#This Row],[Xlookup Region ID]],GEONames[GEOID],GEONames[GEO Name])</f>
        <v>NAM</v>
      </c>
      <c r="H390" s="2" t="str">
        <f>"Q"&amp;ROUNDUP(MONTH(Table2[[#This Row],[Date]])/3,0)&amp;" "&amp;YEAR(Table2[[#This Row],[Date]])</f>
        <v>Q1 2025</v>
      </c>
      <c r="I390" s="2" t="str">
        <f>VLOOKUP(Table2[[#This Row],[Date]],Table7[],3)</f>
        <v>Q4 2024</v>
      </c>
    </row>
    <row r="391" spans="1:9" x14ac:dyDescent="0.25">
      <c r="A391" s="3" t="s">
        <v>34</v>
      </c>
      <c r="B391" s="3">
        <v>45716</v>
      </c>
      <c r="C391" s="6">
        <v>1332</v>
      </c>
      <c r="D391" s="2">
        <f>LEN(Table2[[#This Row],[CLID]])</f>
        <v>7</v>
      </c>
      <c r="E391" s="2" t="str">
        <f>_xlfn.XLOOKUP('Volume Data'!A:A,'Geo Data'!D:D,'Geo Data'!B:B)</f>
        <v>GEO1001</v>
      </c>
      <c r="F391" s="2" t="str">
        <f>INDEX(GeoByClient[GEOID],MATCH(Table2[[#This Row],[CLID]],GeoByClient[Right],0))</f>
        <v>GEO1001</v>
      </c>
      <c r="G391" s="2" t="str">
        <f>_xlfn.XLOOKUP(Table2[[#This Row],[Xlookup Region ID]],GEONames[GEOID],GEONames[GEO Name])</f>
        <v>NAM</v>
      </c>
      <c r="H391" s="2" t="str">
        <f>"Q"&amp;ROUNDUP(MONTH(Table2[[#This Row],[Date]])/3,0)&amp;" "&amp;YEAR(Table2[[#This Row],[Date]])</f>
        <v>Q1 2025</v>
      </c>
      <c r="I391" s="2" t="str">
        <f>VLOOKUP(Table2[[#This Row],[Date]],Table7[],3)</f>
        <v>Q4 2024</v>
      </c>
    </row>
    <row r="392" spans="1:9" x14ac:dyDescent="0.25">
      <c r="A392" s="3" t="s">
        <v>34</v>
      </c>
      <c r="B392" s="3">
        <v>45688</v>
      </c>
      <c r="C392" s="6">
        <v>941</v>
      </c>
      <c r="D392" s="2">
        <f>LEN(Table2[[#This Row],[CLID]])</f>
        <v>7</v>
      </c>
      <c r="E392" s="2" t="str">
        <f>_xlfn.XLOOKUP('Volume Data'!A:A,'Geo Data'!D:D,'Geo Data'!B:B)</f>
        <v>GEO1001</v>
      </c>
      <c r="F392" s="2" t="str">
        <f>INDEX(GeoByClient[GEOID],MATCH(Table2[[#This Row],[CLID]],GeoByClient[Right],0))</f>
        <v>GEO1001</v>
      </c>
      <c r="G392" s="2" t="str">
        <f>_xlfn.XLOOKUP(Table2[[#This Row],[Xlookup Region ID]],GEONames[GEOID],GEONames[GEO Name])</f>
        <v>NAM</v>
      </c>
      <c r="H392" s="2" t="str">
        <f>"Q"&amp;ROUNDUP(MONTH(Table2[[#This Row],[Date]])/3,0)&amp;" "&amp;YEAR(Table2[[#This Row],[Date]])</f>
        <v>Q1 2025</v>
      </c>
      <c r="I392" s="2" t="str">
        <f>VLOOKUP(Table2[[#This Row],[Date]],Table7[],3)</f>
        <v>Q4 2024</v>
      </c>
    </row>
    <row r="393" spans="1:9" x14ac:dyDescent="0.25">
      <c r="A393" s="3" t="s">
        <v>38</v>
      </c>
      <c r="B393" s="3">
        <v>45322</v>
      </c>
      <c r="C393" s="6">
        <v>1131</v>
      </c>
      <c r="D393" s="2">
        <f>LEN(Table2[[#This Row],[CLID]])</f>
        <v>7</v>
      </c>
      <c r="E393" s="2" t="str">
        <f>_xlfn.XLOOKUP('Volume Data'!A:A,'Geo Data'!D:D,'Geo Data'!B:B)</f>
        <v>GEO1001</v>
      </c>
      <c r="F393" s="2" t="str">
        <f>INDEX(GeoByClient[GEOID],MATCH(Table2[[#This Row],[CLID]],GeoByClient[Right],0))</f>
        <v>GEO1001</v>
      </c>
      <c r="G393" s="2" t="str">
        <f>_xlfn.XLOOKUP(Table2[[#This Row],[Xlookup Region ID]],GEONames[GEOID],GEONames[GEO Name])</f>
        <v>NAM</v>
      </c>
      <c r="H393" s="2" t="str">
        <f>"Q"&amp;ROUNDUP(MONTH(Table2[[#This Row],[Date]])/3,0)&amp;" "&amp;YEAR(Table2[[#This Row],[Date]])</f>
        <v>Q1 2024</v>
      </c>
      <c r="I393" s="2" t="str">
        <f>VLOOKUP(Table2[[#This Row],[Date]],Table7[],3)</f>
        <v>Q1 2024</v>
      </c>
    </row>
    <row r="394" spans="1:9" x14ac:dyDescent="0.25">
      <c r="A394" s="3" t="s">
        <v>38</v>
      </c>
      <c r="B394" s="3">
        <v>45351</v>
      </c>
      <c r="C394" s="6">
        <v>1268</v>
      </c>
      <c r="D394" s="2">
        <f>LEN(Table2[[#This Row],[CLID]])</f>
        <v>7</v>
      </c>
      <c r="E394" s="2" t="str">
        <f>_xlfn.XLOOKUP('Volume Data'!A:A,'Geo Data'!D:D,'Geo Data'!B:B)</f>
        <v>GEO1001</v>
      </c>
      <c r="F394" s="2" t="str">
        <f>INDEX(GeoByClient[GEOID],MATCH(Table2[[#This Row],[CLID]],GeoByClient[Right],0))</f>
        <v>GEO1001</v>
      </c>
      <c r="G394" s="2" t="str">
        <f>_xlfn.XLOOKUP(Table2[[#This Row],[Xlookup Region ID]],GEONames[GEOID],GEONames[GEO Name])</f>
        <v>NAM</v>
      </c>
      <c r="H394" s="2" t="str">
        <f>"Q"&amp;ROUNDUP(MONTH(Table2[[#This Row],[Date]])/3,0)&amp;" "&amp;YEAR(Table2[[#This Row],[Date]])</f>
        <v>Q1 2024</v>
      </c>
      <c r="I394" s="2" t="str">
        <f>VLOOKUP(Table2[[#This Row],[Date]],Table7[],3)</f>
        <v>Q1 2024</v>
      </c>
    </row>
    <row r="395" spans="1:9" x14ac:dyDescent="0.25">
      <c r="A395" s="3" t="s">
        <v>38</v>
      </c>
      <c r="B395" s="3">
        <v>45382</v>
      </c>
      <c r="C395" s="6">
        <v>1410</v>
      </c>
      <c r="D395" s="2">
        <f>LEN(Table2[[#This Row],[CLID]])</f>
        <v>7</v>
      </c>
      <c r="E395" s="2" t="str">
        <f>_xlfn.XLOOKUP('Volume Data'!A:A,'Geo Data'!D:D,'Geo Data'!B:B)</f>
        <v>GEO1001</v>
      </c>
      <c r="F395" s="2" t="str">
        <f>INDEX(GeoByClient[GEOID],MATCH(Table2[[#This Row],[CLID]],GeoByClient[Right],0))</f>
        <v>GEO1001</v>
      </c>
      <c r="G395" s="2" t="str">
        <f>_xlfn.XLOOKUP(Table2[[#This Row],[Xlookup Region ID]],GEONames[GEOID],GEONames[GEO Name])</f>
        <v>NAM</v>
      </c>
      <c r="H395" s="2" t="str">
        <f>"Q"&amp;ROUNDUP(MONTH(Table2[[#This Row],[Date]])/3,0)&amp;" "&amp;YEAR(Table2[[#This Row],[Date]])</f>
        <v>Q1 2024</v>
      </c>
      <c r="I395" s="2" t="str">
        <f>VLOOKUP(Table2[[#This Row],[Date]],Table7[],3)</f>
        <v>Q1 2024</v>
      </c>
    </row>
    <row r="396" spans="1:9" x14ac:dyDescent="0.25">
      <c r="A396" s="3" t="s">
        <v>38</v>
      </c>
      <c r="B396" s="3">
        <v>45412</v>
      </c>
      <c r="C396" s="6">
        <v>1688</v>
      </c>
      <c r="D396" s="2">
        <f>LEN(Table2[[#This Row],[CLID]])</f>
        <v>7</v>
      </c>
      <c r="E396" s="2" t="str">
        <f>_xlfn.XLOOKUP('Volume Data'!A:A,'Geo Data'!D:D,'Geo Data'!B:B)</f>
        <v>GEO1001</v>
      </c>
      <c r="F396" s="2" t="str">
        <f>INDEX(GeoByClient[GEOID],MATCH(Table2[[#This Row],[CLID]],GeoByClient[Right],0))</f>
        <v>GEO1001</v>
      </c>
      <c r="G396" s="2" t="str">
        <f>_xlfn.XLOOKUP(Table2[[#This Row],[Xlookup Region ID]],GEONames[GEOID],GEONames[GEO Name])</f>
        <v>NAM</v>
      </c>
      <c r="H396" s="2" t="str">
        <f>"Q"&amp;ROUNDUP(MONTH(Table2[[#This Row],[Date]])/3,0)&amp;" "&amp;YEAR(Table2[[#This Row],[Date]])</f>
        <v>Q2 2024</v>
      </c>
      <c r="I396" s="2" t="str">
        <f>VLOOKUP(Table2[[#This Row],[Date]],Table7[],3)</f>
        <v>Q2 2024</v>
      </c>
    </row>
    <row r="397" spans="1:9" x14ac:dyDescent="0.25">
      <c r="A397" s="3" t="s">
        <v>38</v>
      </c>
      <c r="B397" s="3">
        <v>45443</v>
      </c>
      <c r="C397" s="6">
        <v>1548</v>
      </c>
      <c r="D397" s="2">
        <f>LEN(Table2[[#This Row],[CLID]])</f>
        <v>7</v>
      </c>
      <c r="E397" s="2" t="str">
        <f>_xlfn.XLOOKUP('Volume Data'!A:A,'Geo Data'!D:D,'Geo Data'!B:B)</f>
        <v>GEO1001</v>
      </c>
      <c r="F397" s="2" t="str">
        <f>INDEX(GeoByClient[GEOID],MATCH(Table2[[#This Row],[CLID]],GeoByClient[Right],0))</f>
        <v>GEO1001</v>
      </c>
      <c r="G397" s="2" t="str">
        <f>_xlfn.XLOOKUP(Table2[[#This Row],[Xlookup Region ID]],GEONames[GEOID],GEONames[GEO Name])</f>
        <v>NAM</v>
      </c>
      <c r="H397" s="2" t="str">
        <f>"Q"&amp;ROUNDUP(MONTH(Table2[[#This Row],[Date]])/3,0)&amp;" "&amp;YEAR(Table2[[#This Row],[Date]])</f>
        <v>Q2 2024</v>
      </c>
      <c r="I397" s="2" t="str">
        <f>VLOOKUP(Table2[[#This Row],[Date]],Table7[],3)</f>
        <v>Q2 2024</v>
      </c>
    </row>
    <row r="398" spans="1:9" x14ac:dyDescent="0.25">
      <c r="A398" s="3" t="s">
        <v>38</v>
      </c>
      <c r="B398" s="3">
        <v>45473</v>
      </c>
      <c r="C398" s="6">
        <v>1127</v>
      </c>
      <c r="D398" s="2">
        <f>LEN(Table2[[#This Row],[CLID]])</f>
        <v>7</v>
      </c>
      <c r="E398" s="2" t="str">
        <f>_xlfn.XLOOKUP('Volume Data'!A:A,'Geo Data'!D:D,'Geo Data'!B:B)</f>
        <v>GEO1001</v>
      </c>
      <c r="F398" s="2" t="str">
        <f>INDEX(GeoByClient[GEOID],MATCH(Table2[[#This Row],[CLID]],GeoByClient[Right],0))</f>
        <v>GEO1001</v>
      </c>
      <c r="G398" s="2" t="str">
        <f>_xlfn.XLOOKUP(Table2[[#This Row],[Xlookup Region ID]],GEONames[GEOID],GEONames[GEO Name])</f>
        <v>NAM</v>
      </c>
      <c r="H398" s="2" t="str">
        <f>"Q"&amp;ROUNDUP(MONTH(Table2[[#This Row],[Date]])/3,0)&amp;" "&amp;YEAR(Table2[[#This Row],[Date]])</f>
        <v>Q2 2024</v>
      </c>
      <c r="I398" s="2" t="str">
        <f>VLOOKUP(Table2[[#This Row],[Date]],Table7[],3)</f>
        <v>Q2 2024</v>
      </c>
    </row>
    <row r="399" spans="1:9" x14ac:dyDescent="0.25">
      <c r="A399" s="3" t="s">
        <v>38</v>
      </c>
      <c r="B399" s="3">
        <v>45504</v>
      </c>
      <c r="C399" s="6">
        <v>984</v>
      </c>
      <c r="D399" s="2">
        <f>LEN(Table2[[#This Row],[CLID]])</f>
        <v>7</v>
      </c>
      <c r="E399" s="2" t="str">
        <f>_xlfn.XLOOKUP('Volume Data'!A:A,'Geo Data'!D:D,'Geo Data'!B:B)</f>
        <v>GEO1001</v>
      </c>
      <c r="F399" s="2" t="str">
        <f>INDEX(GeoByClient[GEOID],MATCH(Table2[[#This Row],[CLID]],GeoByClient[Right],0))</f>
        <v>GEO1001</v>
      </c>
      <c r="G399" s="2" t="str">
        <f>_xlfn.XLOOKUP(Table2[[#This Row],[Xlookup Region ID]],GEONames[GEOID],GEONames[GEO Name])</f>
        <v>NAM</v>
      </c>
      <c r="H399" s="2" t="str">
        <f>"Q"&amp;ROUNDUP(MONTH(Table2[[#This Row],[Date]])/3,0)&amp;" "&amp;YEAR(Table2[[#This Row],[Date]])</f>
        <v>Q3 2024</v>
      </c>
      <c r="I399" s="2" t="str">
        <f>VLOOKUP(Table2[[#This Row],[Date]],Table7[],3)</f>
        <v>Q3 2024</v>
      </c>
    </row>
    <row r="400" spans="1:9" x14ac:dyDescent="0.25">
      <c r="A400" s="3" t="s">
        <v>38</v>
      </c>
      <c r="B400" s="3">
        <v>45535</v>
      </c>
      <c r="C400" s="6">
        <v>850</v>
      </c>
      <c r="D400" s="2">
        <f>LEN(Table2[[#This Row],[CLID]])</f>
        <v>7</v>
      </c>
      <c r="E400" s="2" t="str">
        <f>_xlfn.XLOOKUP('Volume Data'!A:A,'Geo Data'!D:D,'Geo Data'!B:B)</f>
        <v>GEO1001</v>
      </c>
      <c r="F400" s="2" t="str">
        <f>INDEX(GeoByClient[GEOID],MATCH(Table2[[#This Row],[CLID]],GeoByClient[Right],0))</f>
        <v>GEO1001</v>
      </c>
      <c r="G400" s="2" t="str">
        <f>_xlfn.XLOOKUP(Table2[[#This Row],[Xlookup Region ID]],GEONames[GEOID],GEONames[GEO Name])</f>
        <v>NAM</v>
      </c>
      <c r="H400" s="2" t="str">
        <f>"Q"&amp;ROUNDUP(MONTH(Table2[[#This Row],[Date]])/3,0)&amp;" "&amp;YEAR(Table2[[#This Row],[Date]])</f>
        <v>Q3 2024</v>
      </c>
      <c r="I400" s="2" t="str">
        <f>VLOOKUP(Table2[[#This Row],[Date]],Table7[],3)</f>
        <v>Q3 2024</v>
      </c>
    </row>
    <row r="401" spans="1:9" x14ac:dyDescent="0.25">
      <c r="A401" s="3" t="s">
        <v>38</v>
      </c>
      <c r="B401" s="3">
        <v>45565</v>
      </c>
      <c r="C401" s="6">
        <v>850</v>
      </c>
      <c r="D401" s="2">
        <f>LEN(Table2[[#This Row],[CLID]])</f>
        <v>7</v>
      </c>
      <c r="E401" s="2" t="str">
        <f>_xlfn.XLOOKUP('Volume Data'!A:A,'Geo Data'!D:D,'Geo Data'!B:B)</f>
        <v>GEO1001</v>
      </c>
      <c r="F401" s="2" t="str">
        <f>INDEX(GeoByClient[GEOID],MATCH(Table2[[#This Row],[CLID]],GeoByClient[Right],0))</f>
        <v>GEO1001</v>
      </c>
      <c r="G401" s="2" t="str">
        <f>_xlfn.XLOOKUP(Table2[[#This Row],[Xlookup Region ID]],GEONames[GEOID],GEONames[GEO Name])</f>
        <v>NAM</v>
      </c>
      <c r="H401" s="2" t="str">
        <f>"Q"&amp;ROUNDUP(MONTH(Table2[[#This Row],[Date]])/3,0)&amp;" "&amp;YEAR(Table2[[#This Row],[Date]])</f>
        <v>Q3 2024</v>
      </c>
      <c r="I401" s="2" t="str">
        <f>VLOOKUP(Table2[[#This Row],[Date]],Table7[],3)</f>
        <v>Q3 2024</v>
      </c>
    </row>
    <row r="402" spans="1:9" x14ac:dyDescent="0.25">
      <c r="A402" s="3" t="s">
        <v>38</v>
      </c>
      <c r="B402" s="3">
        <v>45596</v>
      </c>
      <c r="C402" s="6">
        <v>986</v>
      </c>
      <c r="D402" s="2">
        <f>LEN(Table2[[#This Row],[CLID]])</f>
        <v>7</v>
      </c>
      <c r="E402" s="2" t="str">
        <f>_xlfn.XLOOKUP('Volume Data'!A:A,'Geo Data'!D:D,'Geo Data'!B:B)</f>
        <v>GEO1001</v>
      </c>
      <c r="F402" s="2" t="str">
        <f>INDEX(GeoByClient[GEOID],MATCH(Table2[[#This Row],[CLID]],GeoByClient[Right],0))</f>
        <v>GEO1001</v>
      </c>
      <c r="G402" s="2" t="str">
        <f>_xlfn.XLOOKUP(Table2[[#This Row],[Xlookup Region ID]],GEONames[GEOID],GEONames[GEO Name])</f>
        <v>NAM</v>
      </c>
      <c r="H402" s="2" t="str">
        <f>"Q"&amp;ROUNDUP(MONTH(Table2[[#This Row],[Date]])/3,0)&amp;" "&amp;YEAR(Table2[[#This Row],[Date]])</f>
        <v>Q4 2024</v>
      </c>
      <c r="I402" s="2" t="str">
        <f>VLOOKUP(Table2[[#This Row],[Date]],Table7[],3)</f>
        <v>Q4 2024</v>
      </c>
    </row>
    <row r="403" spans="1:9" x14ac:dyDescent="0.25">
      <c r="A403" s="3" t="s">
        <v>38</v>
      </c>
      <c r="B403" s="3">
        <v>45626</v>
      </c>
      <c r="C403" s="6">
        <v>1129</v>
      </c>
      <c r="D403" s="2">
        <f>LEN(Table2[[#This Row],[CLID]])</f>
        <v>7</v>
      </c>
      <c r="E403" s="2" t="str">
        <f>_xlfn.XLOOKUP('Volume Data'!A:A,'Geo Data'!D:D,'Geo Data'!B:B)</f>
        <v>GEO1001</v>
      </c>
      <c r="F403" s="2" t="str">
        <f>INDEX(GeoByClient[GEOID],MATCH(Table2[[#This Row],[CLID]],GeoByClient[Right],0))</f>
        <v>GEO1001</v>
      </c>
      <c r="G403" s="2" t="str">
        <f>_xlfn.XLOOKUP(Table2[[#This Row],[Xlookup Region ID]],GEONames[GEOID],GEONames[GEO Name])</f>
        <v>NAM</v>
      </c>
      <c r="H403" s="2" t="str">
        <f>"Q"&amp;ROUNDUP(MONTH(Table2[[#This Row],[Date]])/3,0)&amp;" "&amp;YEAR(Table2[[#This Row],[Date]])</f>
        <v>Q4 2024</v>
      </c>
      <c r="I403" s="2" t="str">
        <f>VLOOKUP(Table2[[#This Row],[Date]],Table7[],3)</f>
        <v>Q4 2024</v>
      </c>
    </row>
    <row r="404" spans="1:9" x14ac:dyDescent="0.25">
      <c r="A404" s="3" t="s">
        <v>38</v>
      </c>
      <c r="B404" s="3">
        <v>45657</v>
      </c>
      <c r="C404" s="6">
        <v>1131</v>
      </c>
      <c r="D404" s="2">
        <f>LEN(Table2[[#This Row],[CLID]])</f>
        <v>7</v>
      </c>
      <c r="E404" s="2" t="str">
        <f>_xlfn.XLOOKUP('Volume Data'!A:A,'Geo Data'!D:D,'Geo Data'!B:B)</f>
        <v>GEO1001</v>
      </c>
      <c r="F404" s="2" t="str">
        <f>INDEX(GeoByClient[GEOID],MATCH(Table2[[#This Row],[CLID]],GeoByClient[Right],0))</f>
        <v>GEO1001</v>
      </c>
      <c r="G404" s="2" t="str">
        <f>_xlfn.XLOOKUP(Table2[[#This Row],[Xlookup Region ID]],GEONames[GEOID],GEONames[GEO Name])</f>
        <v>NAM</v>
      </c>
      <c r="H404" s="2" t="str">
        <f>"Q"&amp;ROUNDUP(MONTH(Table2[[#This Row],[Date]])/3,0)&amp;" "&amp;YEAR(Table2[[#This Row],[Date]])</f>
        <v>Q4 2024</v>
      </c>
      <c r="I404" s="2" t="str">
        <f>VLOOKUP(Table2[[#This Row],[Date]],Table7[],3)</f>
        <v>Q4 2024</v>
      </c>
    </row>
    <row r="405" spans="1:9" x14ac:dyDescent="0.25">
      <c r="A405" s="3" t="s">
        <v>38</v>
      </c>
      <c r="B405" s="3">
        <v>45838</v>
      </c>
      <c r="C405" s="6">
        <v>1119</v>
      </c>
      <c r="D405" s="2">
        <f>LEN(Table2[[#This Row],[CLID]])</f>
        <v>7</v>
      </c>
      <c r="E405" s="2" t="str">
        <f>_xlfn.XLOOKUP('Volume Data'!A:A,'Geo Data'!D:D,'Geo Data'!B:B)</f>
        <v>GEO1001</v>
      </c>
      <c r="F405" s="2" t="str">
        <f>INDEX(GeoByClient[GEOID],MATCH(Table2[[#This Row],[CLID]],GeoByClient[Right],0))</f>
        <v>GEO1001</v>
      </c>
      <c r="G405" s="2" t="str">
        <f>_xlfn.XLOOKUP(Table2[[#This Row],[Xlookup Region ID]],GEONames[GEOID],GEONames[GEO Name])</f>
        <v>NAM</v>
      </c>
      <c r="H405" s="2" t="str">
        <f>"Q"&amp;ROUNDUP(MONTH(Table2[[#This Row],[Date]])/3,0)&amp;" "&amp;YEAR(Table2[[#This Row],[Date]])</f>
        <v>Q2 2025</v>
      </c>
      <c r="I405" s="2" t="str">
        <f>VLOOKUP(Table2[[#This Row],[Date]],Table7[],3)</f>
        <v>Q2 2025</v>
      </c>
    </row>
    <row r="406" spans="1:9" x14ac:dyDescent="0.25">
      <c r="A406" s="3" t="s">
        <v>38</v>
      </c>
      <c r="B406" s="3">
        <v>45808</v>
      </c>
      <c r="C406" s="6">
        <v>1598</v>
      </c>
      <c r="D406" s="2">
        <f>LEN(Table2[[#This Row],[CLID]])</f>
        <v>7</v>
      </c>
      <c r="E406" s="2" t="str">
        <f>_xlfn.XLOOKUP('Volume Data'!A:A,'Geo Data'!D:D,'Geo Data'!B:B)</f>
        <v>GEO1001</v>
      </c>
      <c r="F406" s="2" t="str">
        <f>INDEX(GeoByClient[GEOID],MATCH(Table2[[#This Row],[CLID]],GeoByClient[Right],0))</f>
        <v>GEO1001</v>
      </c>
      <c r="G406" s="2" t="str">
        <f>_xlfn.XLOOKUP(Table2[[#This Row],[Xlookup Region ID]],GEONames[GEOID],GEONames[GEO Name])</f>
        <v>NAM</v>
      </c>
      <c r="H406" s="2" t="str">
        <f>"Q"&amp;ROUNDUP(MONTH(Table2[[#This Row],[Date]])/3,0)&amp;" "&amp;YEAR(Table2[[#This Row],[Date]])</f>
        <v>Q2 2025</v>
      </c>
      <c r="I406" s="2" t="str">
        <f>VLOOKUP(Table2[[#This Row],[Date]],Table7[],3)</f>
        <v>Q2 2025</v>
      </c>
    </row>
    <row r="407" spans="1:9" x14ac:dyDescent="0.25">
      <c r="A407" s="3" t="s">
        <v>38</v>
      </c>
      <c r="B407" s="3">
        <v>45777</v>
      </c>
      <c r="C407" s="6">
        <v>1707</v>
      </c>
      <c r="D407" s="2">
        <f>LEN(Table2[[#This Row],[CLID]])</f>
        <v>7</v>
      </c>
      <c r="E407" s="2" t="str">
        <f>_xlfn.XLOOKUP('Volume Data'!A:A,'Geo Data'!D:D,'Geo Data'!B:B)</f>
        <v>GEO1001</v>
      </c>
      <c r="F407" s="2" t="str">
        <f>INDEX(GeoByClient[GEOID],MATCH(Table2[[#This Row],[CLID]],GeoByClient[Right],0))</f>
        <v>GEO1001</v>
      </c>
      <c r="G407" s="2" t="str">
        <f>_xlfn.XLOOKUP(Table2[[#This Row],[Xlookup Region ID]],GEONames[GEOID],GEONames[GEO Name])</f>
        <v>NAM</v>
      </c>
      <c r="H407" s="2" t="str">
        <f>"Q"&amp;ROUNDUP(MONTH(Table2[[#This Row],[Date]])/3,0)&amp;" "&amp;YEAR(Table2[[#This Row],[Date]])</f>
        <v>Q2 2025</v>
      </c>
      <c r="I407" s="2" t="str">
        <f>VLOOKUP(Table2[[#This Row],[Date]],Table7[],3)</f>
        <v>Q2 2025</v>
      </c>
    </row>
    <row r="408" spans="1:9" x14ac:dyDescent="0.25">
      <c r="A408" s="3" t="s">
        <v>38</v>
      </c>
      <c r="B408" s="3">
        <v>45747</v>
      </c>
      <c r="C408" s="6">
        <v>1404</v>
      </c>
      <c r="D408" s="2">
        <f>LEN(Table2[[#This Row],[CLID]])</f>
        <v>7</v>
      </c>
      <c r="E408" s="2" t="str">
        <f>_xlfn.XLOOKUP('Volume Data'!A:A,'Geo Data'!D:D,'Geo Data'!B:B)</f>
        <v>GEO1001</v>
      </c>
      <c r="F408" s="2" t="str">
        <f>INDEX(GeoByClient[GEOID],MATCH(Table2[[#This Row],[CLID]],GeoByClient[Right],0))</f>
        <v>GEO1001</v>
      </c>
      <c r="G408" s="2" t="str">
        <f>_xlfn.XLOOKUP(Table2[[#This Row],[Xlookup Region ID]],GEONames[GEOID],GEONames[GEO Name])</f>
        <v>NAM</v>
      </c>
      <c r="H408" s="2" t="str">
        <f>"Q"&amp;ROUNDUP(MONTH(Table2[[#This Row],[Date]])/3,0)&amp;" "&amp;YEAR(Table2[[#This Row],[Date]])</f>
        <v>Q1 2025</v>
      </c>
      <c r="I408" s="2" t="str">
        <f>VLOOKUP(Table2[[#This Row],[Date]],Table7[],3)</f>
        <v>Q4 2024</v>
      </c>
    </row>
    <row r="409" spans="1:9" x14ac:dyDescent="0.25">
      <c r="A409" s="3" t="s">
        <v>38</v>
      </c>
      <c r="B409" s="3">
        <v>45716</v>
      </c>
      <c r="C409" s="6">
        <v>1252</v>
      </c>
      <c r="D409" s="2">
        <f>LEN(Table2[[#This Row],[CLID]])</f>
        <v>7</v>
      </c>
      <c r="E409" s="2" t="str">
        <f>_xlfn.XLOOKUP('Volume Data'!A:A,'Geo Data'!D:D,'Geo Data'!B:B)</f>
        <v>GEO1001</v>
      </c>
      <c r="F409" s="2" t="str">
        <f>INDEX(GeoByClient[GEOID],MATCH(Table2[[#This Row],[CLID]],GeoByClient[Right],0))</f>
        <v>GEO1001</v>
      </c>
      <c r="G409" s="2" t="str">
        <f>_xlfn.XLOOKUP(Table2[[#This Row],[Xlookup Region ID]],GEONames[GEOID],GEONames[GEO Name])</f>
        <v>NAM</v>
      </c>
      <c r="H409" s="2" t="str">
        <f>"Q"&amp;ROUNDUP(MONTH(Table2[[#This Row],[Date]])/3,0)&amp;" "&amp;YEAR(Table2[[#This Row],[Date]])</f>
        <v>Q1 2025</v>
      </c>
      <c r="I409" s="2" t="str">
        <f>VLOOKUP(Table2[[#This Row],[Date]],Table7[],3)</f>
        <v>Q4 2024</v>
      </c>
    </row>
    <row r="410" spans="1:9" x14ac:dyDescent="0.25">
      <c r="A410" s="3" t="s">
        <v>38</v>
      </c>
      <c r="B410" s="3">
        <v>45688</v>
      </c>
      <c r="C410" s="6">
        <v>1119</v>
      </c>
      <c r="D410" s="2">
        <f>LEN(Table2[[#This Row],[CLID]])</f>
        <v>7</v>
      </c>
      <c r="E410" s="2" t="str">
        <f>_xlfn.XLOOKUP('Volume Data'!A:A,'Geo Data'!D:D,'Geo Data'!B:B)</f>
        <v>GEO1001</v>
      </c>
      <c r="F410" s="2" t="str">
        <f>INDEX(GeoByClient[GEOID],MATCH(Table2[[#This Row],[CLID]],GeoByClient[Right],0))</f>
        <v>GEO1001</v>
      </c>
      <c r="G410" s="2" t="str">
        <f>_xlfn.XLOOKUP(Table2[[#This Row],[Xlookup Region ID]],GEONames[GEOID],GEONames[GEO Name])</f>
        <v>NAM</v>
      </c>
      <c r="H410" s="2" t="str">
        <f>"Q"&amp;ROUNDUP(MONTH(Table2[[#This Row],[Date]])/3,0)&amp;" "&amp;YEAR(Table2[[#This Row],[Date]])</f>
        <v>Q1 2025</v>
      </c>
      <c r="I410" s="2" t="str">
        <f>VLOOKUP(Table2[[#This Row],[Date]],Table7[],3)</f>
        <v>Q4 2024</v>
      </c>
    </row>
    <row r="411" spans="1:9" x14ac:dyDescent="0.25">
      <c r="A411" s="3" t="s">
        <v>13</v>
      </c>
      <c r="B411" s="3">
        <v>45322</v>
      </c>
      <c r="C411" s="6">
        <v>318</v>
      </c>
      <c r="D411" s="2">
        <f>LEN(Table2[[#This Row],[CLID]])</f>
        <v>7</v>
      </c>
      <c r="E411" s="2" t="str">
        <f>_xlfn.XLOOKUP('Volume Data'!A:A,'Geo Data'!D:D,'Geo Data'!B:B)</f>
        <v>GEO1002</v>
      </c>
      <c r="F411" s="2" t="str">
        <f>INDEX(GeoByClient[GEOID],MATCH(Table2[[#This Row],[CLID]],GeoByClient[Right],0))</f>
        <v>GEO1002</v>
      </c>
      <c r="G411" s="2" t="str">
        <f>_xlfn.XLOOKUP(Table2[[#This Row],[Xlookup Region ID]],GEONames[GEOID],GEONames[GEO Name])</f>
        <v>APAC</v>
      </c>
      <c r="H411" s="2" t="str">
        <f>"Q"&amp;ROUNDUP(MONTH(Table2[[#This Row],[Date]])/3,0)&amp;" "&amp;YEAR(Table2[[#This Row],[Date]])</f>
        <v>Q1 2024</v>
      </c>
      <c r="I411" s="2" t="str">
        <f>VLOOKUP(Table2[[#This Row],[Date]],Table7[],3)</f>
        <v>Q1 2024</v>
      </c>
    </row>
    <row r="412" spans="1:9" x14ac:dyDescent="0.25">
      <c r="A412" s="3" t="s">
        <v>13</v>
      </c>
      <c r="B412" s="3">
        <v>45351</v>
      </c>
      <c r="C412" s="6">
        <v>453</v>
      </c>
      <c r="D412" s="2">
        <f>LEN(Table2[[#This Row],[CLID]])</f>
        <v>7</v>
      </c>
      <c r="E412" s="2" t="str">
        <f>_xlfn.XLOOKUP('Volume Data'!A:A,'Geo Data'!D:D,'Geo Data'!B:B)</f>
        <v>GEO1002</v>
      </c>
      <c r="F412" s="2" t="str">
        <f>INDEX(GeoByClient[GEOID],MATCH(Table2[[#This Row],[CLID]],GeoByClient[Right],0))</f>
        <v>GEO1002</v>
      </c>
      <c r="G412" s="2" t="str">
        <f>_xlfn.XLOOKUP(Table2[[#This Row],[Xlookup Region ID]],GEONames[GEOID],GEONames[GEO Name])</f>
        <v>APAC</v>
      </c>
      <c r="H412" s="2" t="str">
        <f>"Q"&amp;ROUNDUP(MONTH(Table2[[#This Row],[Date]])/3,0)&amp;" "&amp;YEAR(Table2[[#This Row],[Date]])</f>
        <v>Q1 2024</v>
      </c>
      <c r="I412" s="2" t="str">
        <f>VLOOKUP(Table2[[#This Row],[Date]],Table7[],3)</f>
        <v>Q1 2024</v>
      </c>
    </row>
    <row r="413" spans="1:9" x14ac:dyDescent="0.25">
      <c r="A413" s="3" t="s">
        <v>13</v>
      </c>
      <c r="B413" s="3">
        <v>45382</v>
      </c>
      <c r="C413" s="6">
        <v>411</v>
      </c>
      <c r="D413" s="2">
        <f>LEN(Table2[[#This Row],[CLID]])</f>
        <v>7</v>
      </c>
      <c r="E413" s="2" t="str">
        <f>_xlfn.XLOOKUP('Volume Data'!A:A,'Geo Data'!D:D,'Geo Data'!B:B)</f>
        <v>GEO1002</v>
      </c>
      <c r="F413" s="2" t="str">
        <f>INDEX(GeoByClient[GEOID],MATCH(Table2[[#This Row],[CLID]],GeoByClient[Right],0))</f>
        <v>GEO1002</v>
      </c>
      <c r="G413" s="2" t="str">
        <f>_xlfn.XLOOKUP(Table2[[#This Row],[Xlookup Region ID]],GEONames[GEOID],GEONames[GEO Name])</f>
        <v>APAC</v>
      </c>
      <c r="H413" s="2" t="str">
        <f>"Q"&amp;ROUNDUP(MONTH(Table2[[#This Row],[Date]])/3,0)&amp;" "&amp;YEAR(Table2[[#This Row],[Date]])</f>
        <v>Q1 2024</v>
      </c>
      <c r="I413" s="2" t="str">
        <f>VLOOKUP(Table2[[#This Row],[Date]],Table7[],3)</f>
        <v>Q1 2024</v>
      </c>
    </row>
    <row r="414" spans="1:9" x14ac:dyDescent="0.25">
      <c r="A414" s="3" t="s">
        <v>13</v>
      </c>
      <c r="B414" s="3">
        <v>45412</v>
      </c>
      <c r="C414" s="6">
        <v>588</v>
      </c>
      <c r="D414" s="2">
        <f>LEN(Table2[[#This Row],[CLID]])</f>
        <v>7</v>
      </c>
      <c r="E414" s="2" t="str">
        <f>_xlfn.XLOOKUP('Volume Data'!A:A,'Geo Data'!D:D,'Geo Data'!B:B)</f>
        <v>GEO1002</v>
      </c>
      <c r="F414" s="2" t="str">
        <f>INDEX(GeoByClient[GEOID],MATCH(Table2[[#This Row],[CLID]],GeoByClient[Right],0))</f>
        <v>GEO1002</v>
      </c>
      <c r="G414" s="2" t="str">
        <f>_xlfn.XLOOKUP(Table2[[#This Row],[Xlookup Region ID]],GEONames[GEOID],GEONames[GEO Name])</f>
        <v>APAC</v>
      </c>
      <c r="H414" s="2" t="str">
        <f>"Q"&amp;ROUNDUP(MONTH(Table2[[#This Row],[Date]])/3,0)&amp;" "&amp;YEAR(Table2[[#This Row],[Date]])</f>
        <v>Q2 2024</v>
      </c>
      <c r="I414" s="2" t="str">
        <f>VLOOKUP(Table2[[#This Row],[Date]],Table7[],3)</f>
        <v>Q2 2024</v>
      </c>
    </row>
    <row r="415" spans="1:9" x14ac:dyDescent="0.25">
      <c r="A415" s="3" t="s">
        <v>13</v>
      </c>
      <c r="B415" s="3">
        <v>45443</v>
      </c>
      <c r="C415" s="6">
        <v>457</v>
      </c>
      <c r="D415" s="2">
        <f>LEN(Table2[[#This Row],[CLID]])</f>
        <v>7</v>
      </c>
      <c r="E415" s="2" t="str">
        <f>_xlfn.XLOOKUP('Volume Data'!A:A,'Geo Data'!D:D,'Geo Data'!B:B)</f>
        <v>GEO1002</v>
      </c>
      <c r="F415" s="2" t="str">
        <f>INDEX(GeoByClient[GEOID],MATCH(Table2[[#This Row],[CLID]],GeoByClient[Right],0))</f>
        <v>GEO1002</v>
      </c>
      <c r="G415" s="2" t="str">
        <f>_xlfn.XLOOKUP(Table2[[#This Row],[Xlookup Region ID]],GEONames[GEOID],GEONames[GEO Name])</f>
        <v>APAC</v>
      </c>
      <c r="H415" s="2" t="str">
        <f>"Q"&amp;ROUNDUP(MONTH(Table2[[#This Row],[Date]])/3,0)&amp;" "&amp;YEAR(Table2[[#This Row],[Date]])</f>
        <v>Q2 2024</v>
      </c>
      <c r="I415" s="2" t="str">
        <f>VLOOKUP(Table2[[#This Row],[Date]],Table7[],3)</f>
        <v>Q2 2024</v>
      </c>
    </row>
    <row r="416" spans="1:9" x14ac:dyDescent="0.25">
      <c r="A416" s="3" t="s">
        <v>13</v>
      </c>
      <c r="B416" s="3">
        <v>45473</v>
      </c>
      <c r="C416" s="6">
        <v>410</v>
      </c>
      <c r="D416" s="2">
        <f>LEN(Table2[[#This Row],[CLID]])</f>
        <v>7</v>
      </c>
      <c r="E416" s="2" t="str">
        <f>_xlfn.XLOOKUP('Volume Data'!A:A,'Geo Data'!D:D,'Geo Data'!B:B)</f>
        <v>GEO1002</v>
      </c>
      <c r="F416" s="2" t="str">
        <f>INDEX(GeoByClient[GEOID],MATCH(Table2[[#This Row],[CLID]],GeoByClient[Right],0))</f>
        <v>GEO1002</v>
      </c>
      <c r="G416" s="2" t="str">
        <f>_xlfn.XLOOKUP(Table2[[#This Row],[Xlookup Region ID]],GEONames[GEOID],GEONames[GEO Name])</f>
        <v>APAC</v>
      </c>
      <c r="H416" s="2" t="str">
        <f>"Q"&amp;ROUNDUP(MONTH(Table2[[#This Row],[Date]])/3,0)&amp;" "&amp;YEAR(Table2[[#This Row],[Date]])</f>
        <v>Q2 2024</v>
      </c>
      <c r="I416" s="2" t="str">
        <f>VLOOKUP(Table2[[#This Row],[Date]],Table7[],3)</f>
        <v>Q2 2024</v>
      </c>
    </row>
    <row r="417" spans="1:9" x14ac:dyDescent="0.25">
      <c r="A417" s="3" t="s">
        <v>13</v>
      </c>
      <c r="B417" s="3">
        <v>45504</v>
      </c>
      <c r="C417" s="6">
        <v>273</v>
      </c>
      <c r="D417" s="2">
        <f>LEN(Table2[[#This Row],[CLID]])</f>
        <v>7</v>
      </c>
      <c r="E417" s="2" t="str">
        <f>_xlfn.XLOOKUP('Volume Data'!A:A,'Geo Data'!D:D,'Geo Data'!B:B)</f>
        <v>GEO1002</v>
      </c>
      <c r="F417" s="2" t="str">
        <f>INDEX(GeoByClient[GEOID],MATCH(Table2[[#This Row],[CLID]],GeoByClient[Right],0))</f>
        <v>GEO1002</v>
      </c>
      <c r="G417" s="2" t="str">
        <f>_xlfn.XLOOKUP(Table2[[#This Row],[Xlookup Region ID]],GEONames[GEOID],GEONames[GEO Name])</f>
        <v>APAC</v>
      </c>
      <c r="H417" s="2" t="str">
        <f>"Q"&amp;ROUNDUP(MONTH(Table2[[#This Row],[Date]])/3,0)&amp;" "&amp;YEAR(Table2[[#This Row],[Date]])</f>
        <v>Q3 2024</v>
      </c>
      <c r="I417" s="2" t="str">
        <f>VLOOKUP(Table2[[#This Row],[Date]],Table7[],3)</f>
        <v>Q3 2024</v>
      </c>
    </row>
    <row r="418" spans="1:9" x14ac:dyDescent="0.25">
      <c r="A418" s="3" t="s">
        <v>13</v>
      </c>
      <c r="B418" s="3">
        <v>45535</v>
      </c>
      <c r="C418" s="6">
        <v>317</v>
      </c>
      <c r="D418" s="2">
        <f>LEN(Table2[[#This Row],[CLID]])</f>
        <v>7</v>
      </c>
      <c r="E418" s="2" t="str">
        <f>_xlfn.XLOOKUP('Volume Data'!A:A,'Geo Data'!D:D,'Geo Data'!B:B)</f>
        <v>GEO1002</v>
      </c>
      <c r="F418" s="2" t="str">
        <f>INDEX(GeoByClient[GEOID],MATCH(Table2[[#This Row],[CLID]],GeoByClient[Right],0))</f>
        <v>GEO1002</v>
      </c>
      <c r="G418" s="2" t="str">
        <f>_xlfn.XLOOKUP(Table2[[#This Row],[Xlookup Region ID]],GEONames[GEOID],GEONames[GEO Name])</f>
        <v>APAC</v>
      </c>
      <c r="H418" s="2" t="str">
        <f>"Q"&amp;ROUNDUP(MONTH(Table2[[#This Row],[Date]])/3,0)&amp;" "&amp;YEAR(Table2[[#This Row],[Date]])</f>
        <v>Q3 2024</v>
      </c>
      <c r="I418" s="2" t="str">
        <f>VLOOKUP(Table2[[#This Row],[Date]],Table7[],3)</f>
        <v>Q3 2024</v>
      </c>
    </row>
    <row r="419" spans="1:9" x14ac:dyDescent="0.25">
      <c r="A419" s="3" t="s">
        <v>13</v>
      </c>
      <c r="B419" s="3">
        <v>45565</v>
      </c>
      <c r="C419" s="6">
        <v>233</v>
      </c>
      <c r="D419" s="2">
        <f>LEN(Table2[[#This Row],[CLID]])</f>
        <v>7</v>
      </c>
      <c r="E419" s="2" t="str">
        <f>_xlfn.XLOOKUP('Volume Data'!A:A,'Geo Data'!D:D,'Geo Data'!B:B)</f>
        <v>GEO1002</v>
      </c>
      <c r="F419" s="2" t="str">
        <f>INDEX(GeoByClient[GEOID],MATCH(Table2[[#This Row],[CLID]],GeoByClient[Right],0))</f>
        <v>GEO1002</v>
      </c>
      <c r="G419" s="2" t="str">
        <f>_xlfn.XLOOKUP(Table2[[#This Row],[Xlookup Region ID]],GEONames[GEOID],GEONames[GEO Name])</f>
        <v>APAC</v>
      </c>
      <c r="H419" s="2" t="str">
        <f>"Q"&amp;ROUNDUP(MONTH(Table2[[#This Row],[Date]])/3,0)&amp;" "&amp;YEAR(Table2[[#This Row],[Date]])</f>
        <v>Q3 2024</v>
      </c>
      <c r="I419" s="2" t="str">
        <f>VLOOKUP(Table2[[#This Row],[Date]],Table7[],3)</f>
        <v>Q3 2024</v>
      </c>
    </row>
    <row r="420" spans="1:9" x14ac:dyDescent="0.25">
      <c r="A420" s="3" t="s">
        <v>13</v>
      </c>
      <c r="B420" s="3">
        <v>45596</v>
      </c>
      <c r="C420" s="6">
        <v>367</v>
      </c>
      <c r="D420" s="2">
        <f>LEN(Table2[[#This Row],[CLID]])</f>
        <v>7</v>
      </c>
      <c r="E420" s="2" t="str">
        <f>_xlfn.XLOOKUP('Volume Data'!A:A,'Geo Data'!D:D,'Geo Data'!B:B)</f>
        <v>GEO1002</v>
      </c>
      <c r="F420" s="2" t="str">
        <f>INDEX(GeoByClient[GEOID],MATCH(Table2[[#This Row],[CLID]],GeoByClient[Right],0))</f>
        <v>GEO1002</v>
      </c>
      <c r="G420" s="2" t="str">
        <f>_xlfn.XLOOKUP(Table2[[#This Row],[Xlookup Region ID]],GEONames[GEOID],GEONames[GEO Name])</f>
        <v>APAC</v>
      </c>
      <c r="H420" s="2" t="str">
        <f>"Q"&amp;ROUNDUP(MONTH(Table2[[#This Row],[Date]])/3,0)&amp;" "&amp;YEAR(Table2[[#This Row],[Date]])</f>
        <v>Q4 2024</v>
      </c>
      <c r="I420" s="2" t="str">
        <f>VLOOKUP(Table2[[#This Row],[Date]],Table7[],3)</f>
        <v>Q4 2024</v>
      </c>
    </row>
    <row r="421" spans="1:9" x14ac:dyDescent="0.25">
      <c r="A421" s="3" t="s">
        <v>13</v>
      </c>
      <c r="B421" s="3">
        <v>45626</v>
      </c>
      <c r="C421" s="6">
        <v>322</v>
      </c>
      <c r="D421" s="2">
        <f>LEN(Table2[[#This Row],[CLID]])</f>
        <v>7</v>
      </c>
      <c r="E421" s="2" t="str">
        <f>_xlfn.XLOOKUP('Volume Data'!A:A,'Geo Data'!D:D,'Geo Data'!B:B)</f>
        <v>GEO1002</v>
      </c>
      <c r="F421" s="2" t="str">
        <f>INDEX(GeoByClient[GEOID],MATCH(Table2[[#This Row],[CLID]],GeoByClient[Right],0))</f>
        <v>GEO1002</v>
      </c>
      <c r="G421" s="2" t="str">
        <f>_xlfn.XLOOKUP(Table2[[#This Row],[Xlookup Region ID]],GEONames[GEOID],GEONames[GEO Name])</f>
        <v>APAC</v>
      </c>
      <c r="H421" s="2" t="str">
        <f>"Q"&amp;ROUNDUP(MONTH(Table2[[#This Row],[Date]])/3,0)&amp;" "&amp;YEAR(Table2[[#This Row],[Date]])</f>
        <v>Q4 2024</v>
      </c>
      <c r="I421" s="2" t="str">
        <f>VLOOKUP(Table2[[#This Row],[Date]],Table7[],3)</f>
        <v>Q4 2024</v>
      </c>
    </row>
    <row r="422" spans="1:9" x14ac:dyDescent="0.25">
      <c r="A422" s="3" t="s">
        <v>13</v>
      </c>
      <c r="B422" s="3">
        <v>45657</v>
      </c>
      <c r="C422" s="6">
        <v>407</v>
      </c>
      <c r="D422" s="2">
        <f>LEN(Table2[[#This Row],[CLID]])</f>
        <v>7</v>
      </c>
      <c r="E422" s="2" t="str">
        <f>_xlfn.XLOOKUP('Volume Data'!A:A,'Geo Data'!D:D,'Geo Data'!B:B)</f>
        <v>GEO1002</v>
      </c>
      <c r="F422" s="2" t="str">
        <f>INDEX(GeoByClient[GEOID],MATCH(Table2[[#This Row],[CLID]],GeoByClient[Right],0))</f>
        <v>GEO1002</v>
      </c>
      <c r="G422" s="2" t="str">
        <f>_xlfn.XLOOKUP(Table2[[#This Row],[Xlookup Region ID]],GEONames[GEOID],GEONames[GEO Name])</f>
        <v>APAC</v>
      </c>
      <c r="H422" s="2" t="str">
        <f>"Q"&amp;ROUNDUP(MONTH(Table2[[#This Row],[Date]])/3,0)&amp;" "&amp;YEAR(Table2[[#This Row],[Date]])</f>
        <v>Q4 2024</v>
      </c>
      <c r="I422" s="2" t="str">
        <f>VLOOKUP(Table2[[#This Row],[Date]],Table7[],3)</f>
        <v>Q4 2024</v>
      </c>
    </row>
    <row r="423" spans="1:9" x14ac:dyDescent="0.25">
      <c r="A423" s="3" t="s">
        <v>13</v>
      </c>
      <c r="B423" s="3">
        <v>45838</v>
      </c>
      <c r="C423" s="6">
        <v>409</v>
      </c>
      <c r="D423" s="2">
        <f>LEN(Table2[[#This Row],[CLID]])</f>
        <v>7</v>
      </c>
      <c r="E423" s="2" t="str">
        <f>_xlfn.XLOOKUP('Volume Data'!A:A,'Geo Data'!D:D,'Geo Data'!B:B)</f>
        <v>GEO1002</v>
      </c>
      <c r="F423" s="2" t="str">
        <f>INDEX(GeoByClient[GEOID],MATCH(Table2[[#This Row],[CLID]],GeoByClient[Right],0))</f>
        <v>GEO1002</v>
      </c>
      <c r="G423" s="2" t="str">
        <f>_xlfn.XLOOKUP(Table2[[#This Row],[Xlookup Region ID]],GEONames[GEOID],GEONames[GEO Name])</f>
        <v>APAC</v>
      </c>
      <c r="H423" s="2" t="str">
        <f>"Q"&amp;ROUNDUP(MONTH(Table2[[#This Row],[Date]])/3,0)&amp;" "&amp;YEAR(Table2[[#This Row],[Date]])</f>
        <v>Q2 2025</v>
      </c>
      <c r="I423" s="2" t="str">
        <f>VLOOKUP(Table2[[#This Row],[Date]],Table7[],3)</f>
        <v>Q2 2025</v>
      </c>
    </row>
    <row r="424" spans="1:9" x14ac:dyDescent="0.25">
      <c r="A424" s="3" t="s">
        <v>13</v>
      </c>
      <c r="B424" s="3">
        <v>45808</v>
      </c>
      <c r="C424" s="6">
        <v>459</v>
      </c>
      <c r="D424" s="2">
        <f>LEN(Table2[[#This Row],[CLID]])</f>
        <v>7</v>
      </c>
      <c r="E424" s="2" t="str">
        <f>_xlfn.XLOOKUP('Volume Data'!A:A,'Geo Data'!D:D,'Geo Data'!B:B)</f>
        <v>GEO1002</v>
      </c>
      <c r="F424" s="2" t="str">
        <f>INDEX(GeoByClient[GEOID],MATCH(Table2[[#This Row],[CLID]],GeoByClient[Right],0))</f>
        <v>GEO1002</v>
      </c>
      <c r="G424" s="2" t="str">
        <f>_xlfn.XLOOKUP(Table2[[#This Row],[Xlookup Region ID]],GEONames[GEOID],GEONames[GEO Name])</f>
        <v>APAC</v>
      </c>
      <c r="H424" s="2" t="str">
        <f>"Q"&amp;ROUNDUP(MONTH(Table2[[#This Row],[Date]])/3,0)&amp;" "&amp;YEAR(Table2[[#This Row],[Date]])</f>
        <v>Q2 2025</v>
      </c>
      <c r="I424" s="2" t="str">
        <f>VLOOKUP(Table2[[#This Row],[Date]],Table7[],3)</f>
        <v>Q2 2025</v>
      </c>
    </row>
    <row r="425" spans="1:9" x14ac:dyDescent="0.25">
      <c r="A425" s="3" t="s">
        <v>13</v>
      </c>
      <c r="B425" s="3">
        <v>45777</v>
      </c>
      <c r="C425" s="6">
        <v>591</v>
      </c>
      <c r="D425" s="2">
        <f>LEN(Table2[[#This Row],[CLID]])</f>
        <v>7</v>
      </c>
      <c r="E425" s="2" t="str">
        <f>_xlfn.XLOOKUP('Volume Data'!A:A,'Geo Data'!D:D,'Geo Data'!B:B)</f>
        <v>GEO1002</v>
      </c>
      <c r="F425" s="2" t="str">
        <f>INDEX(GeoByClient[GEOID],MATCH(Table2[[#This Row],[CLID]],GeoByClient[Right],0))</f>
        <v>GEO1002</v>
      </c>
      <c r="G425" s="2" t="str">
        <f>_xlfn.XLOOKUP(Table2[[#This Row],[Xlookup Region ID]],GEONames[GEOID],GEONames[GEO Name])</f>
        <v>APAC</v>
      </c>
      <c r="H425" s="2" t="str">
        <f>"Q"&amp;ROUNDUP(MONTH(Table2[[#This Row],[Date]])/3,0)&amp;" "&amp;YEAR(Table2[[#This Row],[Date]])</f>
        <v>Q2 2025</v>
      </c>
      <c r="I425" s="2" t="str">
        <f>VLOOKUP(Table2[[#This Row],[Date]],Table7[],3)</f>
        <v>Q2 2025</v>
      </c>
    </row>
    <row r="426" spans="1:9" x14ac:dyDescent="0.25">
      <c r="A426" s="3" t="s">
        <v>13</v>
      </c>
      <c r="B426" s="3">
        <v>45747</v>
      </c>
      <c r="C426" s="6">
        <v>421</v>
      </c>
      <c r="D426" s="2">
        <f>LEN(Table2[[#This Row],[CLID]])</f>
        <v>7</v>
      </c>
      <c r="E426" s="2" t="str">
        <f>_xlfn.XLOOKUP('Volume Data'!A:A,'Geo Data'!D:D,'Geo Data'!B:B)</f>
        <v>GEO1002</v>
      </c>
      <c r="F426" s="2" t="str">
        <f>INDEX(GeoByClient[GEOID],MATCH(Table2[[#This Row],[CLID]],GeoByClient[Right],0))</f>
        <v>GEO1002</v>
      </c>
      <c r="G426" s="2" t="str">
        <f>_xlfn.XLOOKUP(Table2[[#This Row],[Xlookup Region ID]],GEONames[GEOID],GEONames[GEO Name])</f>
        <v>APAC</v>
      </c>
      <c r="H426" s="2" t="str">
        <f>"Q"&amp;ROUNDUP(MONTH(Table2[[#This Row],[Date]])/3,0)&amp;" "&amp;YEAR(Table2[[#This Row],[Date]])</f>
        <v>Q1 2025</v>
      </c>
      <c r="I426" s="2" t="str">
        <f>VLOOKUP(Table2[[#This Row],[Date]],Table7[],3)</f>
        <v>Q4 2024</v>
      </c>
    </row>
    <row r="427" spans="1:9" x14ac:dyDescent="0.25">
      <c r="A427" s="3" t="s">
        <v>13</v>
      </c>
      <c r="B427" s="3">
        <v>45716</v>
      </c>
      <c r="C427" s="6">
        <v>456</v>
      </c>
      <c r="D427" s="2">
        <f>LEN(Table2[[#This Row],[CLID]])</f>
        <v>7</v>
      </c>
      <c r="E427" s="2" t="str">
        <f>_xlfn.XLOOKUP('Volume Data'!A:A,'Geo Data'!D:D,'Geo Data'!B:B)</f>
        <v>GEO1002</v>
      </c>
      <c r="F427" s="2" t="str">
        <f>INDEX(GeoByClient[GEOID],MATCH(Table2[[#This Row],[CLID]],GeoByClient[Right],0))</f>
        <v>GEO1002</v>
      </c>
      <c r="G427" s="2" t="str">
        <f>_xlfn.XLOOKUP(Table2[[#This Row],[Xlookup Region ID]],GEONames[GEOID],GEONames[GEO Name])</f>
        <v>APAC</v>
      </c>
      <c r="H427" s="2" t="str">
        <f>"Q"&amp;ROUNDUP(MONTH(Table2[[#This Row],[Date]])/3,0)&amp;" "&amp;YEAR(Table2[[#This Row],[Date]])</f>
        <v>Q1 2025</v>
      </c>
      <c r="I427" s="2" t="str">
        <f>VLOOKUP(Table2[[#This Row],[Date]],Table7[],3)</f>
        <v>Q4 2024</v>
      </c>
    </row>
    <row r="428" spans="1:9" x14ac:dyDescent="0.25">
      <c r="A428" s="3" t="s">
        <v>13</v>
      </c>
      <c r="B428" s="3">
        <v>45688</v>
      </c>
      <c r="C428" s="6">
        <v>316</v>
      </c>
      <c r="D428" s="2">
        <f>LEN(Table2[[#This Row],[CLID]])</f>
        <v>7</v>
      </c>
      <c r="E428" s="2" t="str">
        <f>_xlfn.XLOOKUP('Volume Data'!A:A,'Geo Data'!D:D,'Geo Data'!B:B)</f>
        <v>GEO1002</v>
      </c>
      <c r="F428" s="2" t="str">
        <f>INDEX(GeoByClient[GEOID],MATCH(Table2[[#This Row],[CLID]],GeoByClient[Right],0))</f>
        <v>GEO1002</v>
      </c>
      <c r="G428" s="2" t="str">
        <f>_xlfn.XLOOKUP(Table2[[#This Row],[Xlookup Region ID]],GEONames[GEOID],GEONames[GEO Name])</f>
        <v>APAC</v>
      </c>
      <c r="H428" s="2" t="str">
        <f>"Q"&amp;ROUNDUP(MONTH(Table2[[#This Row],[Date]])/3,0)&amp;" "&amp;YEAR(Table2[[#This Row],[Date]])</f>
        <v>Q1 2025</v>
      </c>
      <c r="I428" s="2" t="str">
        <f>VLOOKUP(Table2[[#This Row],[Date]],Table7[],3)</f>
        <v>Q4 2024</v>
      </c>
    </row>
    <row r="429" spans="1:9" x14ac:dyDescent="0.25">
      <c r="A429" s="3" t="s">
        <v>48</v>
      </c>
      <c r="B429" s="3">
        <v>45322</v>
      </c>
      <c r="C429" s="6">
        <v>1488</v>
      </c>
      <c r="D429" s="2">
        <f>LEN(Table2[[#This Row],[CLID]])</f>
        <v>7</v>
      </c>
      <c r="E429" s="2" t="str">
        <f>_xlfn.XLOOKUP('Volume Data'!A:A,'Geo Data'!D:D,'Geo Data'!B:B)</f>
        <v>GEO1001</v>
      </c>
      <c r="F429" s="2" t="str">
        <f>INDEX(GeoByClient[GEOID],MATCH(Table2[[#This Row],[CLID]],GeoByClient[Right],0))</f>
        <v>GEO1001</v>
      </c>
      <c r="G429" s="2" t="str">
        <f>_xlfn.XLOOKUP(Table2[[#This Row],[Xlookup Region ID]],GEONames[GEOID],GEONames[GEO Name])</f>
        <v>NAM</v>
      </c>
      <c r="H429" s="2" t="str">
        <f>"Q"&amp;ROUNDUP(MONTH(Table2[[#This Row],[Date]])/3,0)&amp;" "&amp;YEAR(Table2[[#This Row],[Date]])</f>
        <v>Q1 2024</v>
      </c>
      <c r="I429" s="2" t="str">
        <f>VLOOKUP(Table2[[#This Row],[Date]],Table7[],3)</f>
        <v>Q1 2024</v>
      </c>
    </row>
    <row r="430" spans="1:9" x14ac:dyDescent="0.25">
      <c r="A430" s="3" t="s">
        <v>48</v>
      </c>
      <c r="B430" s="3">
        <v>45351</v>
      </c>
      <c r="C430" s="6">
        <v>1674</v>
      </c>
      <c r="D430" s="2">
        <f>LEN(Table2[[#This Row],[CLID]])</f>
        <v>7</v>
      </c>
      <c r="E430" s="2" t="str">
        <f>_xlfn.XLOOKUP('Volume Data'!A:A,'Geo Data'!D:D,'Geo Data'!B:B)</f>
        <v>GEO1001</v>
      </c>
      <c r="F430" s="2" t="str">
        <f>INDEX(GeoByClient[GEOID],MATCH(Table2[[#This Row],[CLID]],GeoByClient[Right],0))</f>
        <v>GEO1001</v>
      </c>
      <c r="G430" s="2" t="str">
        <f>_xlfn.XLOOKUP(Table2[[#This Row],[Xlookup Region ID]],GEONames[GEOID],GEONames[GEO Name])</f>
        <v>NAM</v>
      </c>
      <c r="H430" s="2" t="str">
        <f>"Q"&amp;ROUNDUP(MONTH(Table2[[#This Row],[Date]])/3,0)&amp;" "&amp;YEAR(Table2[[#This Row],[Date]])</f>
        <v>Q1 2024</v>
      </c>
      <c r="I430" s="2" t="str">
        <f>VLOOKUP(Table2[[#This Row],[Date]],Table7[],3)</f>
        <v>Q1 2024</v>
      </c>
    </row>
    <row r="431" spans="1:9" x14ac:dyDescent="0.25">
      <c r="A431" s="3" t="s">
        <v>48</v>
      </c>
      <c r="B431" s="3">
        <v>45382</v>
      </c>
      <c r="C431" s="6">
        <v>1862</v>
      </c>
      <c r="D431" s="2">
        <f>LEN(Table2[[#This Row],[CLID]])</f>
        <v>7</v>
      </c>
      <c r="E431" s="2" t="str">
        <f>_xlfn.XLOOKUP('Volume Data'!A:A,'Geo Data'!D:D,'Geo Data'!B:B)</f>
        <v>GEO1001</v>
      </c>
      <c r="F431" s="2" t="str">
        <f>INDEX(GeoByClient[GEOID],MATCH(Table2[[#This Row],[CLID]],GeoByClient[Right],0))</f>
        <v>GEO1001</v>
      </c>
      <c r="G431" s="2" t="str">
        <f>_xlfn.XLOOKUP(Table2[[#This Row],[Xlookup Region ID]],GEONames[GEOID],GEONames[GEO Name])</f>
        <v>NAM</v>
      </c>
      <c r="H431" s="2" t="str">
        <f>"Q"&amp;ROUNDUP(MONTH(Table2[[#This Row],[Date]])/3,0)&amp;" "&amp;YEAR(Table2[[#This Row],[Date]])</f>
        <v>Q1 2024</v>
      </c>
      <c r="I431" s="2" t="str">
        <f>VLOOKUP(Table2[[#This Row],[Date]],Table7[],3)</f>
        <v>Q1 2024</v>
      </c>
    </row>
    <row r="432" spans="1:9" x14ac:dyDescent="0.25">
      <c r="A432" s="3" t="s">
        <v>48</v>
      </c>
      <c r="B432" s="3">
        <v>45412</v>
      </c>
      <c r="C432" s="6">
        <v>2231</v>
      </c>
      <c r="D432" s="2">
        <f>LEN(Table2[[#This Row],[CLID]])</f>
        <v>7</v>
      </c>
      <c r="E432" s="2" t="str">
        <f>_xlfn.XLOOKUP('Volume Data'!A:A,'Geo Data'!D:D,'Geo Data'!B:B)</f>
        <v>GEO1001</v>
      </c>
      <c r="F432" s="2" t="str">
        <f>INDEX(GeoByClient[GEOID],MATCH(Table2[[#This Row],[CLID]],GeoByClient[Right],0))</f>
        <v>GEO1001</v>
      </c>
      <c r="G432" s="2" t="str">
        <f>_xlfn.XLOOKUP(Table2[[#This Row],[Xlookup Region ID]],GEONames[GEOID],GEONames[GEO Name])</f>
        <v>NAM</v>
      </c>
      <c r="H432" s="2" t="str">
        <f>"Q"&amp;ROUNDUP(MONTH(Table2[[#This Row],[Date]])/3,0)&amp;" "&amp;YEAR(Table2[[#This Row],[Date]])</f>
        <v>Q2 2024</v>
      </c>
      <c r="I432" s="2" t="str">
        <f>VLOOKUP(Table2[[#This Row],[Date]],Table7[],3)</f>
        <v>Q2 2024</v>
      </c>
    </row>
    <row r="433" spans="1:9" x14ac:dyDescent="0.25">
      <c r="A433" s="3" t="s">
        <v>48</v>
      </c>
      <c r="B433" s="3">
        <v>45443</v>
      </c>
      <c r="C433" s="6">
        <v>2049</v>
      </c>
      <c r="D433" s="2">
        <f>LEN(Table2[[#This Row],[CLID]])</f>
        <v>7</v>
      </c>
      <c r="E433" s="2" t="str">
        <f>_xlfn.XLOOKUP('Volume Data'!A:A,'Geo Data'!D:D,'Geo Data'!B:B)</f>
        <v>GEO1001</v>
      </c>
      <c r="F433" s="2" t="str">
        <f>INDEX(GeoByClient[GEOID],MATCH(Table2[[#This Row],[CLID]],GeoByClient[Right],0))</f>
        <v>GEO1001</v>
      </c>
      <c r="G433" s="2" t="str">
        <f>_xlfn.XLOOKUP(Table2[[#This Row],[Xlookup Region ID]],GEONames[GEOID],GEONames[GEO Name])</f>
        <v>NAM</v>
      </c>
      <c r="H433" s="2" t="str">
        <f>"Q"&amp;ROUNDUP(MONTH(Table2[[#This Row],[Date]])/3,0)&amp;" "&amp;YEAR(Table2[[#This Row],[Date]])</f>
        <v>Q2 2024</v>
      </c>
      <c r="I433" s="2" t="str">
        <f>VLOOKUP(Table2[[#This Row],[Date]],Table7[],3)</f>
        <v>Q2 2024</v>
      </c>
    </row>
    <row r="434" spans="1:9" x14ac:dyDescent="0.25">
      <c r="A434" s="3" t="s">
        <v>48</v>
      </c>
      <c r="B434" s="3">
        <v>45473</v>
      </c>
      <c r="C434" s="6">
        <v>1489</v>
      </c>
      <c r="D434" s="2">
        <f>LEN(Table2[[#This Row],[CLID]])</f>
        <v>7</v>
      </c>
      <c r="E434" s="2" t="str">
        <f>_xlfn.XLOOKUP('Volume Data'!A:A,'Geo Data'!D:D,'Geo Data'!B:B)</f>
        <v>GEO1001</v>
      </c>
      <c r="F434" s="2" t="str">
        <f>INDEX(GeoByClient[GEOID],MATCH(Table2[[#This Row],[CLID]],GeoByClient[Right],0))</f>
        <v>GEO1001</v>
      </c>
      <c r="G434" s="2" t="str">
        <f>_xlfn.XLOOKUP(Table2[[#This Row],[Xlookup Region ID]],GEONames[GEOID],GEONames[GEO Name])</f>
        <v>NAM</v>
      </c>
      <c r="H434" s="2" t="str">
        <f>"Q"&amp;ROUNDUP(MONTH(Table2[[#This Row],[Date]])/3,0)&amp;" "&amp;YEAR(Table2[[#This Row],[Date]])</f>
        <v>Q2 2024</v>
      </c>
      <c r="I434" s="2" t="str">
        <f>VLOOKUP(Table2[[#This Row],[Date]],Table7[],3)</f>
        <v>Q2 2024</v>
      </c>
    </row>
    <row r="435" spans="1:9" x14ac:dyDescent="0.25">
      <c r="A435" s="3" t="s">
        <v>48</v>
      </c>
      <c r="B435" s="3">
        <v>45504</v>
      </c>
      <c r="C435" s="6">
        <v>1301</v>
      </c>
      <c r="D435" s="2">
        <f>LEN(Table2[[#This Row],[CLID]])</f>
        <v>7</v>
      </c>
      <c r="E435" s="2" t="str">
        <f>_xlfn.XLOOKUP('Volume Data'!A:A,'Geo Data'!D:D,'Geo Data'!B:B)</f>
        <v>GEO1001</v>
      </c>
      <c r="F435" s="2" t="str">
        <f>INDEX(GeoByClient[GEOID],MATCH(Table2[[#This Row],[CLID]],GeoByClient[Right],0))</f>
        <v>GEO1001</v>
      </c>
      <c r="G435" s="2" t="str">
        <f>_xlfn.XLOOKUP(Table2[[#This Row],[Xlookup Region ID]],GEONames[GEOID],GEONames[GEO Name])</f>
        <v>NAM</v>
      </c>
      <c r="H435" s="2" t="str">
        <f>"Q"&amp;ROUNDUP(MONTH(Table2[[#This Row],[Date]])/3,0)&amp;" "&amp;YEAR(Table2[[#This Row],[Date]])</f>
        <v>Q3 2024</v>
      </c>
      <c r="I435" s="2" t="str">
        <f>VLOOKUP(Table2[[#This Row],[Date]],Table7[],3)</f>
        <v>Q3 2024</v>
      </c>
    </row>
    <row r="436" spans="1:9" x14ac:dyDescent="0.25">
      <c r="A436" s="3" t="s">
        <v>48</v>
      </c>
      <c r="B436" s="3">
        <v>45535</v>
      </c>
      <c r="C436" s="6">
        <v>1118</v>
      </c>
      <c r="D436" s="2">
        <f>LEN(Table2[[#This Row],[CLID]])</f>
        <v>7</v>
      </c>
      <c r="E436" s="2" t="str">
        <f>_xlfn.XLOOKUP('Volume Data'!A:A,'Geo Data'!D:D,'Geo Data'!B:B)</f>
        <v>GEO1001</v>
      </c>
      <c r="F436" s="2" t="str">
        <f>INDEX(GeoByClient[GEOID],MATCH(Table2[[#This Row],[CLID]],GeoByClient[Right],0))</f>
        <v>GEO1001</v>
      </c>
      <c r="G436" s="2" t="str">
        <f>_xlfn.XLOOKUP(Table2[[#This Row],[Xlookup Region ID]],GEONames[GEOID],GEONames[GEO Name])</f>
        <v>NAM</v>
      </c>
      <c r="H436" s="2" t="str">
        <f>"Q"&amp;ROUNDUP(MONTH(Table2[[#This Row],[Date]])/3,0)&amp;" "&amp;YEAR(Table2[[#This Row],[Date]])</f>
        <v>Q3 2024</v>
      </c>
      <c r="I436" s="2" t="str">
        <f>VLOOKUP(Table2[[#This Row],[Date]],Table7[],3)</f>
        <v>Q3 2024</v>
      </c>
    </row>
    <row r="437" spans="1:9" x14ac:dyDescent="0.25">
      <c r="A437" s="3" t="s">
        <v>48</v>
      </c>
      <c r="B437" s="3">
        <v>45565</v>
      </c>
      <c r="C437" s="6">
        <v>1117</v>
      </c>
      <c r="D437" s="2">
        <f>LEN(Table2[[#This Row],[CLID]])</f>
        <v>7</v>
      </c>
      <c r="E437" s="2" t="str">
        <f>_xlfn.XLOOKUP('Volume Data'!A:A,'Geo Data'!D:D,'Geo Data'!B:B)</f>
        <v>GEO1001</v>
      </c>
      <c r="F437" s="2" t="str">
        <f>INDEX(GeoByClient[GEOID],MATCH(Table2[[#This Row],[CLID]],GeoByClient[Right],0))</f>
        <v>GEO1001</v>
      </c>
      <c r="G437" s="2" t="str">
        <f>_xlfn.XLOOKUP(Table2[[#This Row],[Xlookup Region ID]],GEONames[GEOID],GEONames[GEO Name])</f>
        <v>NAM</v>
      </c>
      <c r="H437" s="2" t="str">
        <f>"Q"&amp;ROUNDUP(MONTH(Table2[[#This Row],[Date]])/3,0)&amp;" "&amp;YEAR(Table2[[#This Row],[Date]])</f>
        <v>Q3 2024</v>
      </c>
      <c r="I437" s="2" t="str">
        <f>VLOOKUP(Table2[[#This Row],[Date]],Table7[],3)</f>
        <v>Q3 2024</v>
      </c>
    </row>
    <row r="438" spans="1:9" x14ac:dyDescent="0.25">
      <c r="A438" s="3" t="s">
        <v>48</v>
      </c>
      <c r="B438" s="3">
        <v>45596</v>
      </c>
      <c r="C438" s="6">
        <v>1301</v>
      </c>
      <c r="D438" s="2">
        <f>LEN(Table2[[#This Row],[CLID]])</f>
        <v>7</v>
      </c>
      <c r="E438" s="2" t="str">
        <f>_xlfn.XLOOKUP('Volume Data'!A:A,'Geo Data'!D:D,'Geo Data'!B:B)</f>
        <v>GEO1001</v>
      </c>
      <c r="F438" s="2" t="str">
        <f>INDEX(GeoByClient[GEOID],MATCH(Table2[[#This Row],[CLID]],GeoByClient[Right],0))</f>
        <v>GEO1001</v>
      </c>
      <c r="G438" s="2" t="str">
        <f>_xlfn.XLOOKUP(Table2[[#This Row],[Xlookup Region ID]],GEONames[GEOID],GEONames[GEO Name])</f>
        <v>NAM</v>
      </c>
      <c r="H438" s="2" t="str">
        <f>"Q"&amp;ROUNDUP(MONTH(Table2[[#This Row],[Date]])/3,0)&amp;" "&amp;YEAR(Table2[[#This Row],[Date]])</f>
        <v>Q4 2024</v>
      </c>
      <c r="I438" s="2" t="str">
        <f>VLOOKUP(Table2[[#This Row],[Date]],Table7[],3)</f>
        <v>Q4 2024</v>
      </c>
    </row>
    <row r="439" spans="1:9" x14ac:dyDescent="0.25">
      <c r="A439" s="3" t="s">
        <v>48</v>
      </c>
      <c r="B439" s="3">
        <v>45626</v>
      </c>
      <c r="C439" s="6">
        <v>1488</v>
      </c>
      <c r="D439" s="2">
        <f>LEN(Table2[[#This Row],[CLID]])</f>
        <v>7</v>
      </c>
      <c r="E439" s="2" t="str">
        <f>_xlfn.XLOOKUP('Volume Data'!A:A,'Geo Data'!D:D,'Geo Data'!B:B)</f>
        <v>GEO1001</v>
      </c>
      <c r="F439" s="2" t="str">
        <f>INDEX(GeoByClient[GEOID],MATCH(Table2[[#This Row],[CLID]],GeoByClient[Right],0))</f>
        <v>GEO1001</v>
      </c>
      <c r="G439" s="2" t="str">
        <f>_xlfn.XLOOKUP(Table2[[#This Row],[Xlookup Region ID]],GEONames[GEOID],GEONames[GEO Name])</f>
        <v>NAM</v>
      </c>
      <c r="H439" s="2" t="str">
        <f>"Q"&amp;ROUNDUP(MONTH(Table2[[#This Row],[Date]])/3,0)&amp;" "&amp;YEAR(Table2[[#This Row],[Date]])</f>
        <v>Q4 2024</v>
      </c>
      <c r="I439" s="2" t="str">
        <f>VLOOKUP(Table2[[#This Row],[Date]],Table7[],3)</f>
        <v>Q4 2024</v>
      </c>
    </row>
    <row r="440" spans="1:9" x14ac:dyDescent="0.25">
      <c r="A440" s="3" t="s">
        <v>48</v>
      </c>
      <c r="B440" s="3">
        <v>45657</v>
      </c>
      <c r="C440" s="6">
        <v>1489</v>
      </c>
      <c r="D440" s="2">
        <f>LEN(Table2[[#This Row],[CLID]])</f>
        <v>7</v>
      </c>
      <c r="E440" s="2" t="str">
        <f>_xlfn.XLOOKUP('Volume Data'!A:A,'Geo Data'!D:D,'Geo Data'!B:B)</f>
        <v>GEO1001</v>
      </c>
      <c r="F440" s="2" t="str">
        <f>INDEX(GeoByClient[GEOID],MATCH(Table2[[#This Row],[CLID]],GeoByClient[Right],0))</f>
        <v>GEO1001</v>
      </c>
      <c r="G440" s="2" t="str">
        <f>_xlfn.XLOOKUP(Table2[[#This Row],[Xlookup Region ID]],GEONames[GEOID],GEONames[GEO Name])</f>
        <v>NAM</v>
      </c>
      <c r="H440" s="2" t="str">
        <f>"Q"&amp;ROUNDUP(MONTH(Table2[[#This Row],[Date]])/3,0)&amp;" "&amp;YEAR(Table2[[#This Row],[Date]])</f>
        <v>Q4 2024</v>
      </c>
      <c r="I440" s="2" t="str">
        <f>VLOOKUP(Table2[[#This Row],[Date]],Table7[],3)</f>
        <v>Q4 2024</v>
      </c>
    </row>
    <row r="441" spans="1:9" x14ac:dyDescent="0.25">
      <c r="A441" s="3" t="s">
        <v>48</v>
      </c>
      <c r="B441" s="3">
        <v>45838</v>
      </c>
      <c r="C441" s="6">
        <v>1551</v>
      </c>
      <c r="D441" s="2">
        <f>LEN(Table2[[#This Row],[CLID]])</f>
        <v>7</v>
      </c>
      <c r="E441" s="2" t="str">
        <f>_xlfn.XLOOKUP('Volume Data'!A:A,'Geo Data'!D:D,'Geo Data'!B:B)</f>
        <v>GEO1001</v>
      </c>
      <c r="F441" s="2" t="str">
        <f>INDEX(GeoByClient[GEOID],MATCH(Table2[[#This Row],[CLID]],GeoByClient[Right],0))</f>
        <v>GEO1001</v>
      </c>
      <c r="G441" s="2" t="str">
        <f>_xlfn.XLOOKUP(Table2[[#This Row],[Xlookup Region ID]],GEONames[GEOID],GEONames[GEO Name])</f>
        <v>NAM</v>
      </c>
      <c r="H441" s="2" t="str">
        <f>"Q"&amp;ROUNDUP(MONTH(Table2[[#This Row],[Date]])/3,0)&amp;" "&amp;YEAR(Table2[[#This Row],[Date]])</f>
        <v>Q2 2025</v>
      </c>
      <c r="I441" s="2" t="str">
        <f>VLOOKUP(Table2[[#This Row],[Date]],Table7[],3)</f>
        <v>Q2 2025</v>
      </c>
    </row>
    <row r="442" spans="1:9" x14ac:dyDescent="0.25">
      <c r="A442" s="3" t="s">
        <v>48</v>
      </c>
      <c r="B442" s="3">
        <v>45808</v>
      </c>
      <c r="C442" s="6">
        <v>2067</v>
      </c>
      <c r="D442" s="2">
        <f>LEN(Table2[[#This Row],[CLID]])</f>
        <v>7</v>
      </c>
      <c r="E442" s="2" t="str">
        <f>_xlfn.XLOOKUP('Volume Data'!A:A,'Geo Data'!D:D,'Geo Data'!B:B)</f>
        <v>GEO1001</v>
      </c>
      <c r="F442" s="2" t="str">
        <f>INDEX(GeoByClient[GEOID],MATCH(Table2[[#This Row],[CLID]],GeoByClient[Right],0))</f>
        <v>GEO1001</v>
      </c>
      <c r="G442" s="2" t="str">
        <f>_xlfn.XLOOKUP(Table2[[#This Row],[Xlookup Region ID]],GEONames[GEOID],GEONames[GEO Name])</f>
        <v>NAM</v>
      </c>
      <c r="H442" s="2" t="str">
        <f>"Q"&amp;ROUNDUP(MONTH(Table2[[#This Row],[Date]])/3,0)&amp;" "&amp;YEAR(Table2[[#This Row],[Date]])</f>
        <v>Q2 2025</v>
      </c>
      <c r="I442" s="2" t="str">
        <f>VLOOKUP(Table2[[#This Row],[Date]],Table7[],3)</f>
        <v>Q2 2025</v>
      </c>
    </row>
    <row r="443" spans="1:9" x14ac:dyDescent="0.25">
      <c r="A443" s="3" t="s">
        <v>48</v>
      </c>
      <c r="B443" s="3">
        <v>45777</v>
      </c>
      <c r="C443" s="6">
        <v>2277</v>
      </c>
      <c r="D443" s="2">
        <f>LEN(Table2[[#This Row],[CLID]])</f>
        <v>7</v>
      </c>
      <c r="E443" s="2" t="str">
        <f>_xlfn.XLOOKUP('Volume Data'!A:A,'Geo Data'!D:D,'Geo Data'!B:B)</f>
        <v>GEO1001</v>
      </c>
      <c r="F443" s="2" t="str">
        <f>INDEX(GeoByClient[GEOID],MATCH(Table2[[#This Row],[CLID]],GeoByClient[Right],0))</f>
        <v>GEO1001</v>
      </c>
      <c r="G443" s="2" t="str">
        <f>_xlfn.XLOOKUP(Table2[[#This Row],[Xlookup Region ID]],GEONames[GEOID],GEONames[GEO Name])</f>
        <v>NAM</v>
      </c>
      <c r="H443" s="2" t="str">
        <f>"Q"&amp;ROUNDUP(MONTH(Table2[[#This Row],[Date]])/3,0)&amp;" "&amp;YEAR(Table2[[#This Row],[Date]])</f>
        <v>Q2 2025</v>
      </c>
      <c r="I443" s="2" t="str">
        <f>VLOOKUP(Table2[[#This Row],[Date]],Table7[],3)</f>
        <v>Q2 2025</v>
      </c>
    </row>
    <row r="444" spans="1:9" x14ac:dyDescent="0.25">
      <c r="A444" s="3" t="s">
        <v>48</v>
      </c>
      <c r="B444" s="3">
        <v>45747</v>
      </c>
      <c r="C444" s="6">
        <v>1854</v>
      </c>
      <c r="D444" s="2">
        <f>LEN(Table2[[#This Row],[CLID]])</f>
        <v>7</v>
      </c>
      <c r="E444" s="2" t="str">
        <f>_xlfn.XLOOKUP('Volume Data'!A:A,'Geo Data'!D:D,'Geo Data'!B:B)</f>
        <v>GEO1001</v>
      </c>
      <c r="F444" s="2" t="str">
        <f>INDEX(GeoByClient[GEOID],MATCH(Table2[[#This Row],[CLID]],GeoByClient[Right],0))</f>
        <v>GEO1001</v>
      </c>
      <c r="G444" s="2" t="str">
        <f>_xlfn.XLOOKUP(Table2[[#This Row],[Xlookup Region ID]],GEONames[GEOID],GEONames[GEO Name])</f>
        <v>NAM</v>
      </c>
      <c r="H444" s="2" t="str">
        <f>"Q"&amp;ROUNDUP(MONTH(Table2[[#This Row],[Date]])/3,0)&amp;" "&amp;YEAR(Table2[[#This Row],[Date]])</f>
        <v>Q1 2025</v>
      </c>
      <c r="I444" s="2" t="str">
        <f>VLOOKUP(Table2[[#This Row],[Date]],Table7[],3)</f>
        <v>Q4 2024</v>
      </c>
    </row>
    <row r="445" spans="1:9" x14ac:dyDescent="0.25">
      <c r="A445" s="3" t="s">
        <v>48</v>
      </c>
      <c r="B445" s="3">
        <v>45716</v>
      </c>
      <c r="C445" s="6">
        <v>1665</v>
      </c>
      <c r="D445" s="2">
        <f>LEN(Table2[[#This Row],[CLID]])</f>
        <v>7</v>
      </c>
      <c r="E445" s="2" t="str">
        <f>_xlfn.XLOOKUP('Volume Data'!A:A,'Geo Data'!D:D,'Geo Data'!B:B)</f>
        <v>GEO1001</v>
      </c>
      <c r="F445" s="2" t="str">
        <f>INDEX(GeoByClient[GEOID],MATCH(Table2[[#This Row],[CLID]],GeoByClient[Right],0))</f>
        <v>GEO1001</v>
      </c>
      <c r="G445" s="2" t="str">
        <f>_xlfn.XLOOKUP(Table2[[#This Row],[Xlookup Region ID]],GEONames[GEOID],GEONames[GEO Name])</f>
        <v>NAM</v>
      </c>
      <c r="H445" s="2" t="str">
        <f>"Q"&amp;ROUNDUP(MONTH(Table2[[#This Row],[Date]])/3,0)&amp;" "&amp;YEAR(Table2[[#This Row],[Date]])</f>
        <v>Q1 2025</v>
      </c>
      <c r="I445" s="2" t="str">
        <f>VLOOKUP(Table2[[#This Row],[Date]],Table7[],3)</f>
        <v>Q4 2024</v>
      </c>
    </row>
    <row r="446" spans="1:9" x14ac:dyDescent="0.25">
      <c r="A446" s="3" t="s">
        <v>48</v>
      </c>
      <c r="B446" s="3">
        <v>45688</v>
      </c>
      <c r="C446" s="6">
        <v>1516</v>
      </c>
      <c r="D446" s="2">
        <f>LEN(Table2[[#This Row],[CLID]])</f>
        <v>7</v>
      </c>
      <c r="E446" s="2" t="str">
        <f>_xlfn.XLOOKUP('Volume Data'!A:A,'Geo Data'!D:D,'Geo Data'!B:B)</f>
        <v>GEO1001</v>
      </c>
      <c r="F446" s="2" t="str">
        <f>INDEX(GeoByClient[GEOID],MATCH(Table2[[#This Row],[CLID]],GeoByClient[Right],0))</f>
        <v>GEO1001</v>
      </c>
      <c r="G446" s="2" t="str">
        <f>_xlfn.XLOOKUP(Table2[[#This Row],[Xlookup Region ID]],GEONames[GEOID],GEONames[GEO Name])</f>
        <v>NAM</v>
      </c>
      <c r="H446" s="2" t="str">
        <f>"Q"&amp;ROUNDUP(MONTH(Table2[[#This Row],[Date]])/3,0)&amp;" "&amp;YEAR(Table2[[#This Row],[Date]])</f>
        <v>Q1 2025</v>
      </c>
      <c r="I446" s="2" t="str">
        <f>VLOOKUP(Table2[[#This Row],[Date]],Table7[],3)</f>
        <v>Q4 2024</v>
      </c>
    </row>
    <row r="447" spans="1:9" x14ac:dyDescent="0.25">
      <c r="A447" s="3" t="s">
        <v>24</v>
      </c>
      <c r="B447" s="3">
        <v>45322</v>
      </c>
      <c r="C447" s="6">
        <v>644</v>
      </c>
      <c r="D447" s="2">
        <f>LEN(Table2[[#This Row],[CLID]])</f>
        <v>7</v>
      </c>
      <c r="E447" s="2" t="str">
        <f>_xlfn.XLOOKUP('Volume Data'!A:A,'Geo Data'!D:D,'Geo Data'!B:B)</f>
        <v>GEO1002</v>
      </c>
      <c r="F447" s="2" t="str">
        <f>INDEX(GeoByClient[GEOID],MATCH(Table2[[#This Row],[CLID]],GeoByClient[Right],0))</f>
        <v>GEO1002</v>
      </c>
      <c r="G447" s="2" t="str">
        <f>_xlfn.XLOOKUP(Table2[[#This Row],[Xlookup Region ID]],GEONames[GEOID],GEONames[GEO Name])</f>
        <v>APAC</v>
      </c>
      <c r="H447" s="2" t="str">
        <f>"Q"&amp;ROUNDUP(MONTH(Table2[[#This Row],[Date]])/3,0)&amp;" "&amp;YEAR(Table2[[#This Row],[Date]])</f>
        <v>Q1 2024</v>
      </c>
      <c r="I447" s="2" t="str">
        <f>VLOOKUP(Table2[[#This Row],[Date]],Table7[],3)</f>
        <v>Q1 2024</v>
      </c>
    </row>
    <row r="448" spans="1:9" x14ac:dyDescent="0.25">
      <c r="A448" s="3" t="s">
        <v>24</v>
      </c>
      <c r="B448" s="3">
        <v>45351</v>
      </c>
      <c r="C448" s="6">
        <v>814</v>
      </c>
      <c r="D448" s="2">
        <f>LEN(Table2[[#This Row],[CLID]])</f>
        <v>7</v>
      </c>
      <c r="E448" s="2" t="str">
        <f>_xlfn.XLOOKUP('Volume Data'!A:A,'Geo Data'!D:D,'Geo Data'!B:B)</f>
        <v>GEO1002</v>
      </c>
      <c r="F448" s="2" t="str">
        <f>INDEX(GeoByClient[GEOID],MATCH(Table2[[#This Row],[CLID]],GeoByClient[Right],0))</f>
        <v>GEO1002</v>
      </c>
      <c r="G448" s="2" t="str">
        <f>_xlfn.XLOOKUP(Table2[[#This Row],[Xlookup Region ID]],GEONames[GEOID],GEONames[GEO Name])</f>
        <v>APAC</v>
      </c>
      <c r="H448" s="2" t="str">
        <f>"Q"&amp;ROUNDUP(MONTH(Table2[[#This Row],[Date]])/3,0)&amp;" "&amp;YEAR(Table2[[#This Row],[Date]])</f>
        <v>Q1 2024</v>
      </c>
      <c r="I448" s="2" t="str">
        <f>VLOOKUP(Table2[[#This Row],[Date]],Table7[],3)</f>
        <v>Q1 2024</v>
      </c>
    </row>
    <row r="449" spans="1:9" x14ac:dyDescent="0.25">
      <c r="A449" s="3" t="s">
        <v>24</v>
      </c>
      <c r="B449" s="3">
        <v>45382</v>
      </c>
      <c r="C449" s="6">
        <v>814</v>
      </c>
      <c r="D449" s="2">
        <f>LEN(Table2[[#This Row],[CLID]])</f>
        <v>7</v>
      </c>
      <c r="E449" s="2" t="str">
        <f>_xlfn.XLOOKUP('Volume Data'!A:A,'Geo Data'!D:D,'Geo Data'!B:B)</f>
        <v>GEO1002</v>
      </c>
      <c r="F449" s="2" t="str">
        <f>INDEX(GeoByClient[GEOID],MATCH(Table2[[#This Row],[CLID]],GeoByClient[Right],0))</f>
        <v>GEO1002</v>
      </c>
      <c r="G449" s="2" t="str">
        <f>_xlfn.XLOOKUP(Table2[[#This Row],[Xlookup Region ID]],GEONames[GEOID],GEONames[GEO Name])</f>
        <v>APAC</v>
      </c>
      <c r="H449" s="2" t="str">
        <f>"Q"&amp;ROUNDUP(MONTH(Table2[[#This Row],[Date]])/3,0)&amp;" "&amp;YEAR(Table2[[#This Row],[Date]])</f>
        <v>Q1 2024</v>
      </c>
      <c r="I449" s="2" t="str">
        <f>VLOOKUP(Table2[[#This Row],[Date]],Table7[],3)</f>
        <v>Q1 2024</v>
      </c>
    </row>
    <row r="450" spans="1:9" x14ac:dyDescent="0.25">
      <c r="A450" s="3" t="s">
        <v>24</v>
      </c>
      <c r="B450" s="3">
        <v>45412</v>
      </c>
      <c r="C450" s="6">
        <v>1068</v>
      </c>
      <c r="D450" s="2">
        <f>LEN(Table2[[#This Row],[CLID]])</f>
        <v>7</v>
      </c>
      <c r="E450" s="2" t="str">
        <f>_xlfn.XLOOKUP('Volume Data'!A:A,'Geo Data'!D:D,'Geo Data'!B:B)</f>
        <v>GEO1002</v>
      </c>
      <c r="F450" s="2" t="str">
        <f>INDEX(GeoByClient[GEOID],MATCH(Table2[[#This Row],[CLID]],GeoByClient[Right],0))</f>
        <v>GEO1002</v>
      </c>
      <c r="G450" s="2" t="str">
        <f>_xlfn.XLOOKUP(Table2[[#This Row],[Xlookup Region ID]],GEONames[GEOID],GEONames[GEO Name])</f>
        <v>APAC</v>
      </c>
      <c r="H450" s="2" t="str">
        <f>"Q"&amp;ROUNDUP(MONTH(Table2[[#This Row],[Date]])/3,0)&amp;" "&amp;YEAR(Table2[[#This Row],[Date]])</f>
        <v>Q2 2024</v>
      </c>
      <c r="I450" s="2" t="str">
        <f>VLOOKUP(Table2[[#This Row],[Date]],Table7[],3)</f>
        <v>Q2 2024</v>
      </c>
    </row>
    <row r="451" spans="1:9" x14ac:dyDescent="0.25">
      <c r="A451" s="3" t="s">
        <v>24</v>
      </c>
      <c r="B451" s="3">
        <v>45443</v>
      </c>
      <c r="C451" s="6">
        <v>899</v>
      </c>
      <c r="D451" s="2">
        <f>LEN(Table2[[#This Row],[CLID]])</f>
        <v>7</v>
      </c>
      <c r="E451" s="2" t="str">
        <f>_xlfn.XLOOKUP('Volume Data'!A:A,'Geo Data'!D:D,'Geo Data'!B:B)</f>
        <v>GEO1002</v>
      </c>
      <c r="F451" s="2" t="str">
        <f>INDEX(GeoByClient[GEOID],MATCH(Table2[[#This Row],[CLID]],GeoByClient[Right],0))</f>
        <v>GEO1002</v>
      </c>
      <c r="G451" s="2" t="str">
        <f>_xlfn.XLOOKUP(Table2[[#This Row],[Xlookup Region ID]],GEONames[GEOID],GEONames[GEO Name])</f>
        <v>APAC</v>
      </c>
      <c r="H451" s="2" t="str">
        <f>"Q"&amp;ROUNDUP(MONTH(Table2[[#This Row],[Date]])/3,0)&amp;" "&amp;YEAR(Table2[[#This Row],[Date]])</f>
        <v>Q2 2024</v>
      </c>
      <c r="I451" s="2" t="str">
        <f>VLOOKUP(Table2[[#This Row],[Date]],Table7[],3)</f>
        <v>Q2 2024</v>
      </c>
    </row>
    <row r="452" spans="1:9" x14ac:dyDescent="0.25">
      <c r="A452" s="3" t="s">
        <v>24</v>
      </c>
      <c r="B452" s="3">
        <v>45473</v>
      </c>
      <c r="C452" s="6">
        <v>732</v>
      </c>
      <c r="D452" s="2">
        <f>LEN(Table2[[#This Row],[CLID]])</f>
        <v>7</v>
      </c>
      <c r="E452" s="2" t="str">
        <f>_xlfn.XLOOKUP('Volume Data'!A:A,'Geo Data'!D:D,'Geo Data'!B:B)</f>
        <v>GEO1002</v>
      </c>
      <c r="F452" s="2" t="str">
        <f>INDEX(GeoByClient[GEOID],MATCH(Table2[[#This Row],[CLID]],GeoByClient[Right],0))</f>
        <v>GEO1002</v>
      </c>
      <c r="G452" s="2" t="str">
        <f>_xlfn.XLOOKUP(Table2[[#This Row],[Xlookup Region ID]],GEONames[GEOID],GEONames[GEO Name])</f>
        <v>APAC</v>
      </c>
      <c r="H452" s="2" t="str">
        <f>"Q"&amp;ROUNDUP(MONTH(Table2[[#This Row],[Date]])/3,0)&amp;" "&amp;YEAR(Table2[[#This Row],[Date]])</f>
        <v>Q2 2024</v>
      </c>
      <c r="I452" s="2" t="str">
        <f>VLOOKUP(Table2[[#This Row],[Date]],Table7[],3)</f>
        <v>Q2 2024</v>
      </c>
    </row>
    <row r="453" spans="1:9" x14ac:dyDescent="0.25">
      <c r="A453" s="3" t="s">
        <v>24</v>
      </c>
      <c r="B453" s="3">
        <v>45504</v>
      </c>
      <c r="C453" s="6">
        <v>560</v>
      </c>
      <c r="D453" s="2">
        <f>LEN(Table2[[#This Row],[CLID]])</f>
        <v>7</v>
      </c>
      <c r="E453" s="2" t="str">
        <f>_xlfn.XLOOKUP('Volume Data'!A:A,'Geo Data'!D:D,'Geo Data'!B:B)</f>
        <v>GEO1002</v>
      </c>
      <c r="F453" s="2" t="str">
        <f>INDEX(GeoByClient[GEOID],MATCH(Table2[[#This Row],[CLID]],GeoByClient[Right],0))</f>
        <v>GEO1002</v>
      </c>
      <c r="G453" s="2" t="str">
        <f>_xlfn.XLOOKUP(Table2[[#This Row],[Xlookup Region ID]],GEONames[GEOID],GEONames[GEO Name])</f>
        <v>APAC</v>
      </c>
      <c r="H453" s="2" t="str">
        <f>"Q"&amp;ROUNDUP(MONTH(Table2[[#This Row],[Date]])/3,0)&amp;" "&amp;YEAR(Table2[[#This Row],[Date]])</f>
        <v>Q3 2024</v>
      </c>
      <c r="I453" s="2" t="str">
        <f>VLOOKUP(Table2[[#This Row],[Date]],Table7[],3)</f>
        <v>Q3 2024</v>
      </c>
    </row>
    <row r="454" spans="1:9" x14ac:dyDescent="0.25">
      <c r="A454" s="3" t="s">
        <v>24</v>
      </c>
      <c r="B454" s="3">
        <v>45535</v>
      </c>
      <c r="C454" s="6">
        <v>557</v>
      </c>
      <c r="D454" s="2">
        <f>LEN(Table2[[#This Row],[CLID]])</f>
        <v>7</v>
      </c>
      <c r="E454" s="2" t="str">
        <f>_xlfn.XLOOKUP('Volume Data'!A:A,'Geo Data'!D:D,'Geo Data'!B:B)</f>
        <v>GEO1002</v>
      </c>
      <c r="F454" s="2" t="str">
        <f>INDEX(GeoByClient[GEOID],MATCH(Table2[[#This Row],[CLID]],GeoByClient[Right],0))</f>
        <v>GEO1002</v>
      </c>
      <c r="G454" s="2" t="str">
        <f>_xlfn.XLOOKUP(Table2[[#This Row],[Xlookup Region ID]],GEONames[GEOID],GEONames[GEO Name])</f>
        <v>APAC</v>
      </c>
      <c r="H454" s="2" t="str">
        <f>"Q"&amp;ROUNDUP(MONTH(Table2[[#This Row],[Date]])/3,0)&amp;" "&amp;YEAR(Table2[[#This Row],[Date]])</f>
        <v>Q3 2024</v>
      </c>
      <c r="I454" s="2" t="str">
        <f>VLOOKUP(Table2[[#This Row],[Date]],Table7[],3)</f>
        <v>Q3 2024</v>
      </c>
    </row>
    <row r="455" spans="1:9" x14ac:dyDescent="0.25">
      <c r="A455" s="3" t="s">
        <v>24</v>
      </c>
      <c r="B455" s="3">
        <v>45565</v>
      </c>
      <c r="C455" s="6">
        <v>473</v>
      </c>
      <c r="D455" s="2">
        <f>LEN(Table2[[#This Row],[CLID]])</f>
        <v>7</v>
      </c>
      <c r="E455" s="2" t="str">
        <f>_xlfn.XLOOKUP('Volume Data'!A:A,'Geo Data'!D:D,'Geo Data'!B:B)</f>
        <v>GEO1002</v>
      </c>
      <c r="F455" s="2" t="str">
        <f>INDEX(GeoByClient[GEOID],MATCH(Table2[[#This Row],[CLID]],GeoByClient[Right],0))</f>
        <v>GEO1002</v>
      </c>
      <c r="G455" s="2" t="str">
        <f>_xlfn.XLOOKUP(Table2[[#This Row],[Xlookup Region ID]],GEONames[GEOID],GEONames[GEO Name])</f>
        <v>APAC</v>
      </c>
      <c r="H455" s="2" t="str">
        <f>"Q"&amp;ROUNDUP(MONTH(Table2[[#This Row],[Date]])/3,0)&amp;" "&amp;YEAR(Table2[[#This Row],[Date]])</f>
        <v>Q3 2024</v>
      </c>
      <c r="I455" s="2" t="str">
        <f>VLOOKUP(Table2[[#This Row],[Date]],Table7[],3)</f>
        <v>Q3 2024</v>
      </c>
    </row>
    <row r="456" spans="1:9" x14ac:dyDescent="0.25">
      <c r="A456" s="3" t="s">
        <v>24</v>
      </c>
      <c r="B456" s="3">
        <v>45596</v>
      </c>
      <c r="C456" s="6">
        <v>645</v>
      </c>
      <c r="D456" s="2">
        <f>LEN(Table2[[#This Row],[CLID]])</f>
        <v>7</v>
      </c>
      <c r="E456" s="2" t="str">
        <f>_xlfn.XLOOKUP('Volume Data'!A:A,'Geo Data'!D:D,'Geo Data'!B:B)</f>
        <v>GEO1002</v>
      </c>
      <c r="F456" s="2" t="str">
        <f>INDEX(GeoByClient[GEOID],MATCH(Table2[[#This Row],[CLID]],GeoByClient[Right],0))</f>
        <v>GEO1002</v>
      </c>
      <c r="G456" s="2" t="str">
        <f>_xlfn.XLOOKUP(Table2[[#This Row],[Xlookup Region ID]],GEONames[GEOID],GEONames[GEO Name])</f>
        <v>APAC</v>
      </c>
      <c r="H456" s="2" t="str">
        <f>"Q"&amp;ROUNDUP(MONTH(Table2[[#This Row],[Date]])/3,0)&amp;" "&amp;YEAR(Table2[[#This Row],[Date]])</f>
        <v>Q4 2024</v>
      </c>
      <c r="I456" s="2" t="str">
        <f>VLOOKUP(Table2[[#This Row],[Date]],Table7[],3)</f>
        <v>Q4 2024</v>
      </c>
    </row>
    <row r="457" spans="1:9" x14ac:dyDescent="0.25">
      <c r="A457" s="3" t="s">
        <v>24</v>
      </c>
      <c r="B457" s="3">
        <v>45626</v>
      </c>
      <c r="C457" s="6">
        <v>643</v>
      </c>
      <c r="D457" s="2">
        <f>LEN(Table2[[#This Row],[CLID]])</f>
        <v>7</v>
      </c>
      <c r="E457" s="2" t="str">
        <f>_xlfn.XLOOKUP('Volume Data'!A:A,'Geo Data'!D:D,'Geo Data'!B:B)</f>
        <v>GEO1002</v>
      </c>
      <c r="F457" s="2" t="str">
        <f>INDEX(GeoByClient[GEOID],MATCH(Table2[[#This Row],[CLID]],GeoByClient[Right],0))</f>
        <v>GEO1002</v>
      </c>
      <c r="G457" s="2" t="str">
        <f>_xlfn.XLOOKUP(Table2[[#This Row],[Xlookup Region ID]],GEONames[GEOID],GEONames[GEO Name])</f>
        <v>APAC</v>
      </c>
      <c r="H457" s="2" t="str">
        <f>"Q"&amp;ROUNDUP(MONTH(Table2[[#This Row],[Date]])/3,0)&amp;" "&amp;YEAR(Table2[[#This Row],[Date]])</f>
        <v>Q4 2024</v>
      </c>
      <c r="I457" s="2" t="str">
        <f>VLOOKUP(Table2[[#This Row],[Date]],Table7[],3)</f>
        <v>Q4 2024</v>
      </c>
    </row>
    <row r="458" spans="1:9" x14ac:dyDescent="0.25">
      <c r="A458" s="3" t="s">
        <v>24</v>
      </c>
      <c r="B458" s="3">
        <v>45657</v>
      </c>
      <c r="C458" s="6">
        <v>726</v>
      </c>
      <c r="D458" s="2">
        <f>LEN(Table2[[#This Row],[CLID]])</f>
        <v>7</v>
      </c>
      <c r="E458" s="2" t="str">
        <f>_xlfn.XLOOKUP('Volume Data'!A:A,'Geo Data'!D:D,'Geo Data'!B:B)</f>
        <v>GEO1002</v>
      </c>
      <c r="F458" s="2" t="str">
        <f>INDEX(GeoByClient[GEOID],MATCH(Table2[[#This Row],[CLID]],GeoByClient[Right],0))</f>
        <v>GEO1002</v>
      </c>
      <c r="G458" s="2" t="str">
        <f>_xlfn.XLOOKUP(Table2[[#This Row],[Xlookup Region ID]],GEONames[GEOID],GEONames[GEO Name])</f>
        <v>APAC</v>
      </c>
      <c r="H458" s="2" t="str">
        <f>"Q"&amp;ROUNDUP(MONTH(Table2[[#This Row],[Date]])/3,0)&amp;" "&amp;YEAR(Table2[[#This Row],[Date]])</f>
        <v>Q4 2024</v>
      </c>
      <c r="I458" s="2" t="str">
        <f>VLOOKUP(Table2[[#This Row],[Date]],Table7[],3)</f>
        <v>Q4 2024</v>
      </c>
    </row>
    <row r="459" spans="1:9" x14ac:dyDescent="0.25">
      <c r="A459" s="3" t="s">
        <v>24</v>
      </c>
      <c r="B459" s="3">
        <v>45838</v>
      </c>
      <c r="C459" s="6">
        <v>755</v>
      </c>
      <c r="D459" s="2">
        <f>LEN(Table2[[#This Row],[CLID]])</f>
        <v>7</v>
      </c>
      <c r="E459" s="2" t="str">
        <f>_xlfn.XLOOKUP('Volume Data'!A:A,'Geo Data'!D:D,'Geo Data'!B:B)</f>
        <v>GEO1002</v>
      </c>
      <c r="F459" s="2" t="str">
        <f>INDEX(GeoByClient[GEOID],MATCH(Table2[[#This Row],[CLID]],GeoByClient[Right],0))</f>
        <v>GEO1002</v>
      </c>
      <c r="G459" s="2" t="str">
        <f>_xlfn.XLOOKUP(Table2[[#This Row],[Xlookup Region ID]],GEONames[GEOID],GEONames[GEO Name])</f>
        <v>APAC</v>
      </c>
      <c r="H459" s="2" t="str">
        <f>"Q"&amp;ROUNDUP(MONTH(Table2[[#This Row],[Date]])/3,0)&amp;" "&amp;YEAR(Table2[[#This Row],[Date]])</f>
        <v>Q2 2025</v>
      </c>
      <c r="I459" s="2" t="str">
        <f>VLOOKUP(Table2[[#This Row],[Date]],Table7[],3)</f>
        <v>Q2 2025</v>
      </c>
    </row>
    <row r="460" spans="1:9" x14ac:dyDescent="0.25">
      <c r="A460" s="3" t="s">
        <v>24</v>
      </c>
      <c r="B460" s="3">
        <v>45808</v>
      </c>
      <c r="C460" s="6">
        <v>892</v>
      </c>
      <c r="D460" s="2">
        <f>LEN(Table2[[#This Row],[CLID]])</f>
        <v>7</v>
      </c>
      <c r="E460" s="2" t="str">
        <f>_xlfn.XLOOKUP('Volume Data'!A:A,'Geo Data'!D:D,'Geo Data'!B:B)</f>
        <v>GEO1002</v>
      </c>
      <c r="F460" s="2" t="str">
        <f>INDEX(GeoByClient[GEOID],MATCH(Table2[[#This Row],[CLID]],GeoByClient[Right],0))</f>
        <v>GEO1002</v>
      </c>
      <c r="G460" s="2" t="str">
        <f>_xlfn.XLOOKUP(Table2[[#This Row],[Xlookup Region ID]],GEONames[GEOID],GEONames[GEO Name])</f>
        <v>APAC</v>
      </c>
      <c r="H460" s="2" t="str">
        <f>"Q"&amp;ROUNDUP(MONTH(Table2[[#This Row],[Date]])/3,0)&amp;" "&amp;YEAR(Table2[[#This Row],[Date]])</f>
        <v>Q2 2025</v>
      </c>
      <c r="I460" s="2" t="str">
        <f>VLOOKUP(Table2[[#This Row],[Date]],Table7[],3)</f>
        <v>Q2 2025</v>
      </c>
    </row>
    <row r="461" spans="1:9" x14ac:dyDescent="0.25">
      <c r="A461" s="3" t="s">
        <v>24</v>
      </c>
      <c r="B461" s="3">
        <v>45777</v>
      </c>
      <c r="C461" s="6">
        <v>1125</v>
      </c>
      <c r="D461" s="2">
        <f>LEN(Table2[[#This Row],[CLID]])</f>
        <v>7</v>
      </c>
      <c r="E461" s="2" t="str">
        <f>_xlfn.XLOOKUP('Volume Data'!A:A,'Geo Data'!D:D,'Geo Data'!B:B)</f>
        <v>GEO1002</v>
      </c>
      <c r="F461" s="2" t="str">
        <f>INDEX(GeoByClient[GEOID],MATCH(Table2[[#This Row],[CLID]],GeoByClient[Right],0))</f>
        <v>GEO1002</v>
      </c>
      <c r="G461" s="2" t="str">
        <f>_xlfn.XLOOKUP(Table2[[#This Row],[Xlookup Region ID]],GEONames[GEOID],GEONames[GEO Name])</f>
        <v>APAC</v>
      </c>
      <c r="H461" s="2" t="str">
        <f>"Q"&amp;ROUNDUP(MONTH(Table2[[#This Row],[Date]])/3,0)&amp;" "&amp;YEAR(Table2[[#This Row],[Date]])</f>
        <v>Q2 2025</v>
      </c>
      <c r="I461" s="2" t="str">
        <f>VLOOKUP(Table2[[#This Row],[Date]],Table7[],3)</f>
        <v>Q2 2025</v>
      </c>
    </row>
    <row r="462" spans="1:9" x14ac:dyDescent="0.25">
      <c r="A462" s="3" t="s">
        <v>24</v>
      </c>
      <c r="B462" s="3">
        <v>45747</v>
      </c>
      <c r="C462" s="6">
        <v>828</v>
      </c>
      <c r="D462" s="2">
        <f>LEN(Table2[[#This Row],[CLID]])</f>
        <v>7</v>
      </c>
      <c r="E462" s="2" t="str">
        <f>_xlfn.XLOOKUP('Volume Data'!A:A,'Geo Data'!D:D,'Geo Data'!B:B)</f>
        <v>GEO1002</v>
      </c>
      <c r="F462" s="2" t="str">
        <f>INDEX(GeoByClient[GEOID],MATCH(Table2[[#This Row],[CLID]],GeoByClient[Right],0))</f>
        <v>GEO1002</v>
      </c>
      <c r="G462" s="2" t="str">
        <f>_xlfn.XLOOKUP(Table2[[#This Row],[Xlookup Region ID]],GEONames[GEOID],GEONames[GEO Name])</f>
        <v>APAC</v>
      </c>
      <c r="H462" s="2" t="str">
        <f>"Q"&amp;ROUNDUP(MONTH(Table2[[#This Row],[Date]])/3,0)&amp;" "&amp;YEAR(Table2[[#This Row],[Date]])</f>
        <v>Q1 2025</v>
      </c>
      <c r="I462" s="2" t="str">
        <f>VLOOKUP(Table2[[#This Row],[Date]],Table7[],3)</f>
        <v>Q4 2024</v>
      </c>
    </row>
    <row r="463" spans="1:9" x14ac:dyDescent="0.25">
      <c r="A463" s="3" t="s">
        <v>24</v>
      </c>
      <c r="B463" s="3">
        <v>45716</v>
      </c>
      <c r="C463" s="6">
        <v>855</v>
      </c>
      <c r="D463" s="2">
        <f>LEN(Table2[[#This Row],[CLID]])</f>
        <v>7</v>
      </c>
      <c r="E463" s="2" t="str">
        <f>_xlfn.XLOOKUP('Volume Data'!A:A,'Geo Data'!D:D,'Geo Data'!B:B)</f>
        <v>GEO1002</v>
      </c>
      <c r="F463" s="2" t="str">
        <f>INDEX(GeoByClient[GEOID],MATCH(Table2[[#This Row],[CLID]],GeoByClient[Right],0))</f>
        <v>GEO1002</v>
      </c>
      <c r="G463" s="2" t="str">
        <f>_xlfn.XLOOKUP(Table2[[#This Row],[Xlookup Region ID]],GEONames[GEOID],GEONames[GEO Name])</f>
        <v>APAC</v>
      </c>
      <c r="H463" s="2" t="str">
        <f>"Q"&amp;ROUNDUP(MONTH(Table2[[#This Row],[Date]])/3,0)&amp;" "&amp;YEAR(Table2[[#This Row],[Date]])</f>
        <v>Q1 2025</v>
      </c>
      <c r="I463" s="2" t="str">
        <f>VLOOKUP(Table2[[#This Row],[Date]],Table7[],3)</f>
        <v>Q4 2024</v>
      </c>
    </row>
    <row r="464" spans="1:9" x14ac:dyDescent="0.25">
      <c r="A464" s="3" t="s">
        <v>24</v>
      </c>
      <c r="B464" s="3">
        <v>45688</v>
      </c>
      <c r="C464" s="6">
        <v>668</v>
      </c>
      <c r="D464" s="2">
        <f>LEN(Table2[[#This Row],[CLID]])</f>
        <v>7</v>
      </c>
      <c r="E464" s="2" t="str">
        <f>_xlfn.XLOOKUP('Volume Data'!A:A,'Geo Data'!D:D,'Geo Data'!B:B)</f>
        <v>GEO1002</v>
      </c>
      <c r="F464" s="2" t="str">
        <f>INDEX(GeoByClient[GEOID],MATCH(Table2[[#This Row],[CLID]],GeoByClient[Right],0))</f>
        <v>GEO1002</v>
      </c>
      <c r="G464" s="2" t="str">
        <f>_xlfn.XLOOKUP(Table2[[#This Row],[Xlookup Region ID]],GEONames[GEOID],GEONames[GEO Name])</f>
        <v>APAC</v>
      </c>
      <c r="H464" s="2" t="str">
        <f>"Q"&amp;ROUNDUP(MONTH(Table2[[#This Row],[Date]])/3,0)&amp;" "&amp;YEAR(Table2[[#This Row],[Date]])</f>
        <v>Q1 2025</v>
      </c>
      <c r="I464" s="2" t="str">
        <f>VLOOKUP(Table2[[#This Row],[Date]],Table7[],3)</f>
        <v>Q4 2024</v>
      </c>
    </row>
    <row r="465" spans="1:9" x14ac:dyDescent="0.25">
      <c r="A465" s="3" t="s">
        <v>52</v>
      </c>
      <c r="B465" s="3">
        <v>45322</v>
      </c>
      <c r="C465" s="6">
        <v>6731</v>
      </c>
      <c r="D465" s="2">
        <f>LEN(Table2[[#This Row],[CLID]])</f>
        <v>7</v>
      </c>
      <c r="E465" s="2" t="str">
        <f>_xlfn.XLOOKUP('Volume Data'!A:A,'Geo Data'!D:D,'Geo Data'!B:B)</f>
        <v>GEO1001</v>
      </c>
      <c r="F465" s="2" t="str">
        <f>INDEX(GeoByClient[GEOID],MATCH(Table2[[#This Row],[CLID]],GeoByClient[Right],0))</f>
        <v>GEO1001</v>
      </c>
      <c r="G465" s="2" t="str">
        <f>_xlfn.XLOOKUP(Table2[[#This Row],[Xlookup Region ID]],GEONames[GEOID],GEONames[GEO Name])</f>
        <v>NAM</v>
      </c>
      <c r="H465" s="2" t="str">
        <f>"Q"&amp;ROUNDUP(MONTH(Table2[[#This Row],[Date]])/3,0)&amp;" "&amp;YEAR(Table2[[#This Row],[Date]])</f>
        <v>Q1 2024</v>
      </c>
      <c r="I465" s="2" t="str">
        <f>VLOOKUP(Table2[[#This Row],[Date]],Table7[],3)</f>
        <v>Q1 2024</v>
      </c>
    </row>
    <row r="466" spans="1:9" x14ac:dyDescent="0.25">
      <c r="A466" s="3" t="s">
        <v>52</v>
      </c>
      <c r="B466" s="3">
        <v>45351</v>
      </c>
      <c r="C466" s="6">
        <v>5312</v>
      </c>
      <c r="D466" s="2">
        <f>LEN(Table2[[#This Row],[CLID]])</f>
        <v>7</v>
      </c>
      <c r="E466" s="2" t="str">
        <f>_xlfn.XLOOKUP('Volume Data'!A:A,'Geo Data'!D:D,'Geo Data'!B:B)</f>
        <v>GEO1001</v>
      </c>
      <c r="F466" s="2" t="str">
        <f>INDEX(GeoByClient[GEOID],MATCH(Table2[[#This Row],[CLID]],GeoByClient[Right],0))</f>
        <v>GEO1001</v>
      </c>
      <c r="G466" s="2" t="str">
        <f>_xlfn.XLOOKUP(Table2[[#This Row],[Xlookup Region ID]],GEONames[GEOID],GEONames[GEO Name])</f>
        <v>NAM</v>
      </c>
      <c r="H466" s="2" t="str">
        <f>"Q"&amp;ROUNDUP(MONTH(Table2[[#This Row],[Date]])/3,0)&amp;" "&amp;YEAR(Table2[[#This Row],[Date]])</f>
        <v>Q1 2024</v>
      </c>
      <c r="I466" s="2" t="str">
        <f>VLOOKUP(Table2[[#This Row],[Date]],Table7[],3)</f>
        <v>Q1 2024</v>
      </c>
    </row>
    <row r="467" spans="1:9" x14ac:dyDescent="0.25">
      <c r="A467" s="3" t="s">
        <v>52</v>
      </c>
      <c r="B467" s="3">
        <v>45382</v>
      </c>
      <c r="C467" s="6">
        <v>8146</v>
      </c>
      <c r="D467" s="2">
        <f>LEN(Table2[[#This Row],[CLID]])</f>
        <v>7</v>
      </c>
      <c r="E467" s="2" t="str">
        <f>_xlfn.XLOOKUP('Volume Data'!A:A,'Geo Data'!D:D,'Geo Data'!B:B)</f>
        <v>GEO1001</v>
      </c>
      <c r="F467" s="2" t="str">
        <f>INDEX(GeoByClient[GEOID],MATCH(Table2[[#This Row],[CLID]],GeoByClient[Right],0))</f>
        <v>GEO1001</v>
      </c>
      <c r="G467" s="2" t="str">
        <f>_xlfn.XLOOKUP(Table2[[#This Row],[Xlookup Region ID]],GEONames[GEOID],GEONames[GEO Name])</f>
        <v>NAM</v>
      </c>
      <c r="H467" s="2" t="str">
        <f>"Q"&amp;ROUNDUP(MONTH(Table2[[#This Row],[Date]])/3,0)&amp;" "&amp;YEAR(Table2[[#This Row],[Date]])</f>
        <v>Q1 2024</v>
      </c>
      <c r="I467" s="2" t="str">
        <f>VLOOKUP(Table2[[#This Row],[Date]],Table7[],3)</f>
        <v>Q1 2024</v>
      </c>
    </row>
    <row r="468" spans="1:9" x14ac:dyDescent="0.25">
      <c r="A468" s="3" t="s">
        <v>52</v>
      </c>
      <c r="B468" s="3">
        <v>45412</v>
      </c>
      <c r="C468" s="6">
        <v>7438</v>
      </c>
      <c r="D468" s="2">
        <f>LEN(Table2[[#This Row],[CLID]])</f>
        <v>7</v>
      </c>
      <c r="E468" s="2" t="str">
        <f>_xlfn.XLOOKUP('Volume Data'!A:A,'Geo Data'!D:D,'Geo Data'!B:B)</f>
        <v>GEO1001</v>
      </c>
      <c r="F468" s="2" t="str">
        <f>INDEX(GeoByClient[GEOID],MATCH(Table2[[#This Row],[CLID]],GeoByClient[Right],0))</f>
        <v>GEO1001</v>
      </c>
      <c r="G468" s="2" t="str">
        <f>_xlfn.XLOOKUP(Table2[[#This Row],[Xlookup Region ID]],GEONames[GEOID],GEONames[GEO Name])</f>
        <v>NAM</v>
      </c>
      <c r="H468" s="2" t="str">
        <f>"Q"&amp;ROUNDUP(MONTH(Table2[[#This Row],[Date]])/3,0)&amp;" "&amp;YEAR(Table2[[#This Row],[Date]])</f>
        <v>Q2 2024</v>
      </c>
      <c r="I468" s="2" t="str">
        <f>VLOOKUP(Table2[[#This Row],[Date]],Table7[],3)</f>
        <v>Q2 2024</v>
      </c>
    </row>
    <row r="469" spans="1:9" x14ac:dyDescent="0.25">
      <c r="A469" s="3" t="s">
        <v>52</v>
      </c>
      <c r="B469" s="3">
        <v>45443</v>
      </c>
      <c r="C469" s="6">
        <v>8850</v>
      </c>
      <c r="D469" s="2">
        <f>LEN(Table2[[#This Row],[CLID]])</f>
        <v>7</v>
      </c>
      <c r="E469" s="2" t="str">
        <f>_xlfn.XLOOKUP('Volume Data'!A:A,'Geo Data'!D:D,'Geo Data'!B:B)</f>
        <v>GEO1001</v>
      </c>
      <c r="F469" s="2" t="str">
        <f>INDEX(GeoByClient[GEOID],MATCH(Table2[[#This Row],[CLID]],GeoByClient[Right],0))</f>
        <v>GEO1001</v>
      </c>
      <c r="G469" s="2" t="str">
        <f>_xlfn.XLOOKUP(Table2[[#This Row],[Xlookup Region ID]],GEONames[GEOID],GEONames[GEO Name])</f>
        <v>NAM</v>
      </c>
      <c r="H469" s="2" t="str">
        <f>"Q"&amp;ROUNDUP(MONTH(Table2[[#This Row],[Date]])/3,0)&amp;" "&amp;YEAR(Table2[[#This Row],[Date]])</f>
        <v>Q2 2024</v>
      </c>
      <c r="I469" s="2" t="str">
        <f>VLOOKUP(Table2[[#This Row],[Date]],Table7[],3)</f>
        <v>Q2 2024</v>
      </c>
    </row>
    <row r="470" spans="1:9" x14ac:dyDescent="0.25">
      <c r="A470" s="3" t="s">
        <v>52</v>
      </c>
      <c r="B470" s="3">
        <v>45473</v>
      </c>
      <c r="C470" s="6">
        <v>4608</v>
      </c>
      <c r="D470" s="2">
        <f>LEN(Table2[[#This Row],[CLID]])</f>
        <v>7</v>
      </c>
      <c r="E470" s="2" t="str">
        <f>_xlfn.XLOOKUP('Volume Data'!A:A,'Geo Data'!D:D,'Geo Data'!B:B)</f>
        <v>GEO1001</v>
      </c>
      <c r="F470" s="2" t="str">
        <f>INDEX(GeoByClient[GEOID],MATCH(Table2[[#This Row],[CLID]],GeoByClient[Right],0))</f>
        <v>GEO1001</v>
      </c>
      <c r="G470" s="2" t="str">
        <f>_xlfn.XLOOKUP(Table2[[#This Row],[Xlookup Region ID]],GEONames[GEOID],GEONames[GEO Name])</f>
        <v>NAM</v>
      </c>
      <c r="H470" s="2" t="str">
        <f>"Q"&amp;ROUNDUP(MONTH(Table2[[#This Row],[Date]])/3,0)&amp;" "&amp;YEAR(Table2[[#This Row],[Date]])</f>
        <v>Q2 2024</v>
      </c>
      <c r="I470" s="2" t="str">
        <f>VLOOKUP(Table2[[#This Row],[Date]],Table7[],3)</f>
        <v>Q2 2024</v>
      </c>
    </row>
    <row r="471" spans="1:9" x14ac:dyDescent="0.25">
      <c r="A471" s="3" t="s">
        <v>52</v>
      </c>
      <c r="B471" s="3">
        <v>45504</v>
      </c>
      <c r="C471" s="6">
        <v>6024</v>
      </c>
      <c r="D471" s="2">
        <f>LEN(Table2[[#This Row],[CLID]])</f>
        <v>7</v>
      </c>
      <c r="E471" s="2" t="str">
        <f>_xlfn.XLOOKUP('Volume Data'!A:A,'Geo Data'!D:D,'Geo Data'!B:B)</f>
        <v>GEO1001</v>
      </c>
      <c r="F471" s="2" t="str">
        <f>INDEX(GeoByClient[GEOID],MATCH(Table2[[#This Row],[CLID]],GeoByClient[Right],0))</f>
        <v>GEO1001</v>
      </c>
      <c r="G471" s="2" t="str">
        <f>_xlfn.XLOOKUP(Table2[[#This Row],[Xlookup Region ID]],GEONames[GEOID],GEONames[GEO Name])</f>
        <v>NAM</v>
      </c>
      <c r="H471" s="2" t="str">
        <f>"Q"&amp;ROUNDUP(MONTH(Table2[[#This Row],[Date]])/3,0)&amp;" "&amp;YEAR(Table2[[#This Row],[Date]])</f>
        <v>Q3 2024</v>
      </c>
      <c r="I471" s="2" t="str">
        <f>VLOOKUP(Table2[[#This Row],[Date]],Table7[],3)</f>
        <v>Q3 2024</v>
      </c>
    </row>
    <row r="472" spans="1:9" x14ac:dyDescent="0.25">
      <c r="A472" s="3" t="s">
        <v>52</v>
      </c>
      <c r="B472" s="3">
        <v>45535</v>
      </c>
      <c r="C472" s="6">
        <v>3188</v>
      </c>
      <c r="D472" s="2">
        <f>LEN(Table2[[#This Row],[CLID]])</f>
        <v>7</v>
      </c>
      <c r="E472" s="2" t="str">
        <f>_xlfn.XLOOKUP('Volume Data'!A:A,'Geo Data'!D:D,'Geo Data'!B:B)</f>
        <v>GEO1001</v>
      </c>
      <c r="F472" s="2" t="str">
        <f>INDEX(GeoByClient[GEOID],MATCH(Table2[[#This Row],[CLID]],GeoByClient[Right],0))</f>
        <v>GEO1001</v>
      </c>
      <c r="G472" s="2" t="str">
        <f>_xlfn.XLOOKUP(Table2[[#This Row],[Xlookup Region ID]],GEONames[GEOID],GEONames[GEO Name])</f>
        <v>NAM</v>
      </c>
      <c r="H472" s="2" t="str">
        <f>"Q"&amp;ROUNDUP(MONTH(Table2[[#This Row],[Date]])/3,0)&amp;" "&amp;YEAR(Table2[[#This Row],[Date]])</f>
        <v>Q3 2024</v>
      </c>
      <c r="I472" s="2" t="str">
        <f>VLOOKUP(Table2[[#This Row],[Date]],Table7[],3)</f>
        <v>Q3 2024</v>
      </c>
    </row>
    <row r="473" spans="1:9" x14ac:dyDescent="0.25">
      <c r="A473" s="3" t="s">
        <v>52</v>
      </c>
      <c r="B473" s="3">
        <v>45565</v>
      </c>
      <c r="C473" s="6">
        <v>5313</v>
      </c>
      <c r="D473" s="2">
        <f>LEN(Table2[[#This Row],[CLID]])</f>
        <v>7</v>
      </c>
      <c r="E473" s="2" t="str">
        <f>_xlfn.XLOOKUP('Volume Data'!A:A,'Geo Data'!D:D,'Geo Data'!B:B)</f>
        <v>GEO1001</v>
      </c>
      <c r="F473" s="2" t="str">
        <f>INDEX(GeoByClient[GEOID],MATCH(Table2[[#This Row],[CLID]],GeoByClient[Right],0))</f>
        <v>GEO1001</v>
      </c>
      <c r="G473" s="2" t="str">
        <f>_xlfn.XLOOKUP(Table2[[#This Row],[Xlookup Region ID]],GEONames[GEOID],GEONames[GEO Name])</f>
        <v>NAM</v>
      </c>
      <c r="H473" s="2" t="str">
        <f>"Q"&amp;ROUNDUP(MONTH(Table2[[#This Row],[Date]])/3,0)&amp;" "&amp;YEAR(Table2[[#This Row],[Date]])</f>
        <v>Q3 2024</v>
      </c>
      <c r="I473" s="2" t="str">
        <f>VLOOKUP(Table2[[#This Row],[Date]],Table7[],3)</f>
        <v>Q3 2024</v>
      </c>
    </row>
    <row r="474" spans="1:9" x14ac:dyDescent="0.25">
      <c r="A474" s="3" t="s">
        <v>52</v>
      </c>
      <c r="B474" s="3">
        <v>45596</v>
      </c>
      <c r="C474" s="6">
        <v>3897</v>
      </c>
      <c r="D474" s="2">
        <f>LEN(Table2[[#This Row],[CLID]])</f>
        <v>7</v>
      </c>
      <c r="E474" s="2" t="str">
        <f>_xlfn.XLOOKUP('Volume Data'!A:A,'Geo Data'!D:D,'Geo Data'!B:B)</f>
        <v>GEO1001</v>
      </c>
      <c r="F474" s="2" t="str">
        <f>INDEX(GeoByClient[GEOID],MATCH(Table2[[#This Row],[CLID]],GeoByClient[Right],0))</f>
        <v>GEO1001</v>
      </c>
      <c r="G474" s="2" t="str">
        <f>_xlfn.XLOOKUP(Table2[[#This Row],[Xlookup Region ID]],GEONames[GEOID],GEONames[GEO Name])</f>
        <v>NAM</v>
      </c>
      <c r="H474" s="2" t="str">
        <f>"Q"&amp;ROUNDUP(MONTH(Table2[[#This Row],[Date]])/3,0)&amp;" "&amp;YEAR(Table2[[#This Row],[Date]])</f>
        <v>Q4 2024</v>
      </c>
      <c r="I474" s="2" t="str">
        <f>VLOOKUP(Table2[[#This Row],[Date]],Table7[],3)</f>
        <v>Q4 2024</v>
      </c>
    </row>
    <row r="475" spans="1:9" x14ac:dyDescent="0.25">
      <c r="A475" s="3" t="s">
        <v>52</v>
      </c>
      <c r="B475" s="3">
        <v>45626</v>
      </c>
      <c r="C475" s="6">
        <v>6730</v>
      </c>
      <c r="D475" s="2">
        <f>LEN(Table2[[#This Row],[CLID]])</f>
        <v>7</v>
      </c>
      <c r="E475" s="2" t="str">
        <f>_xlfn.XLOOKUP('Volume Data'!A:A,'Geo Data'!D:D,'Geo Data'!B:B)</f>
        <v>GEO1001</v>
      </c>
      <c r="F475" s="2" t="str">
        <f>INDEX(GeoByClient[GEOID],MATCH(Table2[[#This Row],[CLID]],GeoByClient[Right],0))</f>
        <v>GEO1001</v>
      </c>
      <c r="G475" s="2" t="str">
        <f>_xlfn.XLOOKUP(Table2[[#This Row],[Xlookup Region ID]],GEONames[GEOID],GEONames[GEO Name])</f>
        <v>NAM</v>
      </c>
      <c r="H475" s="2" t="str">
        <f>"Q"&amp;ROUNDUP(MONTH(Table2[[#This Row],[Date]])/3,0)&amp;" "&amp;YEAR(Table2[[#This Row],[Date]])</f>
        <v>Q4 2024</v>
      </c>
      <c r="I475" s="2" t="str">
        <f>VLOOKUP(Table2[[#This Row],[Date]],Table7[],3)</f>
        <v>Q4 2024</v>
      </c>
    </row>
    <row r="476" spans="1:9" x14ac:dyDescent="0.25">
      <c r="A476" s="3" t="s">
        <v>52</v>
      </c>
      <c r="B476" s="3">
        <v>45657</v>
      </c>
      <c r="C476" s="6">
        <v>4607</v>
      </c>
      <c r="D476" s="2">
        <f>LEN(Table2[[#This Row],[CLID]])</f>
        <v>7</v>
      </c>
      <c r="E476" s="2" t="str">
        <f>_xlfn.XLOOKUP('Volume Data'!A:A,'Geo Data'!D:D,'Geo Data'!B:B)</f>
        <v>GEO1001</v>
      </c>
      <c r="F476" s="2" t="str">
        <f>INDEX(GeoByClient[GEOID],MATCH(Table2[[#This Row],[CLID]],GeoByClient[Right],0))</f>
        <v>GEO1001</v>
      </c>
      <c r="G476" s="2" t="str">
        <f>_xlfn.XLOOKUP(Table2[[#This Row],[Xlookup Region ID]],GEONames[GEOID],GEONames[GEO Name])</f>
        <v>NAM</v>
      </c>
      <c r="H476" s="2" t="str">
        <f>"Q"&amp;ROUNDUP(MONTH(Table2[[#This Row],[Date]])/3,0)&amp;" "&amp;YEAR(Table2[[#This Row],[Date]])</f>
        <v>Q4 2024</v>
      </c>
      <c r="I476" s="2" t="str">
        <f>VLOOKUP(Table2[[#This Row],[Date]],Table7[],3)</f>
        <v>Q4 2024</v>
      </c>
    </row>
    <row r="477" spans="1:9" x14ac:dyDescent="0.25">
      <c r="A477" s="3" t="s">
        <v>52</v>
      </c>
      <c r="B477" s="3">
        <v>45838</v>
      </c>
      <c r="C477" s="6">
        <v>4556</v>
      </c>
      <c r="D477" s="2">
        <f>LEN(Table2[[#This Row],[CLID]])</f>
        <v>7</v>
      </c>
      <c r="E477" s="2" t="str">
        <f>_xlfn.XLOOKUP('Volume Data'!A:A,'Geo Data'!D:D,'Geo Data'!B:B)</f>
        <v>GEO1001</v>
      </c>
      <c r="F477" s="2" t="str">
        <f>INDEX(GeoByClient[GEOID],MATCH(Table2[[#This Row],[CLID]],GeoByClient[Right],0))</f>
        <v>GEO1001</v>
      </c>
      <c r="G477" s="2" t="str">
        <f>_xlfn.XLOOKUP(Table2[[#This Row],[Xlookup Region ID]],GEONames[GEOID],GEONames[GEO Name])</f>
        <v>NAM</v>
      </c>
      <c r="H477" s="2" t="str">
        <f>"Q"&amp;ROUNDUP(MONTH(Table2[[#This Row],[Date]])/3,0)&amp;" "&amp;YEAR(Table2[[#This Row],[Date]])</f>
        <v>Q2 2025</v>
      </c>
      <c r="I477" s="2" t="str">
        <f>VLOOKUP(Table2[[#This Row],[Date]],Table7[],3)</f>
        <v>Q2 2025</v>
      </c>
    </row>
    <row r="478" spans="1:9" x14ac:dyDescent="0.25">
      <c r="A478" s="3" t="s">
        <v>52</v>
      </c>
      <c r="B478" s="3">
        <v>45808</v>
      </c>
      <c r="C478" s="6">
        <v>8806</v>
      </c>
      <c r="D478" s="2">
        <f>LEN(Table2[[#This Row],[CLID]])</f>
        <v>7</v>
      </c>
      <c r="E478" s="2" t="str">
        <f>_xlfn.XLOOKUP('Volume Data'!A:A,'Geo Data'!D:D,'Geo Data'!B:B)</f>
        <v>GEO1001</v>
      </c>
      <c r="F478" s="2" t="str">
        <f>INDEX(GeoByClient[GEOID],MATCH(Table2[[#This Row],[CLID]],GeoByClient[Right],0))</f>
        <v>GEO1001</v>
      </c>
      <c r="G478" s="2" t="str">
        <f>_xlfn.XLOOKUP(Table2[[#This Row],[Xlookup Region ID]],GEONames[GEOID],GEONames[GEO Name])</f>
        <v>NAM</v>
      </c>
      <c r="H478" s="2" t="str">
        <f>"Q"&amp;ROUNDUP(MONTH(Table2[[#This Row],[Date]])/3,0)&amp;" "&amp;YEAR(Table2[[#This Row],[Date]])</f>
        <v>Q2 2025</v>
      </c>
      <c r="I478" s="2" t="str">
        <f>VLOOKUP(Table2[[#This Row],[Date]],Table7[],3)</f>
        <v>Q2 2025</v>
      </c>
    </row>
    <row r="479" spans="1:9" x14ac:dyDescent="0.25">
      <c r="A479" s="3" t="s">
        <v>52</v>
      </c>
      <c r="B479" s="3">
        <v>45777</v>
      </c>
      <c r="C479" s="6">
        <v>7735</v>
      </c>
      <c r="D479" s="2">
        <f>LEN(Table2[[#This Row],[CLID]])</f>
        <v>7</v>
      </c>
      <c r="E479" s="2" t="str">
        <f>_xlfn.XLOOKUP('Volume Data'!A:A,'Geo Data'!D:D,'Geo Data'!B:B)</f>
        <v>GEO1001</v>
      </c>
      <c r="F479" s="2" t="str">
        <f>INDEX(GeoByClient[GEOID],MATCH(Table2[[#This Row],[CLID]],GeoByClient[Right],0))</f>
        <v>GEO1001</v>
      </c>
      <c r="G479" s="2" t="str">
        <f>_xlfn.XLOOKUP(Table2[[#This Row],[Xlookup Region ID]],GEONames[GEOID],GEONames[GEO Name])</f>
        <v>NAM</v>
      </c>
      <c r="H479" s="2" t="str">
        <f>"Q"&amp;ROUNDUP(MONTH(Table2[[#This Row],[Date]])/3,0)&amp;" "&amp;YEAR(Table2[[#This Row],[Date]])</f>
        <v>Q2 2025</v>
      </c>
      <c r="I479" s="2" t="str">
        <f>VLOOKUP(Table2[[#This Row],[Date]],Table7[],3)</f>
        <v>Q2 2025</v>
      </c>
    </row>
    <row r="480" spans="1:9" x14ac:dyDescent="0.25">
      <c r="A480" s="3" t="s">
        <v>52</v>
      </c>
      <c r="B480" s="3">
        <v>45747</v>
      </c>
      <c r="C480" s="6">
        <v>8064</v>
      </c>
      <c r="D480" s="2">
        <f>LEN(Table2[[#This Row],[CLID]])</f>
        <v>7</v>
      </c>
      <c r="E480" s="2" t="str">
        <f>_xlfn.XLOOKUP('Volume Data'!A:A,'Geo Data'!D:D,'Geo Data'!B:B)</f>
        <v>GEO1001</v>
      </c>
      <c r="F480" s="2" t="str">
        <f>INDEX(GeoByClient[GEOID],MATCH(Table2[[#This Row],[CLID]],GeoByClient[Right],0))</f>
        <v>GEO1001</v>
      </c>
      <c r="G480" s="2" t="str">
        <f>_xlfn.XLOOKUP(Table2[[#This Row],[Xlookup Region ID]],GEONames[GEOID],GEONames[GEO Name])</f>
        <v>NAM</v>
      </c>
      <c r="H480" s="2" t="str">
        <f>"Q"&amp;ROUNDUP(MONTH(Table2[[#This Row],[Date]])/3,0)&amp;" "&amp;YEAR(Table2[[#This Row],[Date]])</f>
        <v>Q1 2025</v>
      </c>
      <c r="I480" s="2" t="str">
        <f>VLOOKUP(Table2[[#This Row],[Date]],Table7[],3)</f>
        <v>Q4 2024</v>
      </c>
    </row>
    <row r="481" spans="1:9" x14ac:dyDescent="0.25">
      <c r="A481" s="3" t="s">
        <v>52</v>
      </c>
      <c r="B481" s="3">
        <v>45716</v>
      </c>
      <c r="C481" s="6">
        <v>5257</v>
      </c>
      <c r="D481" s="2">
        <f>LEN(Table2[[#This Row],[CLID]])</f>
        <v>7</v>
      </c>
      <c r="E481" s="2" t="str">
        <f>_xlfn.XLOOKUP('Volume Data'!A:A,'Geo Data'!D:D,'Geo Data'!B:B)</f>
        <v>GEO1001</v>
      </c>
      <c r="F481" s="2" t="str">
        <f>INDEX(GeoByClient[GEOID],MATCH(Table2[[#This Row],[CLID]],GeoByClient[Right],0))</f>
        <v>GEO1001</v>
      </c>
      <c r="G481" s="2" t="str">
        <f>_xlfn.XLOOKUP(Table2[[#This Row],[Xlookup Region ID]],GEONames[GEOID],GEONames[GEO Name])</f>
        <v>NAM</v>
      </c>
      <c r="H481" s="2" t="str">
        <f>"Q"&amp;ROUNDUP(MONTH(Table2[[#This Row],[Date]])/3,0)&amp;" "&amp;YEAR(Table2[[#This Row],[Date]])</f>
        <v>Q1 2025</v>
      </c>
      <c r="I481" s="2" t="str">
        <f>VLOOKUP(Table2[[#This Row],[Date]],Table7[],3)</f>
        <v>Q4 2024</v>
      </c>
    </row>
    <row r="482" spans="1:9" x14ac:dyDescent="0.25">
      <c r="A482" s="3" t="s">
        <v>52</v>
      </c>
      <c r="B482" s="3">
        <v>45688</v>
      </c>
      <c r="C482" s="6">
        <v>6996</v>
      </c>
      <c r="D482" s="2">
        <f>LEN(Table2[[#This Row],[CLID]])</f>
        <v>7</v>
      </c>
      <c r="E482" s="2" t="str">
        <f>_xlfn.XLOOKUP('Volume Data'!A:A,'Geo Data'!D:D,'Geo Data'!B:B)</f>
        <v>GEO1001</v>
      </c>
      <c r="F482" s="2" t="str">
        <f>INDEX(GeoByClient[GEOID],MATCH(Table2[[#This Row],[CLID]],GeoByClient[Right],0))</f>
        <v>GEO1001</v>
      </c>
      <c r="G482" s="2" t="str">
        <f>_xlfn.XLOOKUP(Table2[[#This Row],[Xlookup Region ID]],GEONames[GEOID],GEONames[GEO Name])</f>
        <v>NAM</v>
      </c>
      <c r="H482" s="2" t="str">
        <f>"Q"&amp;ROUNDUP(MONTH(Table2[[#This Row],[Date]])/3,0)&amp;" "&amp;YEAR(Table2[[#This Row],[Date]])</f>
        <v>Q1 2025</v>
      </c>
      <c r="I482" s="2" t="str">
        <f>VLOOKUP(Table2[[#This Row],[Date]],Table7[],3)</f>
        <v>Q4 2024</v>
      </c>
    </row>
    <row r="483" spans="1:9" x14ac:dyDescent="0.25">
      <c r="A483" s="3" t="s">
        <v>37</v>
      </c>
      <c r="B483" s="3">
        <v>45322</v>
      </c>
      <c r="C483" s="6">
        <v>1087</v>
      </c>
      <c r="D483" s="2">
        <f>LEN(Table2[[#This Row],[CLID]])</f>
        <v>7</v>
      </c>
      <c r="E483" s="2" t="str">
        <f>_xlfn.XLOOKUP('Volume Data'!A:A,'Geo Data'!D:D,'Geo Data'!B:B)</f>
        <v>GEO1001</v>
      </c>
      <c r="F483" s="2" t="str">
        <f>INDEX(GeoByClient[GEOID],MATCH(Table2[[#This Row],[CLID]],GeoByClient[Right],0))</f>
        <v>GEO1001</v>
      </c>
      <c r="G483" s="2" t="str">
        <f>_xlfn.XLOOKUP(Table2[[#This Row],[Xlookup Region ID]],GEONames[GEOID],GEONames[GEO Name])</f>
        <v>NAM</v>
      </c>
      <c r="H483" s="2" t="str">
        <f>"Q"&amp;ROUNDUP(MONTH(Table2[[#This Row],[Date]])/3,0)&amp;" "&amp;YEAR(Table2[[#This Row],[Date]])</f>
        <v>Q1 2024</v>
      </c>
      <c r="I483" s="2" t="str">
        <f>VLOOKUP(Table2[[#This Row],[Date]],Table7[],3)</f>
        <v>Q1 2024</v>
      </c>
    </row>
    <row r="484" spans="1:9" x14ac:dyDescent="0.25">
      <c r="A484" s="3" t="s">
        <v>37</v>
      </c>
      <c r="B484" s="3">
        <v>45351</v>
      </c>
      <c r="C484" s="6">
        <v>1224</v>
      </c>
      <c r="D484" s="2">
        <f>LEN(Table2[[#This Row],[CLID]])</f>
        <v>7</v>
      </c>
      <c r="E484" s="2" t="str">
        <f>_xlfn.XLOOKUP('Volume Data'!A:A,'Geo Data'!D:D,'Geo Data'!B:B)</f>
        <v>GEO1001</v>
      </c>
      <c r="F484" s="2" t="str">
        <f>INDEX(GeoByClient[GEOID],MATCH(Table2[[#This Row],[CLID]],GeoByClient[Right],0))</f>
        <v>GEO1001</v>
      </c>
      <c r="G484" s="2" t="str">
        <f>_xlfn.XLOOKUP(Table2[[#This Row],[Xlookup Region ID]],GEONames[GEOID],GEONames[GEO Name])</f>
        <v>NAM</v>
      </c>
      <c r="H484" s="2" t="str">
        <f>"Q"&amp;ROUNDUP(MONTH(Table2[[#This Row],[Date]])/3,0)&amp;" "&amp;YEAR(Table2[[#This Row],[Date]])</f>
        <v>Q1 2024</v>
      </c>
      <c r="I484" s="2" t="str">
        <f>VLOOKUP(Table2[[#This Row],[Date]],Table7[],3)</f>
        <v>Q1 2024</v>
      </c>
    </row>
    <row r="485" spans="1:9" x14ac:dyDescent="0.25">
      <c r="A485" s="3" t="s">
        <v>37</v>
      </c>
      <c r="B485" s="3">
        <v>45382</v>
      </c>
      <c r="C485" s="6">
        <v>1362</v>
      </c>
      <c r="D485" s="2">
        <f>LEN(Table2[[#This Row],[CLID]])</f>
        <v>7</v>
      </c>
      <c r="E485" s="2" t="str">
        <f>_xlfn.XLOOKUP('Volume Data'!A:A,'Geo Data'!D:D,'Geo Data'!B:B)</f>
        <v>GEO1001</v>
      </c>
      <c r="F485" s="2" t="str">
        <f>INDEX(GeoByClient[GEOID],MATCH(Table2[[#This Row],[CLID]],GeoByClient[Right],0))</f>
        <v>GEO1001</v>
      </c>
      <c r="G485" s="2" t="str">
        <f>_xlfn.XLOOKUP(Table2[[#This Row],[Xlookup Region ID]],GEONames[GEOID],GEONames[GEO Name])</f>
        <v>NAM</v>
      </c>
      <c r="H485" s="2" t="str">
        <f>"Q"&amp;ROUNDUP(MONTH(Table2[[#This Row],[Date]])/3,0)&amp;" "&amp;YEAR(Table2[[#This Row],[Date]])</f>
        <v>Q1 2024</v>
      </c>
      <c r="I485" s="2" t="str">
        <f>VLOOKUP(Table2[[#This Row],[Date]],Table7[],3)</f>
        <v>Q1 2024</v>
      </c>
    </row>
    <row r="486" spans="1:9" x14ac:dyDescent="0.25">
      <c r="A486" s="3" t="s">
        <v>37</v>
      </c>
      <c r="B486" s="3">
        <v>45412</v>
      </c>
      <c r="C486" s="6">
        <v>1633</v>
      </c>
      <c r="D486" s="2">
        <f>LEN(Table2[[#This Row],[CLID]])</f>
        <v>7</v>
      </c>
      <c r="E486" s="2" t="str">
        <f>_xlfn.XLOOKUP('Volume Data'!A:A,'Geo Data'!D:D,'Geo Data'!B:B)</f>
        <v>GEO1001</v>
      </c>
      <c r="F486" s="2" t="str">
        <f>INDEX(GeoByClient[GEOID],MATCH(Table2[[#This Row],[CLID]],GeoByClient[Right],0))</f>
        <v>GEO1001</v>
      </c>
      <c r="G486" s="2" t="str">
        <f>_xlfn.XLOOKUP(Table2[[#This Row],[Xlookup Region ID]],GEONames[GEOID],GEONames[GEO Name])</f>
        <v>NAM</v>
      </c>
      <c r="H486" s="2" t="str">
        <f>"Q"&amp;ROUNDUP(MONTH(Table2[[#This Row],[Date]])/3,0)&amp;" "&amp;YEAR(Table2[[#This Row],[Date]])</f>
        <v>Q2 2024</v>
      </c>
      <c r="I486" s="2" t="str">
        <f>VLOOKUP(Table2[[#This Row],[Date]],Table7[],3)</f>
        <v>Q2 2024</v>
      </c>
    </row>
    <row r="487" spans="1:9" x14ac:dyDescent="0.25">
      <c r="A487" s="3" t="s">
        <v>37</v>
      </c>
      <c r="B487" s="3">
        <v>45443</v>
      </c>
      <c r="C487" s="6">
        <v>1492</v>
      </c>
      <c r="D487" s="2">
        <f>LEN(Table2[[#This Row],[CLID]])</f>
        <v>7</v>
      </c>
      <c r="E487" s="2" t="str">
        <f>_xlfn.XLOOKUP('Volume Data'!A:A,'Geo Data'!D:D,'Geo Data'!B:B)</f>
        <v>GEO1001</v>
      </c>
      <c r="F487" s="2" t="str">
        <f>INDEX(GeoByClient[GEOID],MATCH(Table2[[#This Row],[CLID]],GeoByClient[Right],0))</f>
        <v>GEO1001</v>
      </c>
      <c r="G487" s="2" t="str">
        <f>_xlfn.XLOOKUP(Table2[[#This Row],[Xlookup Region ID]],GEONames[GEOID],GEONames[GEO Name])</f>
        <v>NAM</v>
      </c>
      <c r="H487" s="2" t="str">
        <f>"Q"&amp;ROUNDUP(MONTH(Table2[[#This Row],[Date]])/3,0)&amp;" "&amp;YEAR(Table2[[#This Row],[Date]])</f>
        <v>Q2 2024</v>
      </c>
      <c r="I487" s="2" t="str">
        <f>VLOOKUP(Table2[[#This Row],[Date]],Table7[],3)</f>
        <v>Q2 2024</v>
      </c>
    </row>
    <row r="488" spans="1:9" x14ac:dyDescent="0.25">
      <c r="A488" s="3" t="s">
        <v>37</v>
      </c>
      <c r="B488" s="3">
        <v>45473</v>
      </c>
      <c r="C488" s="6">
        <v>1091</v>
      </c>
      <c r="D488" s="2">
        <f>LEN(Table2[[#This Row],[CLID]])</f>
        <v>7</v>
      </c>
      <c r="E488" s="2" t="str">
        <f>_xlfn.XLOOKUP('Volume Data'!A:A,'Geo Data'!D:D,'Geo Data'!B:B)</f>
        <v>GEO1001</v>
      </c>
      <c r="F488" s="2" t="str">
        <f>INDEX(GeoByClient[GEOID],MATCH(Table2[[#This Row],[CLID]],GeoByClient[Right],0))</f>
        <v>GEO1001</v>
      </c>
      <c r="G488" s="2" t="str">
        <f>_xlfn.XLOOKUP(Table2[[#This Row],[Xlookup Region ID]],GEONames[GEOID],GEONames[GEO Name])</f>
        <v>NAM</v>
      </c>
      <c r="H488" s="2" t="str">
        <f>"Q"&amp;ROUNDUP(MONTH(Table2[[#This Row],[Date]])/3,0)&amp;" "&amp;YEAR(Table2[[#This Row],[Date]])</f>
        <v>Q2 2024</v>
      </c>
      <c r="I488" s="2" t="str">
        <f>VLOOKUP(Table2[[#This Row],[Date]],Table7[],3)</f>
        <v>Q2 2024</v>
      </c>
    </row>
    <row r="489" spans="1:9" x14ac:dyDescent="0.25">
      <c r="A489" s="3" t="s">
        <v>37</v>
      </c>
      <c r="B489" s="3">
        <v>45504</v>
      </c>
      <c r="C489" s="6">
        <v>950</v>
      </c>
      <c r="D489" s="2">
        <f>LEN(Table2[[#This Row],[CLID]])</f>
        <v>7</v>
      </c>
      <c r="E489" s="2" t="str">
        <f>_xlfn.XLOOKUP('Volume Data'!A:A,'Geo Data'!D:D,'Geo Data'!B:B)</f>
        <v>GEO1001</v>
      </c>
      <c r="F489" s="2" t="str">
        <f>INDEX(GeoByClient[GEOID],MATCH(Table2[[#This Row],[CLID]],GeoByClient[Right],0))</f>
        <v>GEO1001</v>
      </c>
      <c r="G489" s="2" t="str">
        <f>_xlfn.XLOOKUP(Table2[[#This Row],[Xlookup Region ID]],GEONames[GEOID],GEONames[GEO Name])</f>
        <v>NAM</v>
      </c>
      <c r="H489" s="2" t="str">
        <f>"Q"&amp;ROUNDUP(MONTH(Table2[[#This Row],[Date]])/3,0)&amp;" "&amp;YEAR(Table2[[#This Row],[Date]])</f>
        <v>Q3 2024</v>
      </c>
      <c r="I489" s="2" t="str">
        <f>VLOOKUP(Table2[[#This Row],[Date]],Table7[],3)</f>
        <v>Q3 2024</v>
      </c>
    </row>
    <row r="490" spans="1:9" x14ac:dyDescent="0.25">
      <c r="A490" s="3" t="s">
        <v>37</v>
      </c>
      <c r="B490" s="3">
        <v>45535</v>
      </c>
      <c r="C490" s="6">
        <v>818</v>
      </c>
      <c r="D490" s="2">
        <f>LEN(Table2[[#This Row],[CLID]])</f>
        <v>7</v>
      </c>
      <c r="E490" s="2" t="str">
        <f>_xlfn.XLOOKUP('Volume Data'!A:A,'Geo Data'!D:D,'Geo Data'!B:B)</f>
        <v>GEO1001</v>
      </c>
      <c r="F490" s="2" t="str">
        <f>INDEX(GeoByClient[GEOID],MATCH(Table2[[#This Row],[CLID]],GeoByClient[Right],0))</f>
        <v>GEO1001</v>
      </c>
      <c r="G490" s="2" t="str">
        <f>_xlfn.XLOOKUP(Table2[[#This Row],[Xlookup Region ID]],GEONames[GEOID],GEONames[GEO Name])</f>
        <v>NAM</v>
      </c>
      <c r="H490" s="2" t="str">
        <f>"Q"&amp;ROUNDUP(MONTH(Table2[[#This Row],[Date]])/3,0)&amp;" "&amp;YEAR(Table2[[#This Row],[Date]])</f>
        <v>Q3 2024</v>
      </c>
      <c r="I490" s="2" t="str">
        <f>VLOOKUP(Table2[[#This Row],[Date]],Table7[],3)</f>
        <v>Q3 2024</v>
      </c>
    </row>
    <row r="491" spans="1:9" x14ac:dyDescent="0.25">
      <c r="A491" s="3" t="s">
        <v>37</v>
      </c>
      <c r="B491" s="3">
        <v>45565</v>
      </c>
      <c r="C491" s="6">
        <v>820</v>
      </c>
      <c r="D491" s="2">
        <f>LEN(Table2[[#This Row],[CLID]])</f>
        <v>7</v>
      </c>
      <c r="E491" s="2" t="str">
        <f>_xlfn.XLOOKUP('Volume Data'!A:A,'Geo Data'!D:D,'Geo Data'!B:B)</f>
        <v>GEO1001</v>
      </c>
      <c r="F491" s="2" t="str">
        <f>INDEX(GeoByClient[GEOID],MATCH(Table2[[#This Row],[CLID]],GeoByClient[Right],0))</f>
        <v>GEO1001</v>
      </c>
      <c r="G491" s="2" t="str">
        <f>_xlfn.XLOOKUP(Table2[[#This Row],[Xlookup Region ID]],GEONames[GEOID],GEONames[GEO Name])</f>
        <v>NAM</v>
      </c>
      <c r="H491" s="2" t="str">
        <f>"Q"&amp;ROUNDUP(MONTH(Table2[[#This Row],[Date]])/3,0)&amp;" "&amp;YEAR(Table2[[#This Row],[Date]])</f>
        <v>Q3 2024</v>
      </c>
      <c r="I491" s="2" t="str">
        <f>VLOOKUP(Table2[[#This Row],[Date]],Table7[],3)</f>
        <v>Q3 2024</v>
      </c>
    </row>
    <row r="492" spans="1:9" x14ac:dyDescent="0.25">
      <c r="A492" s="3" t="s">
        <v>37</v>
      </c>
      <c r="B492" s="3">
        <v>45596</v>
      </c>
      <c r="C492" s="6">
        <v>954</v>
      </c>
      <c r="D492" s="2">
        <f>LEN(Table2[[#This Row],[CLID]])</f>
        <v>7</v>
      </c>
      <c r="E492" s="2" t="str">
        <f>_xlfn.XLOOKUP('Volume Data'!A:A,'Geo Data'!D:D,'Geo Data'!B:B)</f>
        <v>GEO1001</v>
      </c>
      <c r="F492" s="2" t="str">
        <f>INDEX(GeoByClient[GEOID],MATCH(Table2[[#This Row],[CLID]],GeoByClient[Right],0))</f>
        <v>GEO1001</v>
      </c>
      <c r="G492" s="2" t="str">
        <f>_xlfn.XLOOKUP(Table2[[#This Row],[Xlookup Region ID]],GEONames[GEOID],GEONames[GEO Name])</f>
        <v>NAM</v>
      </c>
      <c r="H492" s="2" t="str">
        <f>"Q"&amp;ROUNDUP(MONTH(Table2[[#This Row],[Date]])/3,0)&amp;" "&amp;YEAR(Table2[[#This Row],[Date]])</f>
        <v>Q4 2024</v>
      </c>
      <c r="I492" s="2" t="str">
        <f>VLOOKUP(Table2[[#This Row],[Date]],Table7[],3)</f>
        <v>Q4 2024</v>
      </c>
    </row>
    <row r="493" spans="1:9" x14ac:dyDescent="0.25">
      <c r="A493" s="3" t="s">
        <v>37</v>
      </c>
      <c r="B493" s="3">
        <v>45626</v>
      </c>
      <c r="C493" s="6">
        <v>1086</v>
      </c>
      <c r="D493" s="2">
        <f>LEN(Table2[[#This Row],[CLID]])</f>
        <v>7</v>
      </c>
      <c r="E493" s="2" t="str">
        <f>_xlfn.XLOOKUP('Volume Data'!A:A,'Geo Data'!D:D,'Geo Data'!B:B)</f>
        <v>GEO1001</v>
      </c>
      <c r="F493" s="2" t="str">
        <f>INDEX(GeoByClient[GEOID],MATCH(Table2[[#This Row],[CLID]],GeoByClient[Right],0))</f>
        <v>GEO1001</v>
      </c>
      <c r="G493" s="2" t="str">
        <f>_xlfn.XLOOKUP(Table2[[#This Row],[Xlookup Region ID]],GEONames[GEOID],GEONames[GEO Name])</f>
        <v>NAM</v>
      </c>
      <c r="H493" s="2" t="str">
        <f>"Q"&amp;ROUNDUP(MONTH(Table2[[#This Row],[Date]])/3,0)&amp;" "&amp;YEAR(Table2[[#This Row],[Date]])</f>
        <v>Q4 2024</v>
      </c>
      <c r="I493" s="2" t="str">
        <f>VLOOKUP(Table2[[#This Row],[Date]],Table7[],3)</f>
        <v>Q4 2024</v>
      </c>
    </row>
    <row r="494" spans="1:9" x14ac:dyDescent="0.25">
      <c r="A494" s="3" t="s">
        <v>37</v>
      </c>
      <c r="B494" s="3">
        <v>45657</v>
      </c>
      <c r="C494" s="6">
        <v>1091</v>
      </c>
      <c r="D494" s="2">
        <f>LEN(Table2[[#This Row],[CLID]])</f>
        <v>7</v>
      </c>
      <c r="E494" s="2" t="str">
        <f>_xlfn.XLOOKUP('Volume Data'!A:A,'Geo Data'!D:D,'Geo Data'!B:B)</f>
        <v>GEO1001</v>
      </c>
      <c r="F494" s="2" t="str">
        <f>INDEX(GeoByClient[GEOID],MATCH(Table2[[#This Row],[CLID]],GeoByClient[Right],0))</f>
        <v>GEO1001</v>
      </c>
      <c r="G494" s="2" t="str">
        <f>_xlfn.XLOOKUP(Table2[[#This Row],[Xlookup Region ID]],GEONames[GEOID],GEONames[GEO Name])</f>
        <v>NAM</v>
      </c>
      <c r="H494" s="2" t="str">
        <f>"Q"&amp;ROUNDUP(MONTH(Table2[[#This Row],[Date]])/3,0)&amp;" "&amp;YEAR(Table2[[#This Row],[Date]])</f>
        <v>Q4 2024</v>
      </c>
      <c r="I494" s="2" t="str">
        <f>VLOOKUP(Table2[[#This Row],[Date]],Table7[],3)</f>
        <v>Q4 2024</v>
      </c>
    </row>
    <row r="495" spans="1:9" x14ac:dyDescent="0.25">
      <c r="A495" s="3" t="s">
        <v>37</v>
      </c>
      <c r="B495" s="3">
        <v>45777</v>
      </c>
      <c r="C495" s="6">
        <v>1614</v>
      </c>
      <c r="D495" s="2">
        <f>LEN(Table2[[#This Row],[CLID]])</f>
        <v>7</v>
      </c>
      <c r="E495" s="2" t="str">
        <f>_xlfn.XLOOKUP('Volume Data'!A:A,'Geo Data'!D:D,'Geo Data'!B:B)</f>
        <v>GEO1001</v>
      </c>
      <c r="F495" s="2" t="str">
        <f>INDEX(GeoByClient[GEOID],MATCH(Table2[[#This Row],[CLID]],GeoByClient[Right],0))</f>
        <v>GEO1001</v>
      </c>
      <c r="G495" s="2" t="str">
        <f>_xlfn.XLOOKUP(Table2[[#This Row],[Xlookup Region ID]],GEONames[GEOID],GEONames[GEO Name])</f>
        <v>NAM</v>
      </c>
      <c r="H495" s="2" t="str">
        <f>"Q"&amp;ROUNDUP(MONTH(Table2[[#This Row],[Date]])/3,0)&amp;" "&amp;YEAR(Table2[[#This Row],[Date]])</f>
        <v>Q2 2025</v>
      </c>
      <c r="I495" s="2" t="str">
        <f>VLOOKUP(Table2[[#This Row],[Date]],Table7[],3)</f>
        <v>Q2 2025</v>
      </c>
    </row>
    <row r="496" spans="1:9" x14ac:dyDescent="0.25">
      <c r="A496" s="3" t="s">
        <v>37</v>
      </c>
      <c r="B496" s="3">
        <v>45747</v>
      </c>
      <c r="C496" s="6">
        <v>1426</v>
      </c>
      <c r="D496" s="2">
        <f>LEN(Table2[[#This Row],[CLID]])</f>
        <v>7</v>
      </c>
      <c r="E496" s="2" t="str">
        <f>_xlfn.XLOOKUP('Volume Data'!A:A,'Geo Data'!D:D,'Geo Data'!B:B)</f>
        <v>GEO1001</v>
      </c>
      <c r="F496" s="2" t="str">
        <f>INDEX(GeoByClient[GEOID],MATCH(Table2[[#This Row],[CLID]],GeoByClient[Right],0))</f>
        <v>GEO1001</v>
      </c>
      <c r="G496" s="2" t="str">
        <f>_xlfn.XLOOKUP(Table2[[#This Row],[Xlookup Region ID]],GEONames[GEOID],GEONames[GEO Name])</f>
        <v>NAM</v>
      </c>
      <c r="H496" s="2" t="str">
        <f>"Q"&amp;ROUNDUP(MONTH(Table2[[#This Row],[Date]])/3,0)&amp;" "&amp;YEAR(Table2[[#This Row],[Date]])</f>
        <v>Q1 2025</v>
      </c>
      <c r="I496" s="2" t="str">
        <f>VLOOKUP(Table2[[#This Row],[Date]],Table7[],3)</f>
        <v>Q4 2024</v>
      </c>
    </row>
    <row r="497" spans="1:9" x14ac:dyDescent="0.25">
      <c r="A497" s="3" t="s">
        <v>37</v>
      </c>
      <c r="B497" s="3">
        <v>45716</v>
      </c>
      <c r="C497" s="6">
        <v>1220</v>
      </c>
      <c r="D497" s="2">
        <f>LEN(Table2[[#This Row],[CLID]])</f>
        <v>7</v>
      </c>
      <c r="E497" s="2" t="str">
        <f>_xlfn.XLOOKUP('Volume Data'!A:A,'Geo Data'!D:D,'Geo Data'!B:B)</f>
        <v>GEO1001</v>
      </c>
      <c r="F497" s="2" t="str">
        <f>INDEX(GeoByClient[GEOID],MATCH(Table2[[#This Row],[CLID]],GeoByClient[Right],0))</f>
        <v>GEO1001</v>
      </c>
      <c r="G497" s="2" t="str">
        <f>_xlfn.XLOOKUP(Table2[[#This Row],[Xlookup Region ID]],GEONames[GEOID],GEONames[GEO Name])</f>
        <v>NAM</v>
      </c>
      <c r="H497" s="2" t="str">
        <f>"Q"&amp;ROUNDUP(MONTH(Table2[[#This Row],[Date]])/3,0)&amp;" "&amp;YEAR(Table2[[#This Row],[Date]])</f>
        <v>Q1 2025</v>
      </c>
      <c r="I497" s="2" t="str">
        <f>VLOOKUP(Table2[[#This Row],[Date]],Table7[],3)</f>
        <v>Q4 2024</v>
      </c>
    </row>
    <row r="498" spans="1:9" x14ac:dyDescent="0.25">
      <c r="A498" s="3" t="s">
        <v>37</v>
      </c>
      <c r="B498" s="3">
        <v>45688</v>
      </c>
      <c r="C498" s="6">
        <v>1113</v>
      </c>
      <c r="D498" s="2">
        <f>LEN(Table2[[#This Row],[CLID]])</f>
        <v>7</v>
      </c>
      <c r="E498" s="2" t="str">
        <f>_xlfn.XLOOKUP('Volume Data'!A:A,'Geo Data'!D:D,'Geo Data'!B:B)</f>
        <v>GEO1001</v>
      </c>
      <c r="F498" s="2" t="str">
        <f>INDEX(GeoByClient[GEOID],MATCH(Table2[[#This Row],[CLID]],GeoByClient[Right],0))</f>
        <v>GEO1001</v>
      </c>
      <c r="G498" s="2" t="str">
        <f>_xlfn.XLOOKUP(Table2[[#This Row],[Xlookup Region ID]],GEONames[GEOID],GEONames[GEO Name])</f>
        <v>NAM</v>
      </c>
      <c r="H498" s="2" t="str">
        <f>"Q"&amp;ROUNDUP(MONTH(Table2[[#This Row],[Date]])/3,0)&amp;" "&amp;YEAR(Table2[[#This Row],[Date]])</f>
        <v>Q1 2025</v>
      </c>
      <c r="I498" s="2" t="str">
        <f>VLOOKUP(Table2[[#This Row],[Date]],Table7[],3)</f>
        <v>Q4 2024</v>
      </c>
    </row>
    <row r="499" spans="1:9" x14ac:dyDescent="0.25">
      <c r="A499" s="3" t="s">
        <v>11</v>
      </c>
      <c r="B499" s="3">
        <v>45322</v>
      </c>
      <c r="C499" s="6">
        <v>303</v>
      </c>
      <c r="D499" s="2">
        <f>LEN(Table2[[#This Row],[CLID]])</f>
        <v>7</v>
      </c>
      <c r="E499" s="2" t="str">
        <f>_xlfn.XLOOKUP('Volume Data'!A:A,'Geo Data'!D:D,'Geo Data'!B:B)</f>
        <v>GEO1004</v>
      </c>
      <c r="F499" s="2" t="str">
        <f>INDEX(GeoByClient[GEOID],MATCH(Table2[[#This Row],[CLID]],GeoByClient[Right],0))</f>
        <v>GEO1004</v>
      </c>
      <c r="G499" s="2" t="str">
        <f>_xlfn.XLOOKUP(Table2[[#This Row],[Xlookup Region ID]],GEONames[GEOID],GEONames[GEO Name])</f>
        <v>LATAM</v>
      </c>
      <c r="H499" s="2" t="str">
        <f>"Q"&amp;ROUNDUP(MONTH(Table2[[#This Row],[Date]])/3,0)&amp;" "&amp;YEAR(Table2[[#This Row],[Date]])</f>
        <v>Q1 2024</v>
      </c>
      <c r="I499" s="2" t="str">
        <f>VLOOKUP(Table2[[#This Row],[Date]],Table7[],3)</f>
        <v>Q1 2024</v>
      </c>
    </row>
    <row r="500" spans="1:9" x14ac:dyDescent="0.25">
      <c r="A500" s="3" t="s">
        <v>11</v>
      </c>
      <c r="B500" s="3">
        <v>45351</v>
      </c>
      <c r="C500" s="6">
        <v>304</v>
      </c>
      <c r="D500" s="2">
        <f>LEN(Table2[[#This Row],[CLID]])</f>
        <v>7</v>
      </c>
      <c r="E500" s="2" t="str">
        <f>_xlfn.XLOOKUP('Volume Data'!A:A,'Geo Data'!D:D,'Geo Data'!B:B)</f>
        <v>GEO1004</v>
      </c>
      <c r="F500" s="2" t="str">
        <f>INDEX(GeoByClient[GEOID],MATCH(Table2[[#This Row],[CLID]],GeoByClient[Right],0))</f>
        <v>GEO1004</v>
      </c>
      <c r="G500" s="2" t="str">
        <f>_xlfn.XLOOKUP(Table2[[#This Row],[Xlookup Region ID]],GEONames[GEOID],GEONames[GEO Name])</f>
        <v>LATAM</v>
      </c>
      <c r="H500" s="2" t="str">
        <f>"Q"&amp;ROUNDUP(MONTH(Table2[[#This Row],[Date]])/3,0)&amp;" "&amp;YEAR(Table2[[#This Row],[Date]])</f>
        <v>Q1 2024</v>
      </c>
      <c r="I500" s="2" t="str">
        <f>VLOOKUP(Table2[[#This Row],[Date]],Table7[],3)</f>
        <v>Q1 2024</v>
      </c>
    </row>
    <row r="501" spans="1:9" x14ac:dyDescent="0.25">
      <c r="A501" s="3" t="s">
        <v>11</v>
      </c>
      <c r="B501" s="3">
        <v>45382</v>
      </c>
      <c r="C501" s="6">
        <v>375</v>
      </c>
      <c r="D501" s="2">
        <f>LEN(Table2[[#This Row],[CLID]])</f>
        <v>7</v>
      </c>
      <c r="E501" s="2" t="str">
        <f>_xlfn.XLOOKUP('Volume Data'!A:A,'Geo Data'!D:D,'Geo Data'!B:B)</f>
        <v>GEO1004</v>
      </c>
      <c r="F501" s="2" t="str">
        <f>INDEX(GeoByClient[GEOID],MATCH(Table2[[#This Row],[CLID]],GeoByClient[Right],0))</f>
        <v>GEO1004</v>
      </c>
      <c r="G501" s="2" t="str">
        <f>_xlfn.XLOOKUP(Table2[[#This Row],[Xlookup Region ID]],GEONames[GEOID],GEONames[GEO Name])</f>
        <v>LATAM</v>
      </c>
      <c r="H501" s="2" t="str">
        <f>"Q"&amp;ROUNDUP(MONTH(Table2[[#This Row],[Date]])/3,0)&amp;" "&amp;YEAR(Table2[[#This Row],[Date]])</f>
        <v>Q1 2024</v>
      </c>
      <c r="I501" s="2" t="str">
        <f>VLOOKUP(Table2[[#This Row],[Date]],Table7[],3)</f>
        <v>Q1 2024</v>
      </c>
    </row>
    <row r="502" spans="1:9" x14ac:dyDescent="0.25">
      <c r="A502" s="3" t="s">
        <v>11</v>
      </c>
      <c r="B502" s="3">
        <v>45412</v>
      </c>
      <c r="C502" s="6">
        <v>407</v>
      </c>
      <c r="D502" s="2">
        <f>LEN(Table2[[#This Row],[CLID]])</f>
        <v>7</v>
      </c>
      <c r="E502" s="2" t="str">
        <f>_xlfn.XLOOKUP('Volume Data'!A:A,'Geo Data'!D:D,'Geo Data'!B:B)</f>
        <v>GEO1004</v>
      </c>
      <c r="F502" s="2" t="str">
        <f>INDEX(GeoByClient[GEOID],MATCH(Table2[[#This Row],[CLID]],GeoByClient[Right],0))</f>
        <v>GEO1004</v>
      </c>
      <c r="G502" s="2" t="str">
        <f>_xlfn.XLOOKUP(Table2[[#This Row],[Xlookup Region ID]],GEONames[GEOID],GEONames[GEO Name])</f>
        <v>LATAM</v>
      </c>
      <c r="H502" s="2" t="str">
        <f>"Q"&amp;ROUNDUP(MONTH(Table2[[#This Row],[Date]])/3,0)&amp;" "&amp;YEAR(Table2[[#This Row],[Date]])</f>
        <v>Q2 2024</v>
      </c>
      <c r="I502" s="2" t="str">
        <f>VLOOKUP(Table2[[#This Row],[Date]],Table7[],3)</f>
        <v>Q2 2024</v>
      </c>
    </row>
    <row r="503" spans="1:9" x14ac:dyDescent="0.25">
      <c r="A503" s="3" t="s">
        <v>11</v>
      </c>
      <c r="B503" s="3">
        <v>45443</v>
      </c>
      <c r="C503" s="6">
        <v>405</v>
      </c>
      <c r="D503" s="2">
        <f>LEN(Table2[[#This Row],[CLID]])</f>
        <v>7</v>
      </c>
      <c r="E503" s="2" t="str">
        <f>_xlfn.XLOOKUP('Volume Data'!A:A,'Geo Data'!D:D,'Geo Data'!B:B)</f>
        <v>GEO1004</v>
      </c>
      <c r="F503" s="2" t="str">
        <f>INDEX(GeoByClient[GEOID],MATCH(Table2[[#This Row],[CLID]],GeoByClient[Right],0))</f>
        <v>GEO1004</v>
      </c>
      <c r="G503" s="2" t="str">
        <f>_xlfn.XLOOKUP(Table2[[#This Row],[Xlookup Region ID]],GEONames[GEOID],GEONames[GEO Name])</f>
        <v>LATAM</v>
      </c>
      <c r="H503" s="2" t="str">
        <f>"Q"&amp;ROUNDUP(MONTH(Table2[[#This Row],[Date]])/3,0)&amp;" "&amp;YEAR(Table2[[#This Row],[Date]])</f>
        <v>Q2 2024</v>
      </c>
      <c r="I503" s="2" t="str">
        <f>VLOOKUP(Table2[[#This Row],[Date]],Table7[],3)</f>
        <v>Q2 2024</v>
      </c>
    </row>
    <row r="504" spans="1:9" x14ac:dyDescent="0.25">
      <c r="A504" s="3" t="s">
        <v>11</v>
      </c>
      <c r="B504" s="3">
        <v>45473</v>
      </c>
      <c r="C504" s="6">
        <v>267</v>
      </c>
      <c r="D504" s="2">
        <f>LEN(Table2[[#This Row],[CLID]])</f>
        <v>7</v>
      </c>
      <c r="E504" s="2" t="str">
        <f>_xlfn.XLOOKUP('Volume Data'!A:A,'Geo Data'!D:D,'Geo Data'!B:B)</f>
        <v>GEO1004</v>
      </c>
      <c r="F504" s="2" t="str">
        <f>INDEX(GeoByClient[GEOID],MATCH(Table2[[#This Row],[CLID]],GeoByClient[Right],0))</f>
        <v>GEO1004</v>
      </c>
      <c r="G504" s="2" t="str">
        <f>_xlfn.XLOOKUP(Table2[[#This Row],[Xlookup Region ID]],GEONames[GEOID],GEONames[GEO Name])</f>
        <v>LATAM</v>
      </c>
      <c r="H504" s="2" t="str">
        <f>"Q"&amp;ROUNDUP(MONTH(Table2[[#This Row],[Date]])/3,0)&amp;" "&amp;YEAR(Table2[[#This Row],[Date]])</f>
        <v>Q2 2024</v>
      </c>
      <c r="I504" s="2" t="str">
        <f>VLOOKUP(Table2[[#This Row],[Date]],Table7[],3)</f>
        <v>Q2 2024</v>
      </c>
    </row>
    <row r="505" spans="1:9" x14ac:dyDescent="0.25">
      <c r="A505" s="3" t="s">
        <v>11</v>
      </c>
      <c r="B505" s="3">
        <v>45504</v>
      </c>
      <c r="C505" s="6">
        <v>264</v>
      </c>
      <c r="D505" s="2">
        <f>LEN(Table2[[#This Row],[CLID]])</f>
        <v>7</v>
      </c>
      <c r="E505" s="2" t="str">
        <f>_xlfn.XLOOKUP('Volume Data'!A:A,'Geo Data'!D:D,'Geo Data'!B:B)</f>
        <v>GEO1004</v>
      </c>
      <c r="F505" s="2" t="str">
        <f>INDEX(GeoByClient[GEOID],MATCH(Table2[[#This Row],[CLID]],GeoByClient[Right],0))</f>
        <v>GEO1004</v>
      </c>
      <c r="G505" s="2" t="str">
        <f>_xlfn.XLOOKUP(Table2[[#This Row],[Xlookup Region ID]],GEONames[GEOID],GEONames[GEO Name])</f>
        <v>LATAM</v>
      </c>
      <c r="H505" s="2" t="str">
        <f>"Q"&amp;ROUNDUP(MONTH(Table2[[#This Row],[Date]])/3,0)&amp;" "&amp;YEAR(Table2[[#This Row],[Date]])</f>
        <v>Q3 2024</v>
      </c>
      <c r="I505" s="2" t="str">
        <f>VLOOKUP(Table2[[#This Row],[Date]],Table7[],3)</f>
        <v>Q3 2024</v>
      </c>
    </row>
    <row r="506" spans="1:9" x14ac:dyDescent="0.25">
      <c r="A506" s="3" t="s">
        <v>11</v>
      </c>
      <c r="B506" s="3">
        <v>45535</v>
      </c>
      <c r="C506" s="6">
        <v>195</v>
      </c>
      <c r="D506" s="2">
        <f>LEN(Table2[[#This Row],[CLID]])</f>
        <v>7</v>
      </c>
      <c r="E506" s="2" t="str">
        <f>_xlfn.XLOOKUP('Volume Data'!A:A,'Geo Data'!D:D,'Geo Data'!B:B)</f>
        <v>GEO1004</v>
      </c>
      <c r="F506" s="2" t="str">
        <f>INDEX(GeoByClient[GEOID],MATCH(Table2[[#This Row],[CLID]],GeoByClient[Right],0))</f>
        <v>GEO1004</v>
      </c>
      <c r="G506" s="2" t="str">
        <f>_xlfn.XLOOKUP(Table2[[#This Row],[Xlookup Region ID]],GEONames[GEOID],GEONames[GEO Name])</f>
        <v>LATAM</v>
      </c>
      <c r="H506" s="2" t="str">
        <f>"Q"&amp;ROUNDUP(MONTH(Table2[[#This Row],[Date]])/3,0)&amp;" "&amp;YEAR(Table2[[#This Row],[Date]])</f>
        <v>Q3 2024</v>
      </c>
      <c r="I506" s="2" t="str">
        <f>VLOOKUP(Table2[[#This Row],[Date]],Table7[],3)</f>
        <v>Q3 2024</v>
      </c>
    </row>
    <row r="507" spans="1:9" x14ac:dyDescent="0.25">
      <c r="A507" s="3" t="s">
        <v>11</v>
      </c>
      <c r="B507" s="3">
        <v>45565</v>
      </c>
      <c r="C507" s="6">
        <v>232</v>
      </c>
      <c r="D507" s="2">
        <f>LEN(Table2[[#This Row],[CLID]])</f>
        <v>7</v>
      </c>
      <c r="E507" s="2" t="str">
        <f>_xlfn.XLOOKUP('Volume Data'!A:A,'Geo Data'!D:D,'Geo Data'!B:B)</f>
        <v>GEO1004</v>
      </c>
      <c r="F507" s="2" t="str">
        <f>INDEX(GeoByClient[GEOID],MATCH(Table2[[#This Row],[CLID]],GeoByClient[Right],0))</f>
        <v>GEO1004</v>
      </c>
      <c r="G507" s="2" t="str">
        <f>_xlfn.XLOOKUP(Table2[[#This Row],[Xlookup Region ID]],GEONames[GEOID],GEONames[GEO Name])</f>
        <v>LATAM</v>
      </c>
      <c r="H507" s="2" t="str">
        <f>"Q"&amp;ROUNDUP(MONTH(Table2[[#This Row],[Date]])/3,0)&amp;" "&amp;YEAR(Table2[[#This Row],[Date]])</f>
        <v>Q3 2024</v>
      </c>
      <c r="I507" s="2" t="str">
        <f>VLOOKUP(Table2[[#This Row],[Date]],Table7[],3)</f>
        <v>Q3 2024</v>
      </c>
    </row>
    <row r="508" spans="1:9" x14ac:dyDescent="0.25">
      <c r="A508" s="3" t="s">
        <v>11</v>
      </c>
      <c r="B508" s="3">
        <v>45596</v>
      </c>
      <c r="C508" s="6">
        <v>233</v>
      </c>
      <c r="D508" s="2">
        <f>LEN(Table2[[#This Row],[CLID]])</f>
        <v>7</v>
      </c>
      <c r="E508" s="2" t="str">
        <f>_xlfn.XLOOKUP('Volume Data'!A:A,'Geo Data'!D:D,'Geo Data'!B:B)</f>
        <v>GEO1004</v>
      </c>
      <c r="F508" s="2" t="str">
        <f>INDEX(GeoByClient[GEOID],MATCH(Table2[[#This Row],[CLID]],GeoByClient[Right],0))</f>
        <v>GEO1004</v>
      </c>
      <c r="G508" s="2" t="str">
        <f>_xlfn.XLOOKUP(Table2[[#This Row],[Xlookup Region ID]],GEONames[GEOID],GEONames[GEO Name])</f>
        <v>LATAM</v>
      </c>
      <c r="H508" s="2" t="str">
        <f>"Q"&amp;ROUNDUP(MONTH(Table2[[#This Row],[Date]])/3,0)&amp;" "&amp;YEAR(Table2[[#This Row],[Date]])</f>
        <v>Q4 2024</v>
      </c>
      <c r="I508" s="2" t="str">
        <f>VLOOKUP(Table2[[#This Row],[Date]],Table7[],3)</f>
        <v>Q4 2024</v>
      </c>
    </row>
    <row r="509" spans="1:9" x14ac:dyDescent="0.25">
      <c r="A509" s="3" t="s">
        <v>11</v>
      </c>
      <c r="B509" s="3">
        <v>45626</v>
      </c>
      <c r="C509" s="6">
        <v>306</v>
      </c>
      <c r="D509" s="2">
        <f>LEN(Table2[[#This Row],[CLID]])</f>
        <v>7</v>
      </c>
      <c r="E509" s="2" t="str">
        <f>_xlfn.XLOOKUP('Volume Data'!A:A,'Geo Data'!D:D,'Geo Data'!B:B)</f>
        <v>GEO1004</v>
      </c>
      <c r="F509" s="2" t="str">
        <f>INDEX(GeoByClient[GEOID],MATCH(Table2[[#This Row],[CLID]],GeoByClient[Right],0))</f>
        <v>GEO1004</v>
      </c>
      <c r="G509" s="2" t="str">
        <f>_xlfn.XLOOKUP(Table2[[#This Row],[Xlookup Region ID]],GEONames[GEOID],GEONames[GEO Name])</f>
        <v>LATAM</v>
      </c>
      <c r="H509" s="2" t="str">
        <f>"Q"&amp;ROUNDUP(MONTH(Table2[[#This Row],[Date]])/3,0)&amp;" "&amp;YEAR(Table2[[#This Row],[Date]])</f>
        <v>Q4 2024</v>
      </c>
      <c r="I509" s="2" t="str">
        <f>VLOOKUP(Table2[[#This Row],[Date]],Table7[],3)</f>
        <v>Q4 2024</v>
      </c>
    </row>
    <row r="510" spans="1:9" x14ac:dyDescent="0.25">
      <c r="A510" s="3" t="s">
        <v>11</v>
      </c>
      <c r="B510" s="3">
        <v>45657</v>
      </c>
      <c r="C510" s="6">
        <v>267</v>
      </c>
      <c r="D510" s="2">
        <f>LEN(Table2[[#This Row],[CLID]])</f>
        <v>7</v>
      </c>
      <c r="E510" s="2" t="str">
        <f>_xlfn.XLOOKUP('Volume Data'!A:A,'Geo Data'!D:D,'Geo Data'!B:B)</f>
        <v>GEO1004</v>
      </c>
      <c r="F510" s="2" t="str">
        <f>INDEX(GeoByClient[GEOID],MATCH(Table2[[#This Row],[CLID]],GeoByClient[Right],0))</f>
        <v>GEO1004</v>
      </c>
      <c r="G510" s="2" t="str">
        <f>_xlfn.XLOOKUP(Table2[[#This Row],[Xlookup Region ID]],GEONames[GEOID],GEONames[GEO Name])</f>
        <v>LATAM</v>
      </c>
      <c r="H510" s="2" t="str">
        <f>"Q"&amp;ROUNDUP(MONTH(Table2[[#This Row],[Date]])/3,0)&amp;" "&amp;YEAR(Table2[[#This Row],[Date]])</f>
        <v>Q4 2024</v>
      </c>
      <c r="I510" s="2" t="str">
        <f>VLOOKUP(Table2[[#This Row],[Date]],Table7[],3)</f>
        <v>Q4 2024</v>
      </c>
    </row>
    <row r="511" spans="1:9" x14ac:dyDescent="0.25">
      <c r="A511" s="3" t="s">
        <v>11</v>
      </c>
      <c r="B511" s="3">
        <v>45838</v>
      </c>
      <c r="C511" s="6">
        <v>261</v>
      </c>
      <c r="D511" s="2">
        <f>LEN(Table2[[#This Row],[CLID]])</f>
        <v>7</v>
      </c>
      <c r="E511" s="2" t="str">
        <f>_xlfn.XLOOKUP('Volume Data'!A:A,'Geo Data'!D:D,'Geo Data'!B:B)</f>
        <v>GEO1004</v>
      </c>
      <c r="F511" s="2" t="str">
        <f>INDEX(GeoByClient[GEOID],MATCH(Table2[[#This Row],[CLID]],GeoByClient[Right],0))</f>
        <v>GEO1004</v>
      </c>
      <c r="G511" s="2" t="str">
        <f>_xlfn.XLOOKUP(Table2[[#This Row],[Xlookup Region ID]],GEONames[GEOID],GEONames[GEO Name])</f>
        <v>LATAM</v>
      </c>
      <c r="H511" s="2" t="str">
        <f>"Q"&amp;ROUNDUP(MONTH(Table2[[#This Row],[Date]])/3,0)&amp;" "&amp;YEAR(Table2[[#This Row],[Date]])</f>
        <v>Q2 2025</v>
      </c>
      <c r="I511" s="2" t="str">
        <f>VLOOKUP(Table2[[#This Row],[Date]],Table7[],3)</f>
        <v>Q2 2025</v>
      </c>
    </row>
    <row r="512" spans="1:9" x14ac:dyDescent="0.25">
      <c r="A512" s="3" t="s">
        <v>11</v>
      </c>
      <c r="B512" s="3">
        <v>45808</v>
      </c>
      <c r="C512" s="6">
        <v>405</v>
      </c>
      <c r="D512" s="2">
        <f>LEN(Table2[[#This Row],[CLID]])</f>
        <v>7</v>
      </c>
      <c r="E512" s="2" t="str">
        <f>_xlfn.XLOOKUP('Volume Data'!A:A,'Geo Data'!D:D,'Geo Data'!B:B)</f>
        <v>GEO1004</v>
      </c>
      <c r="F512" s="2" t="str">
        <f>INDEX(GeoByClient[GEOID],MATCH(Table2[[#This Row],[CLID]],GeoByClient[Right],0))</f>
        <v>GEO1004</v>
      </c>
      <c r="G512" s="2" t="str">
        <f>_xlfn.XLOOKUP(Table2[[#This Row],[Xlookup Region ID]],GEONames[GEOID],GEONames[GEO Name])</f>
        <v>LATAM</v>
      </c>
      <c r="H512" s="2" t="str">
        <f>"Q"&amp;ROUNDUP(MONTH(Table2[[#This Row],[Date]])/3,0)&amp;" "&amp;YEAR(Table2[[#This Row],[Date]])</f>
        <v>Q2 2025</v>
      </c>
      <c r="I512" s="2" t="str">
        <f>VLOOKUP(Table2[[#This Row],[Date]],Table7[],3)</f>
        <v>Q2 2025</v>
      </c>
    </row>
    <row r="513" spans="1:9" x14ac:dyDescent="0.25">
      <c r="A513" s="3" t="s">
        <v>11</v>
      </c>
      <c r="B513" s="3">
        <v>45777</v>
      </c>
      <c r="C513" s="6">
        <v>422</v>
      </c>
      <c r="D513" s="2">
        <f>LEN(Table2[[#This Row],[CLID]])</f>
        <v>7</v>
      </c>
      <c r="E513" s="2" t="str">
        <f>_xlfn.XLOOKUP('Volume Data'!A:A,'Geo Data'!D:D,'Geo Data'!B:B)</f>
        <v>GEO1004</v>
      </c>
      <c r="F513" s="2" t="str">
        <f>INDEX(GeoByClient[GEOID],MATCH(Table2[[#This Row],[CLID]],GeoByClient[Right],0))</f>
        <v>GEO1004</v>
      </c>
      <c r="G513" s="2" t="str">
        <f>_xlfn.XLOOKUP(Table2[[#This Row],[Xlookup Region ID]],GEONames[GEOID],GEONames[GEO Name])</f>
        <v>LATAM</v>
      </c>
      <c r="H513" s="2" t="str">
        <f>"Q"&amp;ROUNDUP(MONTH(Table2[[#This Row],[Date]])/3,0)&amp;" "&amp;YEAR(Table2[[#This Row],[Date]])</f>
        <v>Q2 2025</v>
      </c>
      <c r="I513" s="2" t="str">
        <f>VLOOKUP(Table2[[#This Row],[Date]],Table7[],3)</f>
        <v>Q2 2025</v>
      </c>
    </row>
    <row r="514" spans="1:9" x14ac:dyDescent="0.25">
      <c r="A514" s="3" t="s">
        <v>11</v>
      </c>
      <c r="B514" s="3">
        <v>45747</v>
      </c>
      <c r="C514" s="6">
        <v>390</v>
      </c>
      <c r="D514" s="2">
        <f>LEN(Table2[[#This Row],[CLID]])</f>
        <v>7</v>
      </c>
      <c r="E514" s="2" t="str">
        <f>_xlfn.XLOOKUP('Volume Data'!A:A,'Geo Data'!D:D,'Geo Data'!B:B)</f>
        <v>GEO1004</v>
      </c>
      <c r="F514" s="2" t="str">
        <f>INDEX(GeoByClient[GEOID],MATCH(Table2[[#This Row],[CLID]],GeoByClient[Right],0))</f>
        <v>GEO1004</v>
      </c>
      <c r="G514" s="2" t="str">
        <f>_xlfn.XLOOKUP(Table2[[#This Row],[Xlookup Region ID]],GEONames[GEOID],GEONames[GEO Name])</f>
        <v>LATAM</v>
      </c>
      <c r="H514" s="2" t="str">
        <f>"Q"&amp;ROUNDUP(MONTH(Table2[[#This Row],[Date]])/3,0)&amp;" "&amp;YEAR(Table2[[#This Row],[Date]])</f>
        <v>Q1 2025</v>
      </c>
      <c r="I514" s="2" t="str">
        <f>VLOOKUP(Table2[[#This Row],[Date]],Table7[],3)</f>
        <v>Q4 2024</v>
      </c>
    </row>
    <row r="515" spans="1:9" x14ac:dyDescent="0.25">
      <c r="A515" s="3" t="s">
        <v>11</v>
      </c>
      <c r="B515" s="3">
        <v>45716</v>
      </c>
      <c r="C515" s="6">
        <v>304</v>
      </c>
      <c r="D515" s="2">
        <f>LEN(Table2[[#This Row],[CLID]])</f>
        <v>7</v>
      </c>
      <c r="E515" s="2" t="str">
        <f>_xlfn.XLOOKUP('Volume Data'!A:A,'Geo Data'!D:D,'Geo Data'!B:B)</f>
        <v>GEO1004</v>
      </c>
      <c r="F515" s="2" t="str">
        <f>INDEX(GeoByClient[GEOID],MATCH(Table2[[#This Row],[CLID]],GeoByClient[Right],0))</f>
        <v>GEO1004</v>
      </c>
      <c r="G515" s="2" t="str">
        <f>_xlfn.XLOOKUP(Table2[[#This Row],[Xlookup Region ID]],GEONames[GEOID],GEONames[GEO Name])</f>
        <v>LATAM</v>
      </c>
      <c r="H515" s="2" t="str">
        <f>"Q"&amp;ROUNDUP(MONTH(Table2[[#This Row],[Date]])/3,0)&amp;" "&amp;YEAR(Table2[[#This Row],[Date]])</f>
        <v>Q1 2025</v>
      </c>
      <c r="I515" s="2" t="str">
        <f>VLOOKUP(Table2[[#This Row],[Date]],Table7[],3)</f>
        <v>Q4 2024</v>
      </c>
    </row>
    <row r="516" spans="1:9" x14ac:dyDescent="0.25">
      <c r="A516" s="3" t="s">
        <v>11</v>
      </c>
      <c r="B516" s="3">
        <v>45688</v>
      </c>
      <c r="C516" s="6">
        <v>302</v>
      </c>
      <c r="D516" s="2">
        <f>LEN(Table2[[#This Row],[CLID]])</f>
        <v>7</v>
      </c>
      <c r="E516" s="2" t="str">
        <f>_xlfn.XLOOKUP('Volume Data'!A:A,'Geo Data'!D:D,'Geo Data'!B:B)</f>
        <v>GEO1004</v>
      </c>
      <c r="F516" s="2" t="str">
        <f>INDEX(GeoByClient[GEOID],MATCH(Table2[[#This Row],[CLID]],GeoByClient[Right],0))</f>
        <v>GEO1004</v>
      </c>
      <c r="G516" s="2" t="str">
        <f>_xlfn.XLOOKUP(Table2[[#This Row],[Xlookup Region ID]],GEONames[GEOID],GEONames[GEO Name])</f>
        <v>LATAM</v>
      </c>
      <c r="H516" s="2" t="str">
        <f>"Q"&amp;ROUNDUP(MONTH(Table2[[#This Row],[Date]])/3,0)&amp;" "&amp;YEAR(Table2[[#This Row],[Date]])</f>
        <v>Q1 2025</v>
      </c>
      <c r="I516" s="2" t="str">
        <f>VLOOKUP(Table2[[#This Row],[Date]],Table7[],3)</f>
        <v>Q4 2024</v>
      </c>
    </row>
    <row r="517" spans="1:9" x14ac:dyDescent="0.25">
      <c r="A517" s="3" t="s">
        <v>7</v>
      </c>
      <c r="B517" s="3">
        <v>45322</v>
      </c>
      <c r="C517" s="6">
        <v>30584</v>
      </c>
      <c r="D517" s="2">
        <f>LEN(Table2[[#This Row],[CLID]])</f>
        <v>7</v>
      </c>
      <c r="E517" s="2" t="str">
        <f>_xlfn.XLOOKUP('Volume Data'!A:A,'Geo Data'!D:D,'Geo Data'!B:B)</f>
        <v>GEO1001</v>
      </c>
      <c r="F517" s="2" t="str">
        <f>INDEX(GeoByClient[GEOID],MATCH(Table2[[#This Row],[CLID]],GeoByClient[Right],0))</f>
        <v>GEO1001</v>
      </c>
      <c r="G517" s="2" t="str">
        <f>_xlfn.XLOOKUP(Table2[[#This Row],[Xlookup Region ID]],GEONames[GEOID],GEONames[GEO Name])</f>
        <v>NAM</v>
      </c>
      <c r="H517" s="2" t="str">
        <f>"Q"&amp;ROUNDUP(MONTH(Table2[[#This Row],[Date]])/3,0)&amp;" "&amp;YEAR(Table2[[#This Row],[Date]])</f>
        <v>Q1 2024</v>
      </c>
      <c r="I517" s="2" t="str">
        <f>VLOOKUP(Table2[[#This Row],[Date]],Table7[],3)</f>
        <v>Q1 2024</v>
      </c>
    </row>
    <row r="518" spans="1:9" x14ac:dyDescent="0.25">
      <c r="A518" s="3" t="s">
        <v>7</v>
      </c>
      <c r="B518" s="3">
        <v>45351</v>
      </c>
      <c r="C518" s="6">
        <v>27186</v>
      </c>
      <c r="D518" s="2">
        <f>LEN(Table2[[#This Row],[CLID]])</f>
        <v>7</v>
      </c>
      <c r="E518" s="2" t="str">
        <f>_xlfn.XLOOKUP('Volume Data'!A:A,'Geo Data'!D:D,'Geo Data'!B:B)</f>
        <v>GEO1001</v>
      </c>
      <c r="F518" s="2" t="str">
        <f>INDEX(GeoByClient[GEOID],MATCH(Table2[[#This Row],[CLID]],GeoByClient[Right],0))</f>
        <v>GEO1001</v>
      </c>
      <c r="G518" s="2" t="str">
        <f>_xlfn.XLOOKUP(Table2[[#This Row],[Xlookup Region ID]],GEONames[GEOID],GEONames[GEO Name])</f>
        <v>NAM</v>
      </c>
      <c r="H518" s="2" t="str">
        <f>"Q"&amp;ROUNDUP(MONTH(Table2[[#This Row],[Date]])/3,0)&amp;" "&amp;YEAR(Table2[[#This Row],[Date]])</f>
        <v>Q1 2024</v>
      </c>
      <c r="I518" s="2" t="str">
        <f>VLOOKUP(Table2[[#This Row],[Date]],Table7[],3)</f>
        <v>Q1 2024</v>
      </c>
    </row>
    <row r="519" spans="1:9" x14ac:dyDescent="0.25">
      <c r="A519" s="3" t="s">
        <v>7</v>
      </c>
      <c r="B519" s="3">
        <v>45382</v>
      </c>
      <c r="C519" s="6">
        <v>37383</v>
      </c>
      <c r="D519" s="2">
        <f>LEN(Table2[[#This Row],[CLID]])</f>
        <v>7</v>
      </c>
      <c r="E519" s="2" t="str">
        <f>_xlfn.XLOOKUP('Volume Data'!A:A,'Geo Data'!D:D,'Geo Data'!B:B)</f>
        <v>GEO1001</v>
      </c>
      <c r="F519" s="2" t="str">
        <f>INDEX(GeoByClient[GEOID],MATCH(Table2[[#This Row],[CLID]],GeoByClient[Right],0))</f>
        <v>GEO1001</v>
      </c>
      <c r="G519" s="2" t="str">
        <f>_xlfn.XLOOKUP(Table2[[#This Row],[Xlookup Region ID]],GEONames[GEOID],GEONames[GEO Name])</f>
        <v>NAM</v>
      </c>
      <c r="H519" s="2" t="str">
        <f>"Q"&amp;ROUNDUP(MONTH(Table2[[#This Row],[Date]])/3,0)&amp;" "&amp;YEAR(Table2[[#This Row],[Date]])</f>
        <v>Q1 2024</v>
      </c>
      <c r="I519" s="2" t="str">
        <f>VLOOKUP(Table2[[#This Row],[Date]],Table7[],3)</f>
        <v>Q1 2024</v>
      </c>
    </row>
    <row r="520" spans="1:9" x14ac:dyDescent="0.25">
      <c r="A520" s="3" t="s">
        <v>7</v>
      </c>
      <c r="B520" s="3">
        <v>45412</v>
      </c>
      <c r="C520" s="6">
        <v>37379</v>
      </c>
      <c r="D520" s="2">
        <f>LEN(Table2[[#This Row],[CLID]])</f>
        <v>7</v>
      </c>
      <c r="E520" s="2" t="str">
        <f>_xlfn.XLOOKUP('Volume Data'!A:A,'Geo Data'!D:D,'Geo Data'!B:B)</f>
        <v>GEO1001</v>
      </c>
      <c r="F520" s="2" t="str">
        <f>INDEX(GeoByClient[GEOID],MATCH(Table2[[#This Row],[CLID]],GeoByClient[Right],0))</f>
        <v>GEO1001</v>
      </c>
      <c r="G520" s="2" t="str">
        <f>_xlfn.XLOOKUP(Table2[[#This Row],[Xlookup Region ID]],GEONames[GEOID],GEONames[GEO Name])</f>
        <v>NAM</v>
      </c>
      <c r="H520" s="2" t="str">
        <f>"Q"&amp;ROUNDUP(MONTH(Table2[[#This Row],[Date]])/3,0)&amp;" "&amp;YEAR(Table2[[#This Row],[Date]])</f>
        <v>Q2 2024</v>
      </c>
      <c r="I520" s="2" t="str">
        <f>VLOOKUP(Table2[[#This Row],[Date]],Table7[],3)</f>
        <v>Q2 2024</v>
      </c>
    </row>
    <row r="521" spans="1:9" x14ac:dyDescent="0.25">
      <c r="A521" s="3" t="s">
        <v>7</v>
      </c>
      <c r="B521" s="3">
        <v>45443</v>
      </c>
      <c r="C521" s="6">
        <v>40779</v>
      </c>
      <c r="D521" s="2">
        <f>LEN(Table2[[#This Row],[CLID]])</f>
        <v>7</v>
      </c>
      <c r="E521" s="2" t="str">
        <f>_xlfn.XLOOKUP('Volume Data'!A:A,'Geo Data'!D:D,'Geo Data'!B:B)</f>
        <v>GEO1001</v>
      </c>
      <c r="F521" s="2" t="str">
        <f>INDEX(GeoByClient[GEOID],MATCH(Table2[[#This Row],[CLID]],GeoByClient[Right],0))</f>
        <v>GEO1001</v>
      </c>
      <c r="G521" s="2" t="str">
        <f>_xlfn.XLOOKUP(Table2[[#This Row],[Xlookup Region ID]],GEONames[GEOID],GEONames[GEO Name])</f>
        <v>NAM</v>
      </c>
      <c r="H521" s="2" t="str">
        <f>"Q"&amp;ROUNDUP(MONTH(Table2[[#This Row],[Date]])/3,0)&amp;" "&amp;YEAR(Table2[[#This Row],[Date]])</f>
        <v>Q2 2024</v>
      </c>
      <c r="I521" s="2" t="str">
        <f>VLOOKUP(Table2[[#This Row],[Date]],Table7[],3)</f>
        <v>Q2 2024</v>
      </c>
    </row>
    <row r="522" spans="1:9" x14ac:dyDescent="0.25">
      <c r="A522" s="3" t="s">
        <v>7</v>
      </c>
      <c r="B522" s="3">
        <v>45473</v>
      </c>
      <c r="C522" s="6">
        <v>23788</v>
      </c>
      <c r="D522" s="2">
        <f>LEN(Table2[[#This Row],[CLID]])</f>
        <v>7</v>
      </c>
      <c r="E522" s="2" t="str">
        <f>_xlfn.XLOOKUP('Volume Data'!A:A,'Geo Data'!D:D,'Geo Data'!B:B)</f>
        <v>GEO1001</v>
      </c>
      <c r="F522" s="2" t="str">
        <f>INDEX(GeoByClient[GEOID],MATCH(Table2[[#This Row],[CLID]],GeoByClient[Right],0))</f>
        <v>GEO1001</v>
      </c>
      <c r="G522" s="2" t="str">
        <f>_xlfn.XLOOKUP(Table2[[#This Row],[Xlookup Region ID]],GEONames[GEOID],GEONames[GEO Name])</f>
        <v>NAM</v>
      </c>
      <c r="H522" s="2" t="str">
        <f>"Q"&amp;ROUNDUP(MONTH(Table2[[#This Row],[Date]])/3,0)&amp;" "&amp;YEAR(Table2[[#This Row],[Date]])</f>
        <v>Q2 2024</v>
      </c>
      <c r="I522" s="2" t="str">
        <f>VLOOKUP(Table2[[#This Row],[Date]],Table7[],3)</f>
        <v>Q2 2024</v>
      </c>
    </row>
    <row r="523" spans="1:9" x14ac:dyDescent="0.25">
      <c r="A523" s="3" t="s">
        <v>7</v>
      </c>
      <c r="B523" s="3">
        <v>45504</v>
      </c>
      <c r="C523" s="6">
        <v>27188</v>
      </c>
      <c r="D523" s="2">
        <f>LEN(Table2[[#This Row],[CLID]])</f>
        <v>7</v>
      </c>
      <c r="E523" s="2" t="str">
        <f>_xlfn.XLOOKUP('Volume Data'!A:A,'Geo Data'!D:D,'Geo Data'!B:B)</f>
        <v>GEO1001</v>
      </c>
      <c r="F523" s="2" t="str">
        <f>INDEX(GeoByClient[GEOID],MATCH(Table2[[#This Row],[CLID]],GeoByClient[Right],0))</f>
        <v>GEO1001</v>
      </c>
      <c r="G523" s="2" t="str">
        <f>_xlfn.XLOOKUP(Table2[[#This Row],[Xlookup Region ID]],GEONames[GEOID],GEONames[GEO Name])</f>
        <v>NAM</v>
      </c>
      <c r="H523" s="2" t="str">
        <f>"Q"&amp;ROUNDUP(MONTH(Table2[[#This Row],[Date]])/3,0)&amp;" "&amp;YEAR(Table2[[#This Row],[Date]])</f>
        <v>Q3 2024</v>
      </c>
      <c r="I523" s="2" t="str">
        <f>VLOOKUP(Table2[[#This Row],[Date]],Table7[],3)</f>
        <v>Q3 2024</v>
      </c>
    </row>
    <row r="524" spans="1:9" x14ac:dyDescent="0.25">
      <c r="A524" s="3" t="s">
        <v>7</v>
      </c>
      <c r="B524" s="3">
        <v>45535</v>
      </c>
      <c r="C524" s="6">
        <v>16996</v>
      </c>
      <c r="D524" s="2">
        <f>LEN(Table2[[#This Row],[CLID]])</f>
        <v>7</v>
      </c>
      <c r="E524" s="2" t="str">
        <f>_xlfn.XLOOKUP('Volume Data'!A:A,'Geo Data'!D:D,'Geo Data'!B:B)</f>
        <v>GEO1001</v>
      </c>
      <c r="F524" s="2" t="str">
        <f>INDEX(GeoByClient[GEOID],MATCH(Table2[[#This Row],[CLID]],GeoByClient[Right],0))</f>
        <v>GEO1001</v>
      </c>
      <c r="G524" s="2" t="str">
        <f>_xlfn.XLOOKUP(Table2[[#This Row],[Xlookup Region ID]],GEONames[GEOID],GEONames[GEO Name])</f>
        <v>NAM</v>
      </c>
      <c r="H524" s="2" t="str">
        <f>"Q"&amp;ROUNDUP(MONTH(Table2[[#This Row],[Date]])/3,0)&amp;" "&amp;YEAR(Table2[[#This Row],[Date]])</f>
        <v>Q3 2024</v>
      </c>
      <c r="I524" s="2" t="str">
        <f>VLOOKUP(Table2[[#This Row],[Date]],Table7[],3)</f>
        <v>Q3 2024</v>
      </c>
    </row>
    <row r="525" spans="1:9" x14ac:dyDescent="0.25">
      <c r="A525" s="3" t="s">
        <v>7</v>
      </c>
      <c r="B525" s="3">
        <v>45565</v>
      </c>
      <c r="C525" s="6">
        <v>23792</v>
      </c>
      <c r="D525" s="2">
        <f>LEN(Table2[[#This Row],[CLID]])</f>
        <v>7</v>
      </c>
      <c r="E525" s="2" t="str">
        <f>_xlfn.XLOOKUP('Volume Data'!A:A,'Geo Data'!D:D,'Geo Data'!B:B)</f>
        <v>GEO1001</v>
      </c>
      <c r="F525" s="2" t="str">
        <f>INDEX(GeoByClient[GEOID],MATCH(Table2[[#This Row],[CLID]],GeoByClient[Right],0))</f>
        <v>GEO1001</v>
      </c>
      <c r="G525" s="2" t="str">
        <f>_xlfn.XLOOKUP(Table2[[#This Row],[Xlookup Region ID]],GEONames[GEOID],GEONames[GEO Name])</f>
        <v>NAM</v>
      </c>
      <c r="H525" s="2" t="str">
        <f>"Q"&amp;ROUNDUP(MONTH(Table2[[#This Row],[Date]])/3,0)&amp;" "&amp;YEAR(Table2[[#This Row],[Date]])</f>
        <v>Q3 2024</v>
      </c>
      <c r="I525" s="2" t="str">
        <f>VLOOKUP(Table2[[#This Row],[Date]],Table7[],3)</f>
        <v>Q3 2024</v>
      </c>
    </row>
    <row r="526" spans="1:9" x14ac:dyDescent="0.25">
      <c r="A526" s="3" t="s">
        <v>7</v>
      </c>
      <c r="B526" s="3">
        <v>45596</v>
      </c>
      <c r="C526" s="6">
        <v>20390</v>
      </c>
      <c r="D526" s="2">
        <f>LEN(Table2[[#This Row],[CLID]])</f>
        <v>7</v>
      </c>
      <c r="E526" s="2" t="str">
        <f>_xlfn.XLOOKUP('Volume Data'!A:A,'Geo Data'!D:D,'Geo Data'!B:B)</f>
        <v>GEO1001</v>
      </c>
      <c r="F526" s="2" t="str">
        <f>INDEX(GeoByClient[GEOID],MATCH(Table2[[#This Row],[CLID]],GeoByClient[Right],0))</f>
        <v>GEO1001</v>
      </c>
      <c r="G526" s="2" t="str">
        <f>_xlfn.XLOOKUP(Table2[[#This Row],[Xlookup Region ID]],GEONames[GEOID],GEONames[GEO Name])</f>
        <v>NAM</v>
      </c>
      <c r="H526" s="2" t="str">
        <f>"Q"&amp;ROUNDUP(MONTH(Table2[[#This Row],[Date]])/3,0)&amp;" "&amp;YEAR(Table2[[#This Row],[Date]])</f>
        <v>Q4 2024</v>
      </c>
      <c r="I526" s="2" t="str">
        <f>VLOOKUP(Table2[[#This Row],[Date]],Table7[],3)</f>
        <v>Q4 2024</v>
      </c>
    </row>
    <row r="527" spans="1:9" x14ac:dyDescent="0.25">
      <c r="A527" s="3" t="s">
        <v>7</v>
      </c>
      <c r="B527" s="3">
        <v>45626</v>
      </c>
      <c r="C527" s="6">
        <v>30586</v>
      </c>
      <c r="D527" s="2">
        <f>LEN(Table2[[#This Row],[CLID]])</f>
        <v>7</v>
      </c>
      <c r="E527" s="2" t="str">
        <f>_xlfn.XLOOKUP('Volume Data'!A:A,'Geo Data'!D:D,'Geo Data'!B:B)</f>
        <v>GEO1001</v>
      </c>
      <c r="F527" s="2" t="str">
        <f>INDEX(GeoByClient[GEOID],MATCH(Table2[[#This Row],[CLID]],GeoByClient[Right],0))</f>
        <v>GEO1001</v>
      </c>
      <c r="G527" s="2" t="str">
        <f>_xlfn.XLOOKUP(Table2[[#This Row],[Xlookup Region ID]],GEONames[GEOID],GEONames[GEO Name])</f>
        <v>NAM</v>
      </c>
      <c r="H527" s="2" t="str">
        <f>"Q"&amp;ROUNDUP(MONTH(Table2[[#This Row],[Date]])/3,0)&amp;" "&amp;YEAR(Table2[[#This Row],[Date]])</f>
        <v>Q4 2024</v>
      </c>
      <c r="I527" s="2" t="str">
        <f>VLOOKUP(Table2[[#This Row],[Date]],Table7[],3)</f>
        <v>Q4 2024</v>
      </c>
    </row>
    <row r="528" spans="1:9" x14ac:dyDescent="0.25">
      <c r="A528" s="3" t="s">
        <v>7</v>
      </c>
      <c r="B528" s="3">
        <v>45657</v>
      </c>
      <c r="C528" s="6">
        <v>23787</v>
      </c>
      <c r="D528" s="2">
        <f>LEN(Table2[[#This Row],[CLID]])</f>
        <v>7</v>
      </c>
      <c r="E528" s="2" t="str">
        <f>_xlfn.XLOOKUP('Volume Data'!A:A,'Geo Data'!D:D,'Geo Data'!B:B)</f>
        <v>GEO1001</v>
      </c>
      <c r="F528" s="2" t="str">
        <f>INDEX(GeoByClient[GEOID],MATCH(Table2[[#This Row],[CLID]],GeoByClient[Right],0))</f>
        <v>GEO1001</v>
      </c>
      <c r="G528" s="2" t="str">
        <f>_xlfn.XLOOKUP(Table2[[#This Row],[Xlookup Region ID]],GEONames[GEOID],GEONames[GEO Name])</f>
        <v>NAM</v>
      </c>
      <c r="H528" s="2" t="str">
        <f>"Q"&amp;ROUNDUP(MONTH(Table2[[#This Row],[Date]])/3,0)&amp;" "&amp;YEAR(Table2[[#This Row],[Date]])</f>
        <v>Q4 2024</v>
      </c>
      <c r="I528" s="2" t="str">
        <f>VLOOKUP(Table2[[#This Row],[Date]],Table7[],3)</f>
        <v>Q4 2024</v>
      </c>
    </row>
    <row r="529" spans="1:9" x14ac:dyDescent="0.25">
      <c r="A529" s="3" t="s">
        <v>7</v>
      </c>
      <c r="B529" s="3">
        <v>45838</v>
      </c>
      <c r="C529" s="6">
        <v>24737</v>
      </c>
      <c r="D529" s="2">
        <f>LEN(Table2[[#This Row],[CLID]])</f>
        <v>7</v>
      </c>
      <c r="E529" s="2" t="str">
        <f>_xlfn.XLOOKUP('Volume Data'!A:A,'Geo Data'!D:D,'Geo Data'!B:B)</f>
        <v>GEO1001</v>
      </c>
      <c r="F529" s="2" t="str">
        <f>INDEX(GeoByClient[GEOID],MATCH(Table2[[#This Row],[CLID]],GeoByClient[Right],0))</f>
        <v>GEO1001</v>
      </c>
      <c r="G529" s="2" t="str">
        <f>_xlfn.XLOOKUP(Table2[[#This Row],[Xlookup Region ID]],GEONames[GEOID],GEONames[GEO Name])</f>
        <v>NAM</v>
      </c>
      <c r="H529" s="2" t="str">
        <f>"Q"&amp;ROUNDUP(MONTH(Table2[[#This Row],[Date]])/3,0)&amp;" "&amp;YEAR(Table2[[#This Row],[Date]])</f>
        <v>Q2 2025</v>
      </c>
      <c r="I529" s="2" t="str">
        <f>VLOOKUP(Table2[[#This Row],[Date]],Table7[],3)</f>
        <v>Q2 2025</v>
      </c>
    </row>
    <row r="530" spans="1:9" x14ac:dyDescent="0.25">
      <c r="A530" s="3" t="s">
        <v>7</v>
      </c>
      <c r="B530" s="3">
        <v>45808</v>
      </c>
      <c r="C530" s="6">
        <v>41598</v>
      </c>
      <c r="D530" s="2">
        <f>LEN(Table2[[#This Row],[CLID]])</f>
        <v>7</v>
      </c>
      <c r="E530" s="2" t="str">
        <f>_xlfn.XLOOKUP('Volume Data'!A:A,'Geo Data'!D:D,'Geo Data'!B:B)</f>
        <v>GEO1001</v>
      </c>
      <c r="F530" s="2" t="str">
        <f>INDEX(GeoByClient[GEOID],MATCH(Table2[[#This Row],[CLID]],GeoByClient[Right],0))</f>
        <v>GEO1001</v>
      </c>
      <c r="G530" s="2" t="str">
        <f>_xlfn.XLOOKUP(Table2[[#This Row],[Xlookup Region ID]],GEONames[GEOID],GEONames[GEO Name])</f>
        <v>NAM</v>
      </c>
      <c r="H530" s="2" t="str">
        <f>"Q"&amp;ROUNDUP(MONTH(Table2[[#This Row],[Date]])/3,0)&amp;" "&amp;YEAR(Table2[[#This Row],[Date]])</f>
        <v>Q2 2025</v>
      </c>
      <c r="I530" s="2" t="str">
        <f>VLOOKUP(Table2[[#This Row],[Date]],Table7[],3)</f>
        <v>Q2 2025</v>
      </c>
    </row>
    <row r="531" spans="1:9" x14ac:dyDescent="0.25">
      <c r="A531" s="3" t="s">
        <v>7</v>
      </c>
      <c r="B531" s="3">
        <v>45777</v>
      </c>
      <c r="C531" s="6">
        <v>38878</v>
      </c>
      <c r="D531" s="2">
        <f>LEN(Table2[[#This Row],[CLID]])</f>
        <v>7</v>
      </c>
      <c r="E531" s="2" t="str">
        <f>_xlfn.XLOOKUP('Volume Data'!A:A,'Geo Data'!D:D,'Geo Data'!B:B)</f>
        <v>GEO1001</v>
      </c>
      <c r="F531" s="2" t="str">
        <f>INDEX(GeoByClient[GEOID],MATCH(Table2[[#This Row],[CLID]],GeoByClient[Right],0))</f>
        <v>GEO1001</v>
      </c>
      <c r="G531" s="2" t="str">
        <f>_xlfn.XLOOKUP(Table2[[#This Row],[Xlookup Region ID]],GEONames[GEOID],GEONames[GEO Name])</f>
        <v>NAM</v>
      </c>
      <c r="H531" s="2" t="str">
        <f>"Q"&amp;ROUNDUP(MONTH(Table2[[#This Row],[Date]])/3,0)&amp;" "&amp;YEAR(Table2[[#This Row],[Date]])</f>
        <v>Q2 2025</v>
      </c>
      <c r="I531" s="2" t="str">
        <f>VLOOKUP(Table2[[#This Row],[Date]],Table7[],3)</f>
        <v>Q2 2025</v>
      </c>
    </row>
    <row r="532" spans="1:9" x14ac:dyDescent="0.25">
      <c r="A532" s="3" t="s">
        <v>7</v>
      </c>
      <c r="B532" s="3">
        <v>45747</v>
      </c>
      <c r="C532" s="6">
        <v>39253</v>
      </c>
      <c r="D532" s="2">
        <f>LEN(Table2[[#This Row],[CLID]])</f>
        <v>7</v>
      </c>
      <c r="E532" s="2" t="str">
        <f>_xlfn.XLOOKUP('Volume Data'!A:A,'Geo Data'!D:D,'Geo Data'!B:B)</f>
        <v>GEO1001</v>
      </c>
      <c r="F532" s="2" t="str">
        <f>INDEX(GeoByClient[GEOID],MATCH(Table2[[#This Row],[CLID]],GeoByClient[Right],0))</f>
        <v>GEO1001</v>
      </c>
      <c r="G532" s="2" t="str">
        <f>_xlfn.XLOOKUP(Table2[[#This Row],[Xlookup Region ID]],GEONames[GEOID],GEONames[GEO Name])</f>
        <v>NAM</v>
      </c>
      <c r="H532" s="2" t="str">
        <f>"Q"&amp;ROUNDUP(MONTH(Table2[[#This Row],[Date]])/3,0)&amp;" "&amp;YEAR(Table2[[#This Row],[Date]])</f>
        <v>Q1 2025</v>
      </c>
      <c r="I532" s="2" t="str">
        <f>VLOOKUP(Table2[[#This Row],[Date]],Table7[],3)</f>
        <v>Q4 2024</v>
      </c>
    </row>
    <row r="533" spans="1:9" x14ac:dyDescent="0.25">
      <c r="A533" s="3" t="s">
        <v>7</v>
      </c>
      <c r="B533" s="3">
        <v>45716</v>
      </c>
      <c r="C533" s="6">
        <v>27048</v>
      </c>
      <c r="D533" s="2">
        <f>LEN(Table2[[#This Row],[CLID]])</f>
        <v>7</v>
      </c>
      <c r="E533" s="2" t="str">
        <f>_xlfn.XLOOKUP('Volume Data'!A:A,'Geo Data'!D:D,'Geo Data'!B:B)</f>
        <v>GEO1001</v>
      </c>
      <c r="F533" s="2" t="str">
        <f>INDEX(GeoByClient[GEOID],MATCH(Table2[[#This Row],[CLID]],GeoByClient[Right],0))</f>
        <v>GEO1001</v>
      </c>
      <c r="G533" s="2" t="str">
        <f>_xlfn.XLOOKUP(Table2[[#This Row],[Xlookup Region ID]],GEONames[GEOID],GEONames[GEO Name])</f>
        <v>NAM</v>
      </c>
      <c r="H533" s="2" t="str">
        <f>"Q"&amp;ROUNDUP(MONTH(Table2[[#This Row],[Date]])/3,0)&amp;" "&amp;YEAR(Table2[[#This Row],[Date]])</f>
        <v>Q1 2025</v>
      </c>
      <c r="I533" s="2" t="str">
        <f>VLOOKUP(Table2[[#This Row],[Date]],Table7[],3)</f>
        <v>Q4 2024</v>
      </c>
    </row>
    <row r="534" spans="1:9" x14ac:dyDescent="0.25">
      <c r="A534" s="3" t="s">
        <v>7</v>
      </c>
      <c r="B534" s="3">
        <v>45688</v>
      </c>
      <c r="C534" s="6">
        <v>32111</v>
      </c>
      <c r="D534" s="2">
        <f>LEN(Table2[[#This Row],[CLID]])</f>
        <v>7</v>
      </c>
      <c r="E534" s="2" t="str">
        <f>_xlfn.XLOOKUP('Volume Data'!A:A,'Geo Data'!D:D,'Geo Data'!B:B)</f>
        <v>GEO1001</v>
      </c>
      <c r="F534" s="2" t="str">
        <f>INDEX(GeoByClient[GEOID],MATCH(Table2[[#This Row],[CLID]],GeoByClient[Right],0))</f>
        <v>GEO1001</v>
      </c>
      <c r="G534" s="2" t="str">
        <f>_xlfn.XLOOKUP(Table2[[#This Row],[Xlookup Region ID]],GEONames[GEOID],GEONames[GEO Name])</f>
        <v>NAM</v>
      </c>
      <c r="H534" s="2" t="str">
        <f>"Q"&amp;ROUNDUP(MONTH(Table2[[#This Row],[Date]])/3,0)&amp;" "&amp;YEAR(Table2[[#This Row],[Date]])</f>
        <v>Q1 2025</v>
      </c>
      <c r="I534" s="2" t="str">
        <f>VLOOKUP(Table2[[#This Row],[Date]],Table7[],3)</f>
        <v>Q4 2024</v>
      </c>
    </row>
    <row r="535" spans="1:9" x14ac:dyDescent="0.25">
      <c r="A535" s="3" t="s">
        <v>31</v>
      </c>
      <c r="B535" s="3">
        <v>45322</v>
      </c>
      <c r="C535" s="6">
        <v>866</v>
      </c>
      <c r="D535" s="2">
        <f>LEN(Table2[[#This Row],[CLID]])</f>
        <v>7</v>
      </c>
      <c r="E535" s="2" t="str">
        <f>_xlfn.XLOOKUP('Volume Data'!A:A,'Geo Data'!D:D,'Geo Data'!B:B)</f>
        <v>GEO1003</v>
      </c>
      <c r="F535" s="2" t="str">
        <f>INDEX(GeoByClient[GEOID],MATCH(Table2[[#This Row],[CLID]],GeoByClient[Right],0))</f>
        <v>GEO1003</v>
      </c>
      <c r="G535" s="2" t="str">
        <f>_xlfn.XLOOKUP(Table2[[#This Row],[Xlookup Region ID]],GEONames[GEOID],GEONames[GEO Name])</f>
        <v>EMEA</v>
      </c>
      <c r="H535" s="2" t="str">
        <f>"Q"&amp;ROUNDUP(MONTH(Table2[[#This Row],[Date]])/3,0)&amp;" "&amp;YEAR(Table2[[#This Row],[Date]])</f>
        <v>Q1 2024</v>
      </c>
      <c r="I535" s="2" t="str">
        <f>VLOOKUP(Table2[[#This Row],[Date]],Table7[],3)</f>
        <v>Q1 2024</v>
      </c>
    </row>
    <row r="536" spans="1:9" x14ac:dyDescent="0.25">
      <c r="A536" s="3" t="s">
        <v>31</v>
      </c>
      <c r="B536" s="3">
        <v>45351</v>
      </c>
      <c r="C536" s="6">
        <v>1101</v>
      </c>
      <c r="D536" s="2">
        <f>LEN(Table2[[#This Row],[CLID]])</f>
        <v>7</v>
      </c>
      <c r="E536" s="2" t="str">
        <f>_xlfn.XLOOKUP('Volume Data'!A:A,'Geo Data'!D:D,'Geo Data'!B:B)</f>
        <v>GEO1003</v>
      </c>
      <c r="F536" s="2" t="str">
        <f>INDEX(GeoByClient[GEOID],MATCH(Table2[[#This Row],[CLID]],GeoByClient[Right],0))</f>
        <v>GEO1003</v>
      </c>
      <c r="G536" s="2" t="str">
        <f>_xlfn.XLOOKUP(Table2[[#This Row],[Xlookup Region ID]],GEONames[GEOID],GEONames[GEO Name])</f>
        <v>EMEA</v>
      </c>
      <c r="H536" s="2" t="str">
        <f>"Q"&amp;ROUNDUP(MONTH(Table2[[#This Row],[Date]])/3,0)&amp;" "&amp;YEAR(Table2[[#This Row],[Date]])</f>
        <v>Q1 2024</v>
      </c>
      <c r="I536" s="2" t="str">
        <f>VLOOKUP(Table2[[#This Row],[Date]],Table7[],3)</f>
        <v>Q1 2024</v>
      </c>
    </row>
    <row r="537" spans="1:9" x14ac:dyDescent="0.25">
      <c r="A537" s="3" t="s">
        <v>31</v>
      </c>
      <c r="B537" s="3">
        <v>45382</v>
      </c>
      <c r="C537" s="6">
        <v>1103</v>
      </c>
      <c r="D537" s="2">
        <f>LEN(Table2[[#This Row],[CLID]])</f>
        <v>7</v>
      </c>
      <c r="E537" s="2" t="str">
        <f>_xlfn.XLOOKUP('Volume Data'!A:A,'Geo Data'!D:D,'Geo Data'!B:B)</f>
        <v>GEO1003</v>
      </c>
      <c r="F537" s="2" t="str">
        <f>INDEX(GeoByClient[GEOID],MATCH(Table2[[#This Row],[CLID]],GeoByClient[Right],0))</f>
        <v>GEO1003</v>
      </c>
      <c r="G537" s="2" t="str">
        <f>_xlfn.XLOOKUP(Table2[[#This Row],[Xlookup Region ID]],GEONames[GEOID],GEONames[GEO Name])</f>
        <v>EMEA</v>
      </c>
      <c r="H537" s="2" t="str">
        <f>"Q"&amp;ROUNDUP(MONTH(Table2[[#This Row],[Date]])/3,0)&amp;" "&amp;YEAR(Table2[[#This Row],[Date]])</f>
        <v>Q1 2024</v>
      </c>
      <c r="I537" s="2" t="str">
        <f>VLOOKUP(Table2[[#This Row],[Date]],Table7[],3)</f>
        <v>Q1 2024</v>
      </c>
    </row>
    <row r="538" spans="1:9" x14ac:dyDescent="0.25">
      <c r="A538" s="3" t="s">
        <v>31</v>
      </c>
      <c r="B538" s="3">
        <v>45412</v>
      </c>
      <c r="C538" s="6">
        <v>1447</v>
      </c>
      <c r="D538" s="2">
        <f>LEN(Table2[[#This Row],[CLID]])</f>
        <v>7</v>
      </c>
      <c r="E538" s="2" t="str">
        <f>_xlfn.XLOOKUP('Volume Data'!A:A,'Geo Data'!D:D,'Geo Data'!B:B)</f>
        <v>GEO1003</v>
      </c>
      <c r="F538" s="2" t="str">
        <f>INDEX(GeoByClient[GEOID],MATCH(Table2[[#This Row],[CLID]],GeoByClient[Right],0))</f>
        <v>GEO1003</v>
      </c>
      <c r="G538" s="2" t="str">
        <f>_xlfn.XLOOKUP(Table2[[#This Row],[Xlookup Region ID]],GEONames[GEOID],GEONames[GEO Name])</f>
        <v>EMEA</v>
      </c>
      <c r="H538" s="2" t="str">
        <f>"Q"&amp;ROUNDUP(MONTH(Table2[[#This Row],[Date]])/3,0)&amp;" "&amp;YEAR(Table2[[#This Row],[Date]])</f>
        <v>Q2 2024</v>
      </c>
      <c r="I538" s="2" t="str">
        <f>VLOOKUP(Table2[[#This Row],[Date]],Table7[],3)</f>
        <v>Q2 2024</v>
      </c>
    </row>
    <row r="539" spans="1:9" x14ac:dyDescent="0.25">
      <c r="A539" s="3" t="s">
        <v>31</v>
      </c>
      <c r="B539" s="3">
        <v>45443</v>
      </c>
      <c r="C539" s="6">
        <v>1213</v>
      </c>
      <c r="D539" s="2">
        <f>LEN(Table2[[#This Row],[CLID]])</f>
        <v>7</v>
      </c>
      <c r="E539" s="2" t="str">
        <f>_xlfn.XLOOKUP('Volume Data'!A:A,'Geo Data'!D:D,'Geo Data'!B:B)</f>
        <v>GEO1003</v>
      </c>
      <c r="F539" s="2" t="str">
        <f>INDEX(GeoByClient[GEOID],MATCH(Table2[[#This Row],[CLID]],GeoByClient[Right],0))</f>
        <v>GEO1003</v>
      </c>
      <c r="G539" s="2" t="str">
        <f>_xlfn.XLOOKUP(Table2[[#This Row],[Xlookup Region ID]],GEONames[GEOID],GEONames[GEO Name])</f>
        <v>EMEA</v>
      </c>
      <c r="H539" s="2" t="str">
        <f>"Q"&amp;ROUNDUP(MONTH(Table2[[#This Row],[Date]])/3,0)&amp;" "&amp;YEAR(Table2[[#This Row],[Date]])</f>
        <v>Q2 2024</v>
      </c>
      <c r="I539" s="2" t="str">
        <f>VLOOKUP(Table2[[#This Row],[Date]],Table7[],3)</f>
        <v>Q2 2024</v>
      </c>
    </row>
    <row r="540" spans="1:9" x14ac:dyDescent="0.25">
      <c r="A540" s="3" t="s">
        <v>31</v>
      </c>
      <c r="B540" s="3">
        <v>45473</v>
      </c>
      <c r="C540" s="6">
        <v>988</v>
      </c>
      <c r="D540" s="2">
        <f>LEN(Table2[[#This Row],[CLID]])</f>
        <v>7</v>
      </c>
      <c r="E540" s="2" t="str">
        <f>_xlfn.XLOOKUP('Volume Data'!A:A,'Geo Data'!D:D,'Geo Data'!B:B)</f>
        <v>GEO1003</v>
      </c>
      <c r="F540" s="2" t="str">
        <f>INDEX(GeoByClient[GEOID],MATCH(Table2[[#This Row],[CLID]],GeoByClient[Right],0))</f>
        <v>GEO1003</v>
      </c>
      <c r="G540" s="2" t="str">
        <f>_xlfn.XLOOKUP(Table2[[#This Row],[Xlookup Region ID]],GEONames[GEOID],GEONames[GEO Name])</f>
        <v>EMEA</v>
      </c>
      <c r="H540" s="2" t="str">
        <f>"Q"&amp;ROUNDUP(MONTH(Table2[[#This Row],[Date]])/3,0)&amp;" "&amp;YEAR(Table2[[#This Row],[Date]])</f>
        <v>Q2 2024</v>
      </c>
      <c r="I540" s="2" t="str">
        <f>VLOOKUP(Table2[[#This Row],[Date]],Table7[],3)</f>
        <v>Q2 2024</v>
      </c>
    </row>
    <row r="541" spans="1:9" x14ac:dyDescent="0.25">
      <c r="A541" s="3" t="s">
        <v>31</v>
      </c>
      <c r="B541" s="3">
        <v>45504</v>
      </c>
      <c r="C541" s="6">
        <v>752</v>
      </c>
      <c r="D541" s="2">
        <f>LEN(Table2[[#This Row],[CLID]])</f>
        <v>7</v>
      </c>
      <c r="E541" s="2" t="str">
        <f>_xlfn.XLOOKUP('Volume Data'!A:A,'Geo Data'!D:D,'Geo Data'!B:B)</f>
        <v>GEO1003</v>
      </c>
      <c r="F541" s="2" t="str">
        <f>INDEX(GeoByClient[GEOID],MATCH(Table2[[#This Row],[CLID]],GeoByClient[Right],0))</f>
        <v>GEO1003</v>
      </c>
      <c r="G541" s="2" t="str">
        <f>_xlfn.XLOOKUP(Table2[[#This Row],[Xlookup Region ID]],GEONames[GEOID],GEONames[GEO Name])</f>
        <v>EMEA</v>
      </c>
      <c r="H541" s="2" t="str">
        <f>"Q"&amp;ROUNDUP(MONTH(Table2[[#This Row],[Date]])/3,0)&amp;" "&amp;YEAR(Table2[[#This Row],[Date]])</f>
        <v>Q3 2024</v>
      </c>
      <c r="I541" s="2" t="str">
        <f>VLOOKUP(Table2[[#This Row],[Date]],Table7[],3)</f>
        <v>Q3 2024</v>
      </c>
    </row>
    <row r="542" spans="1:9" x14ac:dyDescent="0.25">
      <c r="A542" s="3" t="s">
        <v>31</v>
      </c>
      <c r="B542" s="3">
        <v>45535</v>
      </c>
      <c r="C542" s="6">
        <v>756</v>
      </c>
      <c r="D542" s="2">
        <f>LEN(Table2[[#This Row],[CLID]])</f>
        <v>7</v>
      </c>
      <c r="E542" s="2" t="str">
        <f>_xlfn.XLOOKUP('Volume Data'!A:A,'Geo Data'!D:D,'Geo Data'!B:B)</f>
        <v>GEO1003</v>
      </c>
      <c r="F542" s="2" t="str">
        <f>INDEX(GeoByClient[GEOID],MATCH(Table2[[#This Row],[CLID]],GeoByClient[Right],0))</f>
        <v>GEO1003</v>
      </c>
      <c r="G542" s="2" t="str">
        <f>_xlfn.XLOOKUP(Table2[[#This Row],[Xlookup Region ID]],GEONames[GEOID],GEONames[GEO Name])</f>
        <v>EMEA</v>
      </c>
      <c r="H542" s="2" t="str">
        <f>"Q"&amp;ROUNDUP(MONTH(Table2[[#This Row],[Date]])/3,0)&amp;" "&amp;YEAR(Table2[[#This Row],[Date]])</f>
        <v>Q3 2024</v>
      </c>
      <c r="I542" s="2" t="str">
        <f>VLOOKUP(Table2[[#This Row],[Date]],Table7[],3)</f>
        <v>Q3 2024</v>
      </c>
    </row>
    <row r="543" spans="1:9" x14ac:dyDescent="0.25">
      <c r="A543" s="3" t="s">
        <v>31</v>
      </c>
      <c r="B543" s="3">
        <v>45565</v>
      </c>
      <c r="C543" s="6">
        <v>641</v>
      </c>
      <c r="D543" s="2">
        <f>LEN(Table2[[#This Row],[CLID]])</f>
        <v>7</v>
      </c>
      <c r="E543" s="2" t="str">
        <f>_xlfn.XLOOKUP('Volume Data'!A:A,'Geo Data'!D:D,'Geo Data'!B:B)</f>
        <v>GEO1003</v>
      </c>
      <c r="F543" s="2" t="str">
        <f>INDEX(GeoByClient[GEOID],MATCH(Table2[[#This Row],[CLID]],GeoByClient[Right],0))</f>
        <v>GEO1003</v>
      </c>
      <c r="G543" s="2" t="str">
        <f>_xlfn.XLOOKUP(Table2[[#This Row],[Xlookup Region ID]],GEONames[GEOID],GEONames[GEO Name])</f>
        <v>EMEA</v>
      </c>
      <c r="H543" s="2" t="str">
        <f>"Q"&amp;ROUNDUP(MONTH(Table2[[#This Row],[Date]])/3,0)&amp;" "&amp;YEAR(Table2[[#This Row],[Date]])</f>
        <v>Q3 2024</v>
      </c>
      <c r="I543" s="2" t="str">
        <f>VLOOKUP(Table2[[#This Row],[Date]],Table7[],3)</f>
        <v>Q3 2024</v>
      </c>
    </row>
    <row r="544" spans="1:9" x14ac:dyDescent="0.25">
      <c r="A544" s="3" t="s">
        <v>31</v>
      </c>
      <c r="B544" s="3">
        <v>45596</v>
      </c>
      <c r="C544" s="6">
        <v>867</v>
      </c>
      <c r="D544" s="2">
        <f>LEN(Table2[[#This Row],[CLID]])</f>
        <v>7</v>
      </c>
      <c r="E544" s="2" t="str">
        <f>_xlfn.XLOOKUP('Volume Data'!A:A,'Geo Data'!D:D,'Geo Data'!B:B)</f>
        <v>GEO1003</v>
      </c>
      <c r="F544" s="2" t="str">
        <f>INDEX(GeoByClient[GEOID],MATCH(Table2[[#This Row],[CLID]],GeoByClient[Right],0))</f>
        <v>GEO1003</v>
      </c>
      <c r="G544" s="2" t="str">
        <f>_xlfn.XLOOKUP(Table2[[#This Row],[Xlookup Region ID]],GEONames[GEOID],GEONames[GEO Name])</f>
        <v>EMEA</v>
      </c>
      <c r="H544" s="2" t="str">
        <f>"Q"&amp;ROUNDUP(MONTH(Table2[[#This Row],[Date]])/3,0)&amp;" "&amp;YEAR(Table2[[#This Row],[Date]])</f>
        <v>Q4 2024</v>
      </c>
      <c r="I544" s="2" t="str">
        <f>VLOOKUP(Table2[[#This Row],[Date]],Table7[],3)</f>
        <v>Q4 2024</v>
      </c>
    </row>
    <row r="545" spans="1:9" x14ac:dyDescent="0.25">
      <c r="A545" s="3" t="s">
        <v>31</v>
      </c>
      <c r="B545" s="3">
        <v>45626</v>
      </c>
      <c r="C545" s="6">
        <v>866</v>
      </c>
      <c r="D545" s="2">
        <f>LEN(Table2[[#This Row],[CLID]])</f>
        <v>7</v>
      </c>
      <c r="E545" s="2" t="str">
        <f>_xlfn.XLOOKUP('Volume Data'!A:A,'Geo Data'!D:D,'Geo Data'!B:B)</f>
        <v>GEO1003</v>
      </c>
      <c r="F545" s="2" t="str">
        <f>INDEX(GeoByClient[GEOID],MATCH(Table2[[#This Row],[CLID]],GeoByClient[Right],0))</f>
        <v>GEO1003</v>
      </c>
      <c r="G545" s="2" t="str">
        <f>_xlfn.XLOOKUP(Table2[[#This Row],[Xlookup Region ID]],GEONames[GEOID],GEONames[GEO Name])</f>
        <v>EMEA</v>
      </c>
      <c r="H545" s="2" t="str">
        <f>"Q"&amp;ROUNDUP(MONTH(Table2[[#This Row],[Date]])/3,0)&amp;" "&amp;YEAR(Table2[[#This Row],[Date]])</f>
        <v>Q4 2024</v>
      </c>
      <c r="I545" s="2" t="str">
        <f>VLOOKUP(Table2[[#This Row],[Date]],Table7[],3)</f>
        <v>Q4 2024</v>
      </c>
    </row>
    <row r="546" spans="1:9" x14ac:dyDescent="0.25">
      <c r="A546" s="3" t="s">
        <v>31</v>
      </c>
      <c r="B546" s="3">
        <v>45657</v>
      </c>
      <c r="C546" s="6">
        <v>986</v>
      </c>
      <c r="D546" s="2">
        <f>LEN(Table2[[#This Row],[CLID]])</f>
        <v>7</v>
      </c>
      <c r="E546" s="2" t="str">
        <f>_xlfn.XLOOKUP('Volume Data'!A:A,'Geo Data'!D:D,'Geo Data'!B:B)</f>
        <v>GEO1003</v>
      </c>
      <c r="F546" s="2" t="str">
        <f>INDEX(GeoByClient[GEOID],MATCH(Table2[[#This Row],[CLID]],GeoByClient[Right],0))</f>
        <v>GEO1003</v>
      </c>
      <c r="G546" s="2" t="str">
        <f>_xlfn.XLOOKUP(Table2[[#This Row],[Xlookup Region ID]],GEONames[GEOID],GEONames[GEO Name])</f>
        <v>EMEA</v>
      </c>
      <c r="H546" s="2" t="str">
        <f>"Q"&amp;ROUNDUP(MONTH(Table2[[#This Row],[Date]])/3,0)&amp;" "&amp;YEAR(Table2[[#This Row],[Date]])</f>
        <v>Q4 2024</v>
      </c>
      <c r="I546" s="2" t="str">
        <f>VLOOKUP(Table2[[#This Row],[Date]],Table7[],3)</f>
        <v>Q4 2024</v>
      </c>
    </row>
    <row r="547" spans="1:9" x14ac:dyDescent="0.25">
      <c r="A547" s="3" t="s">
        <v>31</v>
      </c>
      <c r="B547" s="3">
        <v>45838</v>
      </c>
      <c r="C547" s="6">
        <v>997</v>
      </c>
      <c r="D547" s="2">
        <f>LEN(Table2[[#This Row],[CLID]])</f>
        <v>7</v>
      </c>
      <c r="E547" s="2" t="str">
        <f>_xlfn.XLOOKUP('Volume Data'!A:A,'Geo Data'!D:D,'Geo Data'!B:B)</f>
        <v>GEO1003</v>
      </c>
      <c r="F547" s="2" t="str">
        <f>INDEX(GeoByClient[GEOID],MATCH(Table2[[#This Row],[CLID]],GeoByClient[Right],0))</f>
        <v>GEO1003</v>
      </c>
      <c r="G547" s="2" t="str">
        <f>_xlfn.XLOOKUP(Table2[[#This Row],[Xlookup Region ID]],GEONames[GEOID],GEONames[GEO Name])</f>
        <v>EMEA</v>
      </c>
      <c r="H547" s="2" t="str">
        <f>"Q"&amp;ROUNDUP(MONTH(Table2[[#This Row],[Date]])/3,0)&amp;" "&amp;YEAR(Table2[[#This Row],[Date]])</f>
        <v>Q2 2025</v>
      </c>
      <c r="I547" s="2" t="str">
        <f>VLOOKUP(Table2[[#This Row],[Date]],Table7[],3)</f>
        <v>Q2 2025</v>
      </c>
    </row>
    <row r="548" spans="1:9" x14ac:dyDescent="0.25">
      <c r="A548" s="3" t="s">
        <v>31</v>
      </c>
      <c r="B548" s="3">
        <v>45808</v>
      </c>
      <c r="C548" s="6">
        <v>1206</v>
      </c>
      <c r="D548" s="2">
        <f>LEN(Table2[[#This Row],[CLID]])</f>
        <v>7</v>
      </c>
      <c r="E548" s="2" t="str">
        <f>_xlfn.XLOOKUP('Volume Data'!A:A,'Geo Data'!D:D,'Geo Data'!B:B)</f>
        <v>GEO1003</v>
      </c>
      <c r="F548" s="2" t="str">
        <f>INDEX(GeoByClient[GEOID],MATCH(Table2[[#This Row],[CLID]],GeoByClient[Right],0))</f>
        <v>GEO1003</v>
      </c>
      <c r="G548" s="2" t="str">
        <f>_xlfn.XLOOKUP(Table2[[#This Row],[Xlookup Region ID]],GEONames[GEOID],GEONames[GEO Name])</f>
        <v>EMEA</v>
      </c>
      <c r="H548" s="2" t="str">
        <f>"Q"&amp;ROUNDUP(MONTH(Table2[[#This Row],[Date]])/3,0)&amp;" "&amp;YEAR(Table2[[#This Row],[Date]])</f>
        <v>Q2 2025</v>
      </c>
      <c r="I548" s="2" t="str">
        <f>VLOOKUP(Table2[[#This Row],[Date]],Table7[],3)</f>
        <v>Q2 2025</v>
      </c>
    </row>
    <row r="549" spans="1:9" x14ac:dyDescent="0.25">
      <c r="A549" s="3" t="s">
        <v>31</v>
      </c>
      <c r="B549" s="3">
        <v>45777</v>
      </c>
      <c r="C549" s="6">
        <v>1519</v>
      </c>
      <c r="D549" s="2">
        <f>LEN(Table2[[#This Row],[CLID]])</f>
        <v>7</v>
      </c>
      <c r="E549" s="2" t="str">
        <f>_xlfn.XLOOKUP('Volume Data'!A:A,'Geo Data'!D:D,'Geo Data'!B:B)</f>
        <v>GEO1003</v>
      </c>
      <c r="F549" s="2" t="str">
        <f>INDEX(GeoByClient[GEOID],MATCH(Table2[[#This Row],[CLID]],GeoByClient[Right],0))</f>
        <v>GEO1003</v>
      </c>
      <c r="G549" s="2" t="str">
        <f>_xlfn.XLOOKUP(Table2[[#This Row],[Xlookup Region ID]],GEONames[GEOID],GEONames[GEO Name])</f>
        <v>EMEA</v>
      </c>
      <c r="H549" s="2" t="str">
        <f>"Q"&amp;ROUNDUP(MONTH(Table2[[#This Row],[Date]])/3,0)&amp;" "&amp;YEAR(Table2[[#This Row],[Date]])</f>
        <v>Q2 2025</v>
      </c>
      <c r="I549" s="2" t="str">
        <f>VLOOKUP(Table2[[#This Row],[Date]],Table7[],3)</f>
        <v>Q2 2025</v>
      </c>
    </row>
    <row r="550" spans="1:9" x14ac:dyDescent="0.25">
      <c r="A550" s="3" t="s">
        <v>31</v>
      </c>
      <c r="B550" s="3">
        <v>45747</v>
      </c>
      <c r="C550" s="6">
        <v>1096</v>
      </c>
      <c r="D550" s="2">
        <f>LEN(Table2[[#This Row],[CLID]])</f>
        <v>7</v>
      </c>
      <c r="E550" s="2" t="str">
        <f>_xlfn.XLOOKUP('Volume Data'!A:A,'Geo Data'!D:D,'Geo Data'!B:B)</f>
        <v>GEO1003</v>
      </c>
      <c r="F550" s="2" t="str">
        <f>INDEX(GeoByClient[GEOID],MATCH(Table2[[#This Row],[CLID]],GeoByClient[Right],0))</f>
        <v>GEO1003</v>
      </c>
      <c r="G550" s="2" t="str">
        <f>_xlfn.XLOOKUP(Table2[[#This Row],[Xlookup Region ID]],GEONames[GEOID],GEONames[GEO Name])</f>
        <v>EMEA</v>
      </c>
      <c r="H550" s="2" t="str">
        <f>"Q"&amp;ROUNDUP(MONTH(Table2[[#This Row],[Date]])/3,0)&amp;" "&amp;YEAR(Table2[[#This Row],[Date]])</f>
        <v>Q1 2025</v>
      </c>
      <c r="I550" s="2" t="str">
        <f>VLOOKUP(Table2[[#This Row],[Date]],Table7[],3)</f>
        <v>Q4 2024</v>
      </c>
    </row>
    <row r="551" spans="1:9" x14ac:dyDescent="0.25">
      <c r="A551" s="3" t="s">
        <v>31</v>
      </c>
      <c r="B551" s="3">
        <v>45716</v>
      </c>
      <c r="C551" s="6">
        <v>1110</v>
      </c>
      <c r="D551" s="2">
        <f>LEN(Table2[[#This Row],[CLID]])</f>
        <v>7</v>
      </c>
      <c r="E551" s="2" t="str">
        <f>_xlfn.XLOOKUP('Volume Data'!A:A,'Geo Data'!D:D,'Geo Data'!B:B)</f>
        <v>GEO1003</v>
      </c>
      <c r="F551" s="2" t="str">
        <f>INDEX(GeoByClient[GEOID],MATCH(Table2[[#This Row],[CLID]],GeoByClient[Right],0))</f>
        <v>GEO1003</v>
      </c>
      <c r="G551" s="2" t="str">
        <f>_xlfn.XLOOKUP(Table2[[#This Row],[Xlookup Region ID]],GEONames[GEOID],GEONames[GEO Name])</f>
        <v>EMEA</v>
      </c>
      <c r="H551" s="2" t="str">
        <f>"Q"&amp;ROUNDUP(MONTH(Table2[[#This Row],[Date]])/3,0)&amp;" "&amp;YEAR(Table2[[#This Row],[Date]])</f>
        <v>Q1 2025</v>
      </c>
      <c r="I551" s="2" t="str">
        <f>VLOOKUP(Table2[[#This Row],[Date]],Table7[],3)</f>
        <v>Q4 2024</v>
      </c>
    </row>
    <row r="552" spans="1:9" x14ac:dyDescent="0.25">
      <c r="A552" s="3" t="s">
        <v>31</v>
      </c>
      <c r="B552" s="3">
        <v>45688</v>
      </c>
      <c r="C552" s="6">
        <v>880</v>
      </c>
      <c r="D552" s="2">
        <f>LEN(Table2[[#This Row],[CLID]])</f>
        <v>7</v>
      </c>
      <c r="E552" s="2" t="str">
        <f>_xlfn.XLOOKUP('Volume Data'!A:A,'Geo Data'!D:D,'Geo Data'!B:B)</f>
        <v>GEO1003</v>
      </c>
      <c r="F552" s="2" t="str">
        <f>INDEX(GeoByClient[GEOID],MATCH(Table2[[#This Row],[CLID]],GeoByClient[Right],0))</f>
        <v>GEO1003</v>
      </c>
      <c r="G552" s="2" t="str">
        <f>_xlfn.XLOOKUP(Table2[[#This Row],[Xlookup Region ID]],GEONames[GEOID],GEONames[GEO Name])</f>
        <v>EMEA</v>
      </c>
      <c r="H552" s="2" t="str">
        <f>"Q"&amp;ROUNDUP(MONTH(Table2[[#This Row],[Date]])/3,0)&amp;" "&amp;YEAR(Table2[[#This Row],[Date]])</f>
        <v>Q1 2025</v>
      </c>
      <c r="I552" s="2" t="str">
        <f>VLOOKUP(Table2[[#This Row],[Date]],Table7[],3)</f>
        <v>Q4 2024</v>
      </c>
    </row>
    <row r="553" spans="1:9" x14ac:dyDescent="0.25">
      <c r="A553" s="3" t="s">
        <v>53</v>
      </c>
      <c r="B553" s="3">
        <v>45322</v>
      </c>
      <c r="C553" s="6">
        <v>9422</v>
      </c>
      <c r="D553" s="2">
        <f>LEN(Table2[[#This Row],[CLID]])</f>
        <v>7</v>
      </c>
      <c r="E553" s="2" t="str">
        <f>_xlfn.XLOOKUP('Volume Data'!A:A,'Geo Data'!D:D,'Geo Data'!B:B)</f>
        <v>GEO1002</v>
      </c>
      <c r="F553" s="2" t="str">
        <f>INDEX(GeoByClient[GEOID],MATCH(Table2[[#This Row],[CLID]],GeoByClient[Right],0))</f>
        <v>GEO1002</v>
      </c>
      <c r="G553" s="2" t="str">
        <f>_xlfn.XLOOKUP(Table2[[#This Row],[Xlookup Region ID]],GEONames[GEOID],GEONames[GEO Name])</f>
        <v>APAC</v>
      </c>
      <c r="H553" s="2" t="str">
        <f>"Q"&amp;ROUNDUP(MONTH(Table2[[#This Row],[Date]])/3,0)&amp;" "&amp;YEAR(Table2[[#This Row],[Date]])</f>
        <v>Q1 2024</v>
      </c>
      <c r="I553" s="2" t="str">
        <f>VLOOKUP(Table2[[#This Row],[Date]],Table7[],3)</f>
        <v>Q1 2024</v>
      </c>
    </row>
    <row r="554" spans="1:9" x14ac:dyDescent="0.25">
      <c r="A554" s="3" t="s">
        <v>53</v>
      </c>
      <c r="B554" s="3">
        <v>45351</v>
      </c>
      <c r="C554" s="6">
        <v>7438</v>
      </c>
      <c r="D554" s="2">
        <f>LEN(Table2[[#This Row],[CLID]])</f>
        <v>7</v>
      </c>
      <c r="E554" s="2" t="str">
        <f>_xlfn.XLOOKUP('Volume Data'!A:A,'Geo Data'!D:D,'Geo Data'!B:B)</f>
        <v>GEO1002</v>
      </c>
      <c r="F554" s="2" t="str">
        <f>INDEX(GeoByClient[GEOID],MATCH(Table2[[#This Row],[CLID]],GeoByClient[Right],0))</f>
        <v>GEO1002</v>
      </c>
      <c r="G554" s="2" t="str">
        <f>_xlfn.XLOOKUP(Table2[[#This Row],[Xlookup Region ID]],GEONames[GEOID],GEONames[GEO Name])</f>
        <v>APAC</v>
      </c>
      <c r="H554" s="2" t="str">
        <f>"Q"&amp;ROUNDUP(MONTH(Table2[[#This Row],[Date]])/3,0)&amp;" "&amp;YEAR(Table2[[#This Row],[Date]])</f>
        <v>Q1 2024</v>
      </c>
      <c r="I554" s="2" t="str">
        <f>VLOOKUP(Table2[[#This Row],[Date]],Table7[],3)</f>
        <v>Q1 2024</v>
      </c>
    </row>
    <row r="555" spans="1:9" x14ac:dyDescent="0.25">
      <c r="A555" s="3" t="s">
        <v>53</v>
      </c>
      <c r="B555" s="3">
        <v>45382</v>
      </c>
      <c r="C555" s="6">
        <v>11403</v>
      </c>
      <c r="D555" s="2">
        <f>LEN(Table2[[#This Row],[CLID]])</f>
        <v>7</v>
      </c>
      <c r="E555" s="2" t="str">
        <f>_xlfn.XLOOKUP('Volume Data'!A:A,'Geo Data'!D:D,'Geo Data'!B:B)</f>
        <v>GEO1002</v>
      </c>
      <c r="F555" s="2" t="str">
        <f>INDEX(GeoByClient[GEOID],MATCH(Table2[[#This Row],[CLID]],GeoByClient[Right],0))</f>
        <v>GEO1002</v>
      </c>
      <c r="G555" s="2" t="str">
        <f>_xlfn.XLOOKUP(Table2[[#This Row],[Xlookup Region ID]],GEONames[GEOID],GEONames[GEO Name])</f>
        <v>APAC</v>
      </c>
      <c r="H555" s="2" t="str">
        <f>"Q"&amp;ROUNDUP(MONTH(Table2[[#This Row],[Date]])/3,0)&amp;" "&amp;YEAR(Table2[[#This Row],[Date]])</f>
        <v>Q1 2024</v>
      </c>
      <c r="I555" s="2" t="str">
        <f>VLOOKUP(Table2[[#This Row],[Date]],Table7[],3)</f>
        <v>Q1 2024</v>
      </c>
    </row>
    <row r="556" spans="1:9" x14ac:dyDescent="0.25">
      <c r="A556" s="3" t="s">
        <v>53</v>
      </c>
      <c r="B556" s="3">
        <v>45412</v>
      </c>
      <c r="C556" s="6">
        <v>10408</v>
      </c>
      <c r="D556" s="2">
        <f>LEN(Table2[[#This Row],[CLID]])</f>
        <v>7</v>
      </c>
      <c r="E556" s="2" t="str">
        <f>_xlfn.XLOOKUP('Volume Data'!A:A,'Geo Data'!D:D,'Geo Data'!B:B)</f>
        <v>GEO1002</v>
      </c>
      <c r="F556" s="2" t="str">
        <f>INDEX(GeoByClient[GEOID],MATCH(Table2[[#This Row],[CLID]],GeoByClient[Right],0))</f>
        <v>GEO1002</v>
      </c>
      <c r="G556" s="2" t="str">
        <f>_xlfn.XLOOKUP(Table2[[#This Row],[Xlookup Region ID]],GEONames[GEOID],GEONames[GEO Name])</f>
        <v>APAC</v>
      </c>
      <c r="H556" s="2" t="str">
        <f>"Q"&amp;ROUNDUP(MONTH(Table2[[#This Row],[Date]])/3,0)&amp;" "&amp;YEAR(Table2[[#This Row],[Date]])</f>
        <v>Q2 2024</v>
      </c>
      <c r="I556" s="2" t="str">
        <f>VLOOKUP(Table2[[#This Row],[Date]],Table7[],3)</f>
        <v>Q2 2024</v>
      </c>
    </row>
    <row r="557" spans="1:9" x14ac:dyDescent="0.25">
      <c r="A557" s="3" t="s">
        <v>53</v>
      </c>
      <c r="B557" s="3">
        <v>45443</v>
      </c>
      <c r="C557" s="6">
        <v>12392</v>
      </c>
      <c r="D557" s="2">
        <f>LEN(Table2[[#This Row],[CLID]])</f>
        <v>7</v>
      </c>
      <c r="E557" s="2" t="str">
        <f>_xlfn.XLOOKUP('Volume Data'!A:A,'Geo Data'!D:D,'Geo Data'!B:B)</f>
        <v>GEO1002</v>
      </c>
      <c r="F557" s="2" t="str">
        <f>INDEX(GeoByClient[GEOID],MATCH(Table2[[#This Row],[CLID]],GeoByClient[Right],0))</f>
        <v>GEO1002</v>
      </c>
      <c r="G557" s="2" t="str">
        <f>_xlfn.XLOOKUP(Table2[[#This Row],[Xlookup Region ID]],GEONames[GEOID],GEONames[GEO Name])</f>
        <v>APAC</v>
      </c>
      <c r="H557" s="2" t="str">
        <f>"Q"&amp;ROUNDUP(MONTH(Table2[[#This Row],[Date]])/3,0)&amp;" "&amp;YEAR(Table2[[#This Row],[Date]])</f>
        <v>Q2 2024</v>
      </c>
      <c r="I557" s="2" t="str">
        <f>VLOOKUP(Table2[[#This Row],[Date]],Table7[],3)</f>
        <v>Q2 2024</v>
      </c>
    </row>
    <row r="558" spans="1:9" x14ac:dyDescent="0.25">
      <c r="A558" s="3" t="s">
        <v>53</v>
      </c>
      <c r="B558" s="3">
        <v>45473</v>
      </c>
      <c r="C558" s="6">
        <v>6449</v>
      </c>
      <c r="D558" s="2">
        <f>LEN(Table2[[#This Row],[CLID]])</f>
        <v>7</v>
      </c>
      <c r="E558" s="2" t="str">
        <f>_xlfn.XLOOKUP('Volume Data'!A:A,'Geo Data'!D:D,'Geo Data'!B:B)</f>
        <v>GEO1002</v>
      </c>
      <c r="F558" s="2" t="str">
        <f>INDEX(GeoByClient[GEOID],MATCH(Table2[[#This Row],[CLID]],GeoByClient[Right],0))</f>
        <v>GEO1002</v>
      </c>
      <c r="G558" s="2" t="str">
        <f>_xlfn.XLOOKUP(Table2[[#This Row],[Xlookup Region ID]],GEONames[GEOID],GEONames[GEO Name])</f>
        <v>APAC</v>
      </c>
      <c r="H558" s="2" t="str">
        <f>"Q"&amp;ROUNDUP(MONTH(Table2[[#This Row],[Date]])/3,0)&amp;" "&amp;YEAR(Table2[[#This Row],[Date]])</f>
        <v>Q2 2024</v>
      </c>
      <c r="I558" s="2" t="str">
        <f>VLOOKUP(Table2[[#This Row],[Date]],Table7[],3)</f>
        <v>Q2 2024</v>
      </c>
    </row>
    <row r="559" spans="1:9" x14ac:dyDescent="0.25">
      <c r="A559" s="3" t="s">
        <v>53</v>
      </c>
      <c r="B559" s="3">
        <v>45504</v>
      </c>
      <c r="C559" s="6">
        <v>8425</v>
      </c>
      <c r="D559" s="2">
        <f>LEN(Table2[[#This Row],[CLID]])</f>
        <v>7</v>
      </c>
      <c r="E559" s="2" t="str">
        <f>_xlfn.XLOOKUP('Volume Data'!A:A,'Geo Data'!D:D,'Geo Data'!B:B)</f>
        <v>GEO1002</v>
      </c>
      <c r="F559" s="2" t="str">
        <f>INDEX(GeoByClient[GEOID],MATCH(Table2[[#This Row],[CLID]],GeoByClient[Right],0))</f>
        <v>GEO1002</v>
      </c>
      <c r="G559" s="2" t="str">
        <f>_xlfn.XLOOKUP(Table2[[#This Row],[Xlookup Region ID]],GEONames[GEOID],GEONames[GEO Name])</f>
        <v>APAC</v>
      </c>
      <c r="H559" s="2" t="str">
        <f>"Q"&amp;ROUNDUP(MONTH(Table2[[#This Row],[Date]])/3,0)&amp;" "&amp;YEAR(Table2[[#This Row],[Date]])</f>
        <v>Q3 2024</v>
      </c>
      <c r="I559" s="2" t="str">
        <f>VLOOKUP(Table2[[#This Row],[Date]],Table7[],3)</f>
        <v>Q3 2024</v>
      </c>
    </row>
    <row r="560" spans="1:9" x14ac:dyDescent="0.25">
      <c r="A560" s="3" t="s">
        <v>53</v>
      </c>
      <c r="B560" s="3">
        <v>45535</v>
      </c>
      <c r="C560" s="6">
        <v>4464</v>
      </c>
      <c r="D560" s="2">
        <f>LEN(Table2[[#This Row],[CLID]])</f>
        <v>7</v>
      </c>
      <c r="E560" s="2" t="str">
        <f>_xlfn.XLOOKUP('Volume Data'!A:A,'Geo Data'!D:D,'Geo Data'!B:B)</f>
        <v>GEO1002</v>
      </c>
      <c r="F560" s="2" t="str">
        <f>INDEX(GeoByClient[GEOID],MATCH(Table2[[#This Row],[CLID]],GeoByClient[Right],0))</f>
        <v>GEO1002</v>
      </c>
      <c r="G560" s="2" t="str">
        <f>_xlfn.XLOOKUP(Table2[[#This Row],[Xlookup Region ID]],GEONames[GEOID],GEONames[GEO Name])</f>
        <v>APAC</v>
      </c>
      <c r="H560" s="2" t="str">
        <f>"Q"&amp;ROUNDUP(MONTH(Table2[[#This Row],[Date]])/3,0)&amp;" "&amp;YEAR(Table2[[#This Row],[Date]])</f>
        <v>Q3 2024</v>
      </c>
      <c r="I560" s="2" t="str">
        <f>VLOOKUP(Table2[[#This Row],[Date]],Table7[],3)</f>
        <v>Q3 2024</v>
      </c>
    </row>
    <row r="561" spans="1:9" x14ac:dyDescent="0.25">
      <c r="A561" s="3" t="s">
        <v>53</v>
      </c>
      <c r="B561" s="3">
        <v>45565</v>
      </c>
      <c r="C561" s="6">
        <v>7440</v>
      </c>
      <c r="D561" s="2">
        <f>LEN(Table2[[#This Row],[CLID]])</f>
        <v>7</v>
      </c>
      <c r="E561" s="2" t="str">
        <f>_xlfn.XLOOKUP('Volume Data'!A:A,'Geo Data'!D:D,'Geo Data'!B:B)</f>
        <v>GEO1002</v>
      </c>
      <c r="F561" s="2" t="str">
        <f>INDEX(GeoByClient[GEOID],MATCH(Table2[[#This Row],[CLID]],GeoByClient[Right],0))</f>
        <v>GEO1002</v>
      </c>
      <c r="G561" s="2" t="str">
        <f>_xlfn.XLOOKUP(Table2[[#This Row],[Xlookup Region ID]],GEONames[GEOID],GEONames[GEO Name])</f>
        <v>APAC</v>
      </c>
      <c r="H561" s="2" t="str">
        <f>"Q"&amp;ROUNDUP(MONTH(Table2[[#This Row],[Date]])/3,0)&amp;" "&amp;YEAR(Table2[[#This Row],[Date]])</f>
        <v>Q3 2024</v>
      </c>
      <c r="I561" s="2" t="str">
        <f>VLOOKUP(Table2[[#This Row],[Date]],Table7[],3)</f>
        <v>Q3 2024</v>
      </c>
    </row>
    <row r="562" spans="1:9" x14ac:dyDescent="0.25">
      <c r="A562" s="3" t="s">
        <v>53</v>
      </c>
      <c r="B562" s="3">
        <v>45596</v>
      </c>
      <c r="C562" s="6">
        <v>5452</v>
      </c>
      <c r="D562" s="2">
        <f>LEN(Table2[[#This Row],[CLID]])</f>
        <v>7</v>
      </c>
      <c r="E562" s="2" t="str">
        <f>_xlfn.XLOOKUP('Volume Data'!A:A,'Geo Data'!D:D,'Geo Data'!B:B)</f>
        <v>GEO1002</v>
      </c>
      <c r="F562" s="2" t="str">
        <f>INDEX(GeoByClient[GEOID],MATCH(Table2[[#This Row],[CLID]],GeoByClient[Right],0))</f>
        <v>GEO1002</v>
      </c>
      <c r="G562" s="2" t="str">
        <f>_xlfn.XLOOKUP(Table2[[#This Row],[Xlookup Region ID]],GEONames[GEOID],GEONames[GEO Name])</f>
        <v>APAC</v>
      </c>
      <c r="H562" s="2" t="str">
        <f>"Q"&amp;ROUNDUP(MONTH(Table2[[#This Row],[Date]])/3,0)&amp;" "&amp;YEAR(Table2[[#This Row],[Date]])</f>
        <v>Q4 2024</v>
      </c>
      <c r="I562" s="2" t="str">
        <f>VLOOKUP(Table2[[#This Row],[Date]],Table7[],3)</f>
        <v>Q4 2024</v>
      </c>
    </row>
    <row r="563" spans="1:9" x14ac:dyDescent="0.25">
      <c r="A563" s="3" t="s">
        <v>53</v>
      </c>
      <c r="B563" s="3">
        <v>45626</v>
      </c>
      <c r="C563" s="6">
        <v>9422</v>
      </c>
      <c r="D563" s="2">
        <f>LEN(Table2[[#This Row],[CLID]])</f>
        <v>7</v>
      </c>
      <c r="E563" s="2" t="str">
        <f>_xlfn.XLOOKUP('Volume Data'!A:A,'Geo Data'!D:D,'Geo Data'!B:B)</f>
        <v>GEO1002</v>
      </c>
      <c r="F563" s="2" t="str">
        <f>INDEX(GeoByClient[GEOID],MATCH(Table2[[#This Row],[CLID]],GeoByClient[Right],0))</f>
        <v>GEO1002</v>
      </c>
      <c r="G563" s="2" t="str">
        <f>_xlfn.XLOOKUP(Table2[[#This Row],[Xlookup Region ID]],GEONames[GEOID],GEONames[GEO Name])</f>
        <v>APAC</v>
      </c>
      <c r="H563" s="2" t="str">
        <f>"Q"&amp;ROUNDUP(MONTH(Table2[[#This Row],[Date]])/3,0)&amp;" "&amp;YEAR(Table2[[#This Row],[Date]])</f>
        <v>Q4 2024</v>
      </c>
      <c r="I563" s="2" t="str">
        <f>VLOOKUP(Table2[[#This Row],[Date]],Table7[],3)</f>
        <v>Q4 2024</v>
      </c>
    </row>
    <row r="564" spans="1:9" x14ac:dyDescent="0.25">
      <c r="A564" s="3" t="s">
        <v>53</v>
      </c>
      <c r="B564" s="3">
        <v>45657</v>
      </c>
      <c r="C564" s="6">
        <v>6445</v>
      </c>
      <c r="D564" s="2">
        <f>LEN(Table2[[#This Row],[CLID]])</f>
        <v>7</v>
      </c>
      <c r="E564" s="2" t="str">
        <f>_xlfn.XLOOKUP('Volume Data'!A:A,'Geo Data'!D:D,'Geo Data'!B:B)</f>
        <v>GEO1002</v>
      </c>
      <c r="F564" s="2" t="str">
        <f>INDEX(GeoByClient[GEOID],MATCH(Table2[[#This Row],[CLID]],GeoByClient[Right],0))</f>
        <v>GEO1002</v>
      </c>
      <c r="G564" s="2" t="str">
        <f>_xlfn.XLOOKUP(Table2[[#This Row],[Xlookup Region ID]],GEONames[GEOID],GEONames[GEO Name])</f>
        <v>APAC</v>
      </c>
      <c r="H564" s="2" t="str">
        <f>"Q"&amp;ROUNDUP(MONTH(Table2[[#This Row],[Date]])/3,0)&amp;" "&amp;YEAR(Table2[[#This Row],[Date]])</f>
        <v>Q4 2024</v>
      </c>
      <c r="I564" s="2" t="str">
        <f>VLOOKUP(Table2[[#This Row],[Date]],Table7[],3)</f>
        <v>Q4 2024</v>
      </c>
    </row>
    <row r="565" spans="1:9" x14ac:dyDescent="0.25">
      <c r="A565" s="3" t="s">
        <v>53</v>
      </c>
      <c r="B565" s="3">
        <v>45838</v>
      </c>
      <c r="C565" s="6">
        <v>6576</v>
      </c>
      <c r="D565" s="2">
        <f>LEN(Table2[[#This Row],[CLID]])</f>
        <v>7</v>
      </c>
      <c r="E565" s="2" t="str">
        <f>_xlfn.XLOOKUP('Volume Data'!A:A,'Geo Data'!D:D,'Geo Data'!B:B)</f>
        <v>GEO1002</v>
      </c>
      <c r="F565" s="2" t="str">
        <f>INDEX(GeoByClient[GEOID],MATCH(Table2[[#This Row],[CLID]],GeoByClient[Right],0))</f>
        <v>GEO1002</v>
      </c>
      <c r="G565" s="2" t="str">
        <f>_xlfn.XLOOKUP(Table2[[#This Row],[Xlookup Region ID]],GEONames[GEOID],GEONames[GEO Name])</f>
        <v>APAC</v>
      </c>
      <c r="H565" s="2" t="str">
        <f>"Q"&amp;ROUNDUP(MONTH(Table2[[#This Row],[Date]])/3,0)&amp;" "&amp;YEAR(Table2[[#This Row],[Date]])</f>
        <v>Q2 2025</v>
      </c>
      <c r="I565" s="2" t="str">
        <f>VLOOKUP(Table2[[#This Row],[Date]],Table7[],3)</f>
        <v>Q2 2025</v>
      </c>
    </row>
    <row r="566" spans="1:9" x14ac:dyDescent="0.25">
      <c r="A566" s="3" t="s">
        <v>53</v>
      </c>
      <c r="B566" s="3">
        <v>45808</v>
      </c>
      <c r="C566" s="6">
        <v>13012</v>
      </c>
      <c r="D566" s="2">
        <f>LEN(Table2[[#This Row],[CLID]])</f>
        <v>7</v>
      </c>
      <c r="E566" s="2" t="str">
        <f>_xlfn.XLOOKUP('Volume Data'!A:A,'Geo Data'!D:D,'Geo Data'!B:B)</f>
        <v>GEO1002</v>
      </c>
      <c r="F566" s="2" t="str">
        <f>INDEX(GeoByClient[GEOID],MATCH(Table2[[#This Row],[CLID]],GeoByClient[Right],0))</f>
        <v>GEO1002</v>
      </c>
      <c r="G566" s="2" t="str">
        <f>_xlfn.XLOOKUP(Table2[[#This Row],[Xlookup Region ID]],GEONames[GEOID],GEONames[GEO Name])</f>
        <v>APAC</v>
      </c>
      <c r="H566" s="2" t="str">
        <f>"Q"&amp;ROUNDUP(MONTH(Table2[[#This Row],[Date]])/3,0)&amp;" "&amp;YEAR(Table2[[#This Row],[Date]])</f>
        <v>Q2 2025</v>
      </c>
      <c r="I566" s="2" t="str">
        <f>VLOOKUP(Table2[[#This Row],[Date]],Table7[],3)</f>
        <v>Q2 2025</v>
      </c>
    </row>
    <row r="567" spans="1:9" x14ac:dyDescent="0.25">
      <c r="A567" s="3" t="s">
        <v>53</v>
      </c>
      <c r="B567" s="3">
        <v>45777</v>
      </c>
      <c r="C567" s="6">
        <v>10308</v>
      </c>
      <c r="D567" s="2">
        <f>LEN(Table2[[#This Row],[CLID]])</f>
        <v>7</v>
      </c>
      <c r="E567" s="2" t="str">
        <f>_xlfn.XLOOKUP('Volume Data'!A:A,'Geo Data'!D:D,'Geo Data'!B:B)</f>
        <v>GEO1002</v>
      </c>
      <c r="F567" s="2" t="str">
        <f>INDEX(GeoByClient[GEOID],MATCH(Table2[[#This Row],[CLID]],GeoByClient[Right],0))</f>
        <v>GEO1002</v>
      </c>
      <c r="G567" s="2" t="str">
        <f>_xlfn.XLOOKUP(Table2[[#This Row],[Xlookup Region ID]],GEONames[GEOID],GEONames[GEO Name])</f>
        <v>APAC</v>
      </c>
      <c r="H567" s="2" t="str">
        <f>"Q"&amp;ROUNDUP(MONTH(Table2[[#This Row],[Date]])/3,0)&amp;" "&amp;YEAR(Table2[[#This Row],[Date]])</f>
        <v>Q2 2025</v>
      </c>
      <c r="I567" s="2" t="str">
        <f>VLOOKUP(Table2[[#This Row],[Date]],Table7[],3)</f>
        <v>Q2 2025</v>
      </c>
    </row>
    <row r="568" spans="1:9" x14ac:dyDescent="0.25">
      <c r="A568" s="3" t="s">
        <v>53</v>
      </c>
      <c r="B568" s="3">
        <v>45747</v>
      </c>
      <c r="C568" s="6">
        <v>11287</v>
      </c>
      <c r="D568" s="2">
        <f>LEN(Table2[[#This Row],[CLID]])</f>
        <v>7</v>
      </c>
      <c r="E568" s="2" t="str">
        <f>_xlfn.XLOOKUP('Volume Data'!A:A,'Geo Data'!D:D,'Geo Data'!B:B)</f>
        <v>GEO1002</v>
      </c>
      <c r="F568" s="2" t="str">
        <f>INDEX(GeoByClient[GEOID],MATCH(Table2[[#This Row],[CLID]],GeoByClient[Right],0))</f>
        <v>GEO1002</v>
      </c>
      <c r="G568" s="2" t="str">
        <f>_xlfn.XLOOKUP(Table2[[#This Row],[Xlookup Region ID]],GEONames[GEOID],GEONames[GEO Name])</f>
        <v>APAC</v>
      </c>
      <c r="H568" s="2" t="str">
        <f>"Q"&amp;ROUNDUP(MONTH(Table2[[#This Row],[Date]])/3,0)&amp;" "&amp;YEAR(Table2[[#This Row],[Date]])</f>
        <v>Q1 2025</v>
      </c>
      <c r="I568" s="2" t="str">
        <f>VLOOKUP(Table2[[#This Row],[Date]],Table7[],3)</f>
        <v>Q4 2024</v>
      </c>
    </row>
    <row r="569" spans="1:9" x14ac:dyDescent="0.25">
      <c r="A569" s="3" t="s">
        <v>53</v>
      </c>
      <c r="B569" s="3">
        <v>45716</v>
      </c>
      <c r="C569" s="6">
        <v>7361</v>
      </c>
      <c r="D569" s="2">
        <f>LEN(Table2[[#This Row],[CLID]])</f>
        <v>7</v>
      </c>
      <c r="E569" s="2" t="str">
        <f>_xlfn.XLOOKUP('Volume Data'!A:A,'Geo Data'!D:D,'Geo Data'!B:B)</f>
        <v>GEO1002</v>
      </c>
      <c r="F569" s="2" t="str">
        <f>INDEX(GeoByClient[GEOID],MATCH(Table2[[#This Row],[CLID]],GeoByClient[Right],0))</f>
        <v>GEO1002</v>
      </c>
      <c r="G569" s="2" t="str">
        <f>_xlfn.XLOOKUP(Table2[[#This Row],[Xlookup Region ID]],GEONames[GEOID],GEONames[GEO Name])</f>
        <v>APAC</v>
      </c>
      <c r="H569" s="2" t="str">
        <f>"Q"&amp;ROUNDUP(MONTH(Table2[[#This Row],[Date]])/3,0)&amp;" "&amp;YEAR(Table2[[#This Row],[Date]])</f>
        <v>Q1 2025</v>
      </c>
      <c r="I569" s="2" t="str">
        <f>VLOOKUP(Table2[[#This Row],[Date]],Table7[],3)</f>
        <v>Q4 2024</v>
      </c>
    </row>
    <row r="570" spans="1:9" x14ac:dyDescent="0.25">
      <c r="A570" s="3" t="s">
        <v>53</v>
      </c>
      <c r="B570" s="3">
        <v>45688</v>
      </c>
      <c r="C570" s="6">
        <v>9604</v>
      </c>
      <c r="D570" s="2">
        <f>LEN(Table2[[#This Row],[CLID]])</f>
        <v>7</v>
      </c>
      <c r="E570" s="2" t="str">
        <f>_xlfn.XLOOKUP('Volume Data'!A:A,'Geo Data'!D:D,'Geo Data'!B:B)</f>
        <v>GEO1002</v>
      </c>
      <c r="F570" s="2" t="str">
        <f>INDEX(GeoByClient[GEOID],MATCH(Table2[[#This Row],[CLID]],GeoByClient[Right],0))</f>
        <v>GEO1002</v>
      </c>
      <c r="G570" s="2" t="str">
        <f>_xlfn.XLOOKUP(Table2[[#This Row],[Xlookup Region ID]],GEONames[GEOID],GEONames[GEO Name])</f>
        <v>APAC</v>
      </c>
      <c r="H570" s="2" t="str">
        <f>"Q"&amp;ROUNDUP(MONTH(Table2[[#This Row],[Date]])/3,0)&amp;" "&amp;YEAR(Table2[[#This Row],[Date]])</f>
        <v>Q1 2025</v>
      </c>
      <c r="I570" s="2" t="str">
        <f>VLOOKUP(Table2[[#This Row],[Date]],Table7[],3)</f>
        <v>Q4 2024</v>
      </c>
    </row>
    <row r="571" spans="1:9" x14ac:dyDescent="0.25">
      <c r="A571" s="3" t="s">
        <v>27</v>
      </c>
      <c r="B571" s="3">
        <v>45322</v>
      </c>
      <c r="C571" s="6">
        <v>19257</v>
      </c>
      <c r="D571" s="2">
        <f>LEN(Table2[[#This Row],[CLID]])</f>
        <v>7</v>
      </c>
      <c r="E571" s="2" t="str">
        <f>_xlfn.XLOOKUP('Volume Data'!A:A,'Geo Data'!D:D,'Geo Data'!B:B)</f>
        <v>GEO1003</v>
      </c>
      <c r="F571" s="2" t="str">
        <f>INDEX(GeoByClient[GEOID],MATCH(Table2[[#This Row],[CLID]],GeoByClient[Right],0))</f>
        <v>GEO1003</v>
      </c>
      <c r="G571" s="2" t="str">
        <f>_xlfn.XLOOKUP(Table2[[#This Row],[Xlookup Region ID]],GEONames[GEOID],GEONames[GEO Name])</f>
        <v>EMEA</v>
      </c>
      <c r="H571" s="2" t="str">
        <f>"Q"&amp;ROUNDUP(MONTH(Table2[[#This Row],[Date]])/3,0)&amp;" "&amp;YEAR(Table2[[#This Row],[Date]])</f>
        <v>Q1 2024</v>
      </c>
      <c r="I571" s="2" t="str">
        <f>VLOOKUP(Table2[[#This Row],[Date]],Table7[],3)</f>
        <v>Q1 2024</v>
      </c>
    </row>
    <row r="572" spans="1:9" x14ac:dyDescent="0.25">
      <c r="A572" s="3" t="s">
        <v>27</v>
      </c>
      <c r="B572" s="3">
        <v>45351</v>
      </c>
      <c r="C572" s="6">
        <v>19258</v>
      </c>
      <c r="D572" s="2">
        <f>LEN(Table2[[#This Row],[CLID]])</f>
        <v>7</v>
      </c>
      <c r="E572" s="2" t="str">
        <f>_xlfn.XLOOKUP('Volume Data'!A:A,'Geo Data'!D:D,'Geo Data'!B:B)</f>
        <v>GEO1003</v>
      </c>
      <c r="F572" s="2" t="str">
        <f>INDEX(GeoByClient[GEOID],MATCH(Table2[[#This Row],[CLID]],GeoByClient[Right],0))</f>
        <v>GEO1003</v>
      </c>
      <c r="G572" s="2" t="str">
        <f>_xlfn.XLOOKUP(Table2[[#This Row],[Xlookup Region ID]],GEONames[GEOID],GEONames[GEO Name])</f>
        <v>EMEA</v>
      </c>
      <c r="H572" s="2" t="str">
        <f>"Q"&amp;ROUNDUP(MONTH(Table2[[#This Row],[Date]])/3,0)&amp;" "&amp;YEAR(Table2[[#This Row],[Date]])</f>
        <v>Q1 2024</v>
      </c>
      <c r="I572" s="2" t="str">
        <f>VLOOKUP(Table2[[#This Row],[Date]],Table7[],3)</f>
        <v>Q1 2024</v>
      </c>
    </row>
    <row r="573" spans="1:9" x14ac:dyDescent="0.25">
      <c r="A573" s="3" t="s">
        <v>27</v>
      </c>
      <c r="B573" s="3">
        <v>45382</v>
      </c>
      <c r="C573" s="6">
        <v>23787</v>
      </c>
      <c r="D573" s="2">
        <f>LEN(Table2[[#This Row],[CLID]])</f>
        <v>7</v>
      </c>
      <c r="E573" s="2" t="str">
        <f>_xlfn.XLOOKUP('Volume Data'!A:A,'Geo Data'!D:D,'Geo Data'!B:B)</f>
        <v>GEO1003</v>
      </c>
      <c r="F573" s="2" t="str">
        <f>INDEX(GeoByClient[GEOID],MATCH(Table2[[#This Row],[CLID]],GeoByClient[Right],0))</f>
        <v>GEO1003</v>
      </c>
      <c r="G573" s="2" t="str">
        <f>_xlfn.XLOOKUP(Table2[[#This Row],[Xlookup Region ID]],GEONames[GEOID],GEONames[GEO Name])</f>
        <v>EMEA</v>
      </c>
      <c r="H573" s="2" t="str">
        <f>"Q"&amp;ROUNDUP(MONTH(Table2[[#This Row],[Date]])/3,0)&amp;" "&amp;YEAR(Table2[[#This Row],[Date]])</f>
        <v>Q1 2024</v>
      </c>
      <c r="I573" s="2" t="str">
        <f>VLOOKUP(Table2[[#This Row],[Date]],Table7[],3)</f>
        <v>Q1 2024</v>
      </c>
    </row>
    <row r="574" spans="1:9" x14ac:dyDescent="0.25">
      <c r="A574" s="3" t="s">
        <v>27</v>
      </c>
      <c r="B574" s="3">
        <v>45412</v>
      </c>
      <c r="C574" s="6">
        <v>26053</v>
      </c>
      <c r="D574" s="2">
        <f>LEN(Table2[[#This Row],[CLID]])</f>
        <v>7</v>
      </c>
      <c r="E574" s="2" t="str">
        <f>_xlfn.XLOOKUP('Volume Data'!A:A,'Geo Data'!D:D,'Geo Data'!B:B)</f>
        <v>GEO1003</v>
      </c>
      <c r="F574" s="2" t="str">
        <f>INDEX(GeoByClient[GEOID],MATCH(Table2[[#This Row],[CLID]],GeoByClient[Right],0))</f>
        <v>GEO1003</v>
      </c>
      <c r="G574" s="2" t="str">
        <f>_xlfn.XLOOKUP(Table2[[#This Row],[Xlookup Region ID]],GEONames[GEOID],GEONames[GEO Name])</f>
        <v>EMEA</v>
      </c>
      <c r="H574" s="2" t="str">
        <f>"Q"&amp;ROUNDUP(MONTH(Table2[[#This Row],[Date]])/3,0)&amp;" "&amp;YEAR(Table2[[#This Row],[Date]])</f>
        <v>Q2 2024</v>
      </c>
      <c r="I574" s="2" t="str">
        <f>VLOOKUP(Table2[[#This Row],[Date]],Table7[],3)</f>
        <v>Q2 2024</v>
      </c>
    </row>
    <row r="575" spans="1:9" x14ac:dyDescent="0.25">
      <c r="A575" s="3" t="s">
        <v>27</v>
      </c>
      <c r="B575" s="3">
        <v>45443</v>
      </c>
      <c r="C575" s="6">
        <v>26056</v>
      </c>
      <c r="D575" s="2">
        <f>LEN(Table2[[#This Row],[CLID]])</f>
        <v>7</v>
      </c>
      <c r="E575" s="2" t="str">
        <f>_xlfn.XLOOKUP('Volume Data'!A:A,'Geo Data'!D:D,'Geo Data'!B:B)</f>
        <v>GEO1003</v>
      </c>
      <c r="F575" s="2" t="str">
        <f>INDEX(GeoByClient[GEOID],MATCH(Table2[[#This Row],[CLID]],GeoByClient[Right],0))</f>
        <v>GEO1003</v>
      </c>
      <c r="G575" s="2" t="str">
        <f>_xlfn.XLOOKUP(Table2[[#This Row],[Xlookup Region ID]],GEONames[GEOID],GEONames[GEO Name])</f>
        <v>EMEA</v>
      </c>
      <c r="H575" s="2" t="str">
        <f>"Q"&amp;ROUNDUP(MONTH(Table2[[#This Row],[Date]])/3,0)&amp;" "&amp;YEAR(Table2[[#This Row],[Date]])</f>
        <v>Q2 2024</v>
      </c>
      <c r="I575" s="2" t="str">
        <f>VLOOKUP(Table2[[#This Row],[Date]],Table7[],3)</f>
        <v>Q2 2024</v>
      </c>
    </row>
    <row r="576" spans="1:9" x14ac:dyDescent="0.25">
      <c r="A576" s="3" t="s">
        <v>27</v>
      </c>
      <c r="B576" s="3">
        <v>45473</v>
      </c>
      <c r="C576" s="6">
        <v>16993</v>
      </c>
      <c r="D576" s="2">
        <f>LEN(Table2[[#This Row],[CLID]])</f>
        <v>7</v>
      </c>
      <c r="E576" s="2" t="str">
        <f>_xlfn.XLOOKUP('Volume Data'!A:A,'Geo Data'!D:D,'Geo Data'!B:B)</f>
        <v>GEO1003</v>
      </c>
      <c r="F576" s="2" t="str">
        <f>INDEX(GeoByClient[GEOID],MATCH(Table2[[#This Row],[CLID]],GeoByClient[Right],0))</f>
        <v>GEO1003</v>
      </c>
      <c r="G576" s="2" t="str">
        <f>_xlfn.XLOOKUP(Table2[[#This Row],[Xlookup Region ID]],GEONames[GEOID],GEONames[GEO Name])</f>
        <v>EMEA</v>
      </c>
      <c r="H576" s="2" t="str">
        <f>"Q"&amp;ROUNDUP(MONTH(Table2[[#This Row],[Date]])/3,0)&amp;" "&amp;YEAR(Table2[[#This Row],[Date]])</f>
        <v>Q2 2024</v>
      </c>
      <c r="I576" s="2" t="str">
        <f>VLOOKUP(Table2[[#This Row],[Date]],Table7[],3)</f>
        <v>Q2 2024</v>
      </c>
    </row>
    <row r="577" spans="1:9" x14ac:dyDescent="0.25">
      <c r="A577" s="3" t="s">
        <v>27</v>
      </c>
      <c r="B577" s="3">
        <v>45504</v>
      </c>
      <c r="C577" s="6">
        <v>16994</v>
      </c>
      <c r="D577" s="2">
        <f>LEN(Table2[[#This Row],[CLID]])</f>
        <v>7</v>
      </c>
      <c r="E577" s="2" t="str">
        <f>_xlfn.XLOOKUP('Volume Data'!A:A,'Geo Data'!D:D,'Geo Data'!B:B)</f>
        <v>GEO1003</v>
      </c>
      <c r="F577" s="2" t="str">
        <f>INDEX(GeoByClient[GEOID],MATCH(Table2[[#This Row],[CLID]],GeoByClient[Right],0))</f>
        <v>GEO1003</v>
      </c>
      <c r="G577" s="2" t="str">
        <f>_xlfn.XLOOKUP(Table2[[#This Row],[Xlookup Region ID]],GEONames[GEOID],GEONames[GEO Name])</f>
        <v>EMEA</v>
      </c>
      <c r="H577" s="2" t="str">
        <f>"Q"&amp;ROUNDUP(MONTH(Table2[[#This Row],[Date]])/3,0)&amp;" "&amp;YEAR(Table2[[#This Row],[Date]])</f>
        <v>Q3 2024</v>
      </c>
      <c r="I577" s="2" t="str">
        <f>VLOOKUP(Table2[[#This Row],[Date]],Table7[],3)</f>
        <v>Q3 2024</v>
      </c>
    </row>
    <row r="578" spans="1:9" x14ac:dyDescent="0.25">
      <c r="A578" s="3" t="s">
        <v>27</v>
      </c>
      <c r="B578" s="3">
        <v>45535</v>
      </c>
      <c r="C578" s="6">
        <v>12464</v>
      </c>
      <c r="D578" s="2">
        <f>LEN(Table2[[#This Row],[CLID]])</f>
        <v>7</v>
      </c>
      <c r="E578" s="2" t="str">
        <f>_xlfn.XLOOKUP('Volume Data'!A:A,'Geo Data'!D:D,'Geo Data'!B:B)</f>
        <v>GEO1003</v>
      </c>
      <c r="F578" s="2" t="str">
        <f>INDEX(GeoByClient[GEOID],MATCH(Table2[[#This Row],[CLID]],GeoByClient[Right],0))</f>
        <v>GEO1003</v>
      </c>
      <c r="G578" s="2" t="str">
        <f>_xlfn.XLOOKUP(Table2[[#This Row],[Xlookup Region ID]],GEONames[GEOID],GEONames[GEO Name])</f>
        <v>EMEA</v>
      </c>
      <c r="H578" s="2" t="str">
        <f>"Q"&amp;ROUNDUP(MONTH(Table2[[#This Row],[Date]])/3,0)&amp;" "&amp;YEAR(Table2[[#This Row],[Date]])</f>
        <v>Q3 2024</v>
      </c>
      <c r="I578" s="2" t="str">
        <f>VLOOKUP(Table2[[#This Row],[Date]],Table7[],3)</f>
        <v>Q3 2024</v>
      </c>
    </row>
    <row r="579" spans="1:9" x14ac:dyDescent="0.25">
      <c r="A579" s="3" t="s">
        <v>27</v>
      </c>
      <c r="B579" s="3">
        <v>45565</v>
      </c>
      <c r="C579" s="6">
        <v>14726</v>
      </c>
      <c r="D579" s="2">
        <f>LEN(Table2[[#This Row],[CLID]])</f>
        <v>7</v>
      </c>
      <c r="E579" s="2" t="str">
        <f>_xlfn.XLOOKUP('Volume Data'!A:A,'Geo Data'!D:D,'Geo Data'!B:B)</f>
        <v>GEO1003</v>
      </c>
      <c r="F579" s="2" t="str">
        <f>INDEX(GeoByClient[GEOID],MATCH(Table2[[#This Row],[CLID]],GeoByClient[Right],0))</f>
        <v>GEO1003</v>
      </c>
      <c r="G579" s="2" t="str">
        <f>_xlfn.XLOOKUP(Table2[[#This Row],[Xlookup Region ID]],GEONames[GEOID],GEONames[GEO Name])</f>
        <v>EMEA</v>
      </c>
      <c r="H579" s="2" t="str">
        <f>"Q"&amp;ROUNDUP(MONTH(Table2[[#This Row],[Date]])/3,0)&amp;" "&amp;YEAR(Table2[[#This Row],[Date]])</f>
        <v>Q3 2024</v>
      </c>
      <c r="I579" s="2" t="str">
        <f>VLOOKUP(Table2[[#This Row],[Date]],Table7[],3)</f>
        <v>Q3 2024</v>
      </c>
    </row>
    <row r="580" spans="1:9" x14ac:dyDescent="0.25">
      <c r="A580" s="3" t="s">
        <v>27</v>
      </c>
      <c r="B580" s="3">
        <v>45596</v>
      </c>
      <c r="C580" s="6">
        <v>14726</v>
      </c>
      <c r="D580" s="2">
        <f>LEN(Table2[[#This Row],[CLID]])</f>
        <v>7</v>
      </c>
      <c r="E580" s="2" t="str">
        <f>_xlfn.XLOOKUP('Volume Data'!A:A,'Geo Data'!D:D,'Geo Data'!B:B)</f>
        <v>GEO1003</v>
      </c>
      <c r="F580" s="2" t="str">
        <f>INDEX(GeoByClient[GEOID],MATCH(Table2[[#This Row],[CLID]],GeoByClient[Right],0))</f>
        <v>GEO1003</v>
      </c>
      <c r="G580" s="2" t="str">
        <f>_xlfn.XLOOKUP(Table2[[#This Row],[Xlookup Region ID]],GEONames[GEOID],GEONames[GEO Name])</f>
        <v>EMEA</v>
      </c>
      <c r="H580" s="2" t="str">
        <f>"Q"&amp;ROUNDUP(MONTH(Table2[[#This Row],[Date]])/3,0)&amp;" "&amp;YEAR(Table2[[#This Row],[Date]])</f>
        <v>Q4 2024</v>
      </c>
      <c r="I580" s="2" t="str">
        <f>VLOOKUP(Table2[[#This Row],[Date]],Table7[],3)</f>
        <v>Q4 2024</v>
      </c>
    </row>
    <row r="581" spans="1:9" x14ac:dyDescent="0.25">
      <c r="A581" s="3" t="s">
        <v>27</v>
      </c>
      <c r="B581" s="3">
        <v>45626</v>
      </c>
      <c r="C581" s="6">
        <v>19258</v>
      </c>
      <c r="D581" s="2">
        <f>LEN(Table2[[#This Row],[CLID]])</f>
        <v>7</v>
      </c>
      <c r="E581" s="2" t="str">
        <f>_xlfn.XLOOKUP('Volume Data'!A:A,'Geo Data'!D:D,'Geo Data'!B:B)</f>
        <v>GEO1003</v>
      </c>
      <c r="F581" s="2" t="str">
        <f>INDEX(GeoByClient[GEOID],MATCH(Table2[[#This Row],[CLID]],GeoByClient[Right],0))</f>
        <v>GEO1003</v>
      </c>
      <c r="G581" s="2" t="str">
        <f>_xlfn.XLOOKUP(Table2[[#This Row],[Xlookup Region ID]],GEONames[GEOID],GEONames[GEO Name])</f>
        <v>EMEA</v>
      </c>
      <c r="H581" s="2" t="str">
        <f>"Q"&amp;ROUNDUP(MONTH(Table2[[#This Row],[Date]])/3,0)&amp;" "&amp;YEAR(Table2[[#This Row],[Date]])</f>
        <v>Q4 2024</v>
      </c>
      <c r="I581" s="2" t="str">
        <f>VLOOKUP(Table2[[#This Row],[Date]],Table7[],3)</f>
        <v>Q4 2024</v>
      </c>
    </row>
    <row r="582" spans="1:9" x14ac:dyDescent="0.25">
      <c r="A582" s="3" t="s">
        <v>27</v>
      </c>
      <c r="B582" s="3">
        <v>45657</v>
      </c>
      <c r="C582" s="6">
        <v>16992</v>
      </c>
      <c r="D582" s="2">
        <f>LEN(Table2[[#This Row],[CLID]])</f>
        <v>7</v>
      </c>
      <c r="E582" s="2" t="str">
        <f>_xlfn.XLOOKUP('Volume Data'!A:A,'Geo Data'!D:D,'Geo Data'!B:B)</f>
        <v>GEO1003</v>
      </c>
      <c r="F582" s="2" t="str">
        <f>INDEX(GeoByClient[GEOID],MATCH(Table2[[#This Row],[CLID]],GeoByClient[Right],0))</f>
        <v>GEO1003</v>
      </c>
      <c r="G582" s="2" t="str">
        <f>_xlfn.XLOOKUP(Table2[[#This Row],[Xlookup Region ID]],GEONames[GEOID],GEONames[GEO Name])</f>
        <v>EMEA</v>
      </c>
      <c r="H582" s="2" t="str">
        <f>"Q"&amp;ROUNDUP(MONTH(Table2[[#This Row],[Date]])/3,0)&amp;" "&amp;YEAR(Table2[[#This Row],[Date]])</f>
        <v>Q4 2024</v>
      </c>
      <c r="I582" s="2" t="str">
        <f>VLOOKUP(Table2[[#This Row],[Date]],Table7[],3)</f>
        <v>Q4 2024</v>
      </c>
    </row>
    <row r="583" spans="1:9" x14ac:dyDescent="0.25">
      <c r="A583" s="3" t="s">
        <v>27</v>
      </c>
      <c r="B583" s="3">
        <v>45838</v>
      </c>
      <c r="C583" s="6">
        <v>17501</v>
      </c>
      <c r="D583" s="2">
        <f>LEN(Table2[[#This Row],[CLID]])</f>
        <v>7</v>
      </c>
      <c r="E583" s="2" t="str">
        <f>_xlfn.XLOOKUP('Volume Data'!A:A,'Geo Data'!D:D,'Geo Data'!B:B)</f>
        <v>GEO1003</v>
      </c>
      <c r="F583" s="2" t="str">
        <f>INDEX(GeoByClient[GEOID],MATCH(Table2[[#This Row],[CLID]],GeoByClient[Right],0))</f>
        <v>GEO1003</v>
      </c>
      <c r="G583" s="2" t="str">
        <f>_xlfn.XLOOKUP(Table2[[#This Row],[Xlookup Region ID]],GEONames[GEOID],GEONames[GEO Name])</f>
        <v>EMEA</v>
      </c>
      <c r="H583" s="2" t="str">
        <f>"Q"&amp;ROUNDUP(MONTH(Table2[[#This Row],[Date]])/3,0)&amp;" "&amp;YEAR(Table2[[#This Row],[Date]])</f>
        <v>Q2 2025</v>
      </c>
      <c r="I583" s="2" t="str">
        <f>VLOOKUP(Table2[[#This Row],[Date]],Table7[],3)</f>
        <v>Q2 2025</v>
      </c>
    </row>
    <row r="584" spans="1:9" x14ac:dyDescent="0.25">
      <c r="A584" s="3" t="s">
        <v>27</v>
      </c>
      <c r="B584" s="3">
        <v>45808</v>
      </c>
      <c r="C584" s="6">
        <v>26834</v>
      </c>
      <c r="D584" s="2">
        <f>LEN(Table2[[#This Row],[CLID]])</f>
        <v>7</v>
      </c>
      <c r="E584" s="2" t="str">
        <f>_xlfn.XLOOKUP('Volume Data'!A:A,'Geo Data'!D:D,'Geo Data'!B:B)</f>
        <v>GEO1003</v>
      </c>
      <c r="F584" s="2" t="str">
        <f>INDEX(GeoByClient[GEOID],MATCH(Table2[[#This Row],[CLID]],GeoByClient[Right],0))</f>
        <v>GEO1003</v>
      </c>
      <c r="G584" s="2" t="str">
        <f>_xlfn.XLOOKUP(Table2[[#This Row],[Xlookup Region ID]],GEONames[GEOID],GEONames[GEO Name])</f>
        <v>EMEA</v>
      </c>
      <c r="H584" s="2" t="str">
        <f>"Q"&amp;ROUNDUP(MONTH(Table2[[#This Row],[Date]])/3,0)&amp;" "&amp;YEAR(Table2[[#This Row],[Date]])</f>
        <v>Q2 2025</v>
      </c>
      <c r="I584" s="2" t="str">
        <f>VLOOKUP(Table2[[#This Row],[Date]],Table7[],3)</f>
        <v>Q2 2025</v>
      </c>
    </row>
    <row r="585" spans="1:9" x14ac:dyDescent="0.25">
      <c r="A585" s="3" t="s">
        <v>27</v>
      </c>
      <c r="B585" s="3">
        <v>45777</v>
      </c>
      <c r="C585" s="6">
        <v>26840</v>
      </c>
      <c r="D585" s="2">
        <f>LEN(Table2[[#This Row],[CLID]])</f>
        <v>7</v>
      </c>
      <c r="E585" s="2" t="str">
        <f>_xlfn.XLOOKUP('Volume Data'!A:A,'Geo Data'!D:D,'Geo Data'!B:B)</f>
        <v>GEO1003</v>
      </c>
      <c r="F585" s="2" t="str">
        <f>INDEX(GeoByClient[GEOID],MATCH(Table2[[#This Row],[CLID]],GeoByClient[Right],0))</f>
        <v>GEO1003</v>
      </c>
      <c r="G585" s="2" t="str">
        <f>_xlfn.XLOOKUP(Table2[[#This Row],[Xlookup Region ID]],GEONames[GEOID],GEONames[GEO Name])</f>
        <v>EMEA</v>
      </c>
      <c r="H585" s="2" t="str">
        <f>"Q"&amp;ROUNDUP(MONTH(Table2[[#This Row],[Date]])/3,0)&amp;" "&amp;YEAR(Table2[[#This Row],[Date]])</f>
        <v>Q2 2025</v>
      </c>
      <c r="I585" s="2" t="str">
        <f>VLOOKUP(Table2[[#This Row],[Date]],Table7[],3)</f>
        <v>Q2 2025</v>
      </c>
    </row>
    <row r="586" spans="1:9" x14ac:dyDescent="0.25">
      <c r="A586" s="3" t="s">
        <v>27</v>
      </c>
      <c r="B586" s="3">
        <v>45747</v>
      </c>
      <c r="C586" s="6">
        <v>23553</v>
      </c>
      <c r="D586" s="2">
        <f>LEN(Table2[[#This Row],[CLID]])</f>
        <v>7</v>
      </c>
      <c r="E586" s="2" t="str">
        <f>_xlfn.XLOOKUP('Volume Data'!A:A,'Geo Data'!D:D,'Geo Data'!B:B)</f>
        <v>GEO1003</v>
      </c>
      <c r="F586" s="2" t="str">
        <f>INDEX(GeoByClient[GEOID],MATCH(Table2[[#This Row],[CLID]],GeoByClient[Right],0))</f>
        <v>GEO1003</v>
      </c>
      <c r="G586" s="2" t="str">
        <f>_xlfn.XLOOKUP(Table2[[#This Row],[Xlookup Region ID]],GEONames[GEOID],GEONames[GEO Name])</f>
        <v>EMEA</v>
      </c>
      <c r="H586" s="2" t="str">
        <f>"Q"&amp;ROUNDUP(MONTH(Table2[[#This Row],[Date]])/3,0)&amp;" "&amp;YEAR(Table2[[#This Row],[Date]])</f>
        <v>Q1 2025</v>
      </c>
      <c r="I586" s="2" t="str">
        <f>VLOOKUP(Table2[[#This Row],[Date]],Table7[],3)</f>
        <v>Q4 2024</v>
      </c>
    </row>
    <row r="587" spans="1:9" x14ac:dyDescent="0.25">
      <c r="A587" s="3" t="s">
        <v>27</v>
      </c>
      <c r="B587" s="3">
        <v>45716</v>
      </c>
      <c r="C587" s="6">
        <v>19839</v>
      </c>
      <c r="D587" s="2">
        <f>LEN(Table2[[#This Row],[CLID]])</f>
        <v>7</v>
      </c>
      <c r="E587" s="2" t="str">
        <f>_xlfn.XLOOKUP('Volume Data'!A:A,'Geo Data'!D:D,'Geo Data'!B:B)</f>
        <v>GEO1003</v>
      </c>
      <c r="F587" s="2" t="str">
        <f>INDEX(GeoByClient[GEOID],MATCH(Table2[[#This Row],[CLID]],GeoByClient[Right],0))</f>
        <v>GEO1003</v>
      </c>
      <c r="G587" s="2" t="str">
        <f>_xlfn.XLOOKUP(Table2[[#This Row],[Xlookup Region ID]],GEONames[GEOID],GEONames[GEO Name])</f>
        <v>EMEA</v>
      </c>
      <c r="H587" s="2" t="str">
        <f>"Q"&amp;ROUNDUP(MONTH(Table2[[#This Row],[Date]])/3,0)&amp;" "&amp;YEAR(Table2[[#This Row],[Date]])</f>
        <v>Q1 2025</v>
      </c>
      <c r="I587" s="2" t="str">
        <f>VLOOKUP(Table2[[#This Row],[Date]],Table7[],3)</f>
        <v>Q4 2024</v>
      </c>
    </row>
    <row r="588" spans="1:9" x14ac:dyDescent="0.25">
      <c r="A588" s="3" t="s">
        <v>27</v>
      </c>
      <c r="B588" s="3">
        <v>45688</v>
      </c>
      <c r="C588" s="6">
        <v>20221</v>
      </c>
      <c r="D588" s="2">
        <f>LEN(Table2[[#This Row],[CLID]])</f>
        <v>7</v>
      </c>
      <c r="E588" s="2" t="str">
        <f>_xlfn.XLOOKUP('Volume Data'!A:A,'Geo Data'!D:D,'Geo Data'!B:B)</f>
        <v>GEO1003</v>
      </c>
      <c r="F588" s="2" t="str">
        <f>INDEX(GeoByClient[GEOID],MATCH(Table2[[#This Row],[CLID]],GeoByClient[Right],0))</f>
        <v>GEO1003</v>
      </c>
      <c r="G588" s="2" t="str">
        <f>_xlfn.XLOOKUP(Table2[[#This Row],[Xlookup Region ID]],GEONames[GEOID],GEONames[GEO Name])</f>
        <v>EMEA</v>
      </c>
      <c r="H588" s="2" t="str">
        <f>"Q"&amp;ROUNDUP(MONTH(Table2[[#This Row],[Date]])/3,0)&amp;" "&amp;YEAR(Table2[[#This Row],[Date]])</f>
        <v>Q1 2025</v>
      </c>
      <c r="I588" s="2" t="str">
        <f>VLOOKUP(Table2[[#This Row],[Date]],Table7[],3)</f>
        <v>Q4 2024</v>
      </c>
    </row>
    <row r="589" spans="1:9" x14ac:dyDescent="0.25">
      <c r="A589" s="3" t="s">
        <v>10</v>
      </c>
      <c r="B589" s="3">
        <v>45322</v>
      </c>
      <c r="C589" s="6">
        <v>277</v>
      </c>
      <c r="D589" s="2">
        <f>LEN(Table2[[#This Row],[CLID]])</f>
        <v>7</v>
      </c>
      <c r="E589" s="2" t="str">
        <f>_xlfn.XLOOKUP('Volume Data'!A:A,'Geo Data'!D:D,'Geo Data'!B:B)</f>
        <v>GEO1002</v>
      </c>
      <c r="F589" s="2" t="str">
        <f>INDEX(GeoByClient[GEOID],MATCH(Table2[[#This Row],[CLID]],GeoByClient[Right],0))</f>
        <v>GEO1002</v>
      </c>
      <c r="G589" s="2" t="str">
        <f>_xlfn.XLOOKUP(Table2[[#This Row],[Xlookup Region ID]],GEONames[GEOID],GEONames[GEO Name])</f>
        <v>APAC</v>
      </c>
      <c r="H589" s="2" t="str">
        <f>"Q"&amp;ROUNDUP(MONTH(Table2[[#This Row],[Date]])/3,0)&amp;" "&amp;YEAR(Table2[[#This Row],[Date]])</f>
        <v>Q1 2024</v>
      </c>
      <c r="I589" s="2" t="str">
        <f>VLOOKUP(Table2[[#This Row],[Date]],Table7[],3)</f>
        <v>Q1 2024</v>
      </c>
    </row>
    <row r="590" spans="1:9" x14ac:dyDescent="0.25">
      <c r="A590" s="3" t="s">
        <v>10</v>
      </c>
      <c r="B590" s="3">
        <v>45351</v>
      </c>
      <c r="C590" s="6">
        <v>244</v>
      </c>
      <c r="D590" s="2">
        <f>LEN(Table2[[#This Row],[CLID]])</f>
        <v>7</v>
      </c>
      <c r="E590" s="2" t="str">
        <f>_xlfn.XLOOKUP('Volume Data'!A:A,'Geo Data'!D:D,'Geo Data'!B:B)</f>
        <v>GEO1002</v>
      </c>
      <c r="F590" s="2" t="str">
        <f>INDEX(GeoByClient[GEOID],MATCH(Table2[[#This Row],[CLID]],GeoByClient[Right],0))</f>
        <v>GEO1002</v>
      </c>
      <c r="G590" s="2" t="str">
        <f>_xlfn.XLOOKUP(Table2[[#This Row],[Xlookup Region ID]],GEONames[GEOID],GEONames[GEO Name])</f>
        <v>APAC</v>
      </c>
      <c r="H590" s="2" t="str">
        <f>"Q"&amp;ROUNDUP(MONTH(Table2[[#This Row],[Date]])/3,0)&amp;" "&amp;YEAR(Table2[[#This Row],[Date]])</f>
        <v>Q1 2024</v>
      </c>
      <c r="I590" s="2" t="str">
        <f>VLOOKUP(Table2[[#This Row],[Date]],Table7[],3)</f>
        <v>Q1 2024</v>
      </c>
    </row>
    <row r="591" spans="1:9" x14ac:dyDescent="0.25">
      <c r="A591" s="3" t="s">
        <v>10</v>
      </c>
      <c r="B591" s="3">
        <v>45382</v>
      </c>
      <c r="C591" s="6">
        <v>337</v>
      </c>
      <c r="D591" s="2">
        <f>LEN(Table2[[#This Row],[CLID]])</f>
        <v>7</v>
      </c>
      <c r="E591" s="2" t="str">
        <f>_xlfn.XLOOKUP('Volume Data'!A:A,'Geo Data'!D:D,'Geo Data'!B:B)</f>
        <v>GEO1002</v>
      </c>
      <c r="F591" s="2" t="str">
        <f>INDEX(GeoByClient[GEOID],MATCH(Table2[[#This Row],[CLID]],GeoByClient[Right],0))</f>
        <v>GEO1002</v>
      </c>
      <c r="G591" s="2" t="str">
        <f>_xlfn.XLOOKUP(Table2[[#This Row],[Xlookup Region ID]],GEONames[GEOID],GEONames[GEO Name])</f>
        <v>APAC</v>
      </c>
      <c r="H591" s="2" t="str">
        <f>"Q"&amp;ROUNDUP(MONTH(Table2[[#This Row],[Date]])/3,0)&amp;" "&amp;YEAR(Table2[[#This Row],[Date]])</f>
        <v>Q1 2024</v>
      </c>
      <c r="I591" s="2" t="str">
        <f>VLOOKUP(Table2[[#This Row],[Date]],Table7[],3)</f>
        <v>Q1 2024</v>
      </c>
    </row>
    <row r="592" spans="1:9" x14ac:dyDescent="0.25">
      <c r="A592" s="3" t="s">
        <v>10</v>
      </c>
      <c r="B592" s="3">
        <v>45412</v>
      </c>
      <c r="C592" s="6">
        <v>332</v>
      </c>
      <c r="D592" s="2">
        <f>LEN(Table2[[#This Row],[CLID]])</f>
        <v>7</v>
      </c>
      <c r="E592" s="2" t="str">
        <f>_xlfn.XLOOKUP('Volume Data'!A:A,'Geo Data'!D:D,'Geo Data'!B:B)</f>
        <v>GEO1002</v>
      </c>
      <c r="F592" s="2" t="str">
        <f>INDEX(GeoByClient[GEOID],MATCH(Table2[[#This Row],[CLID]],GeoByClient[Right],0))</f>
        <v>GEO1002</v>
      </c>
      <c r="G592" s="2" t="str">
        <f>_xlfn.XLOOKUP(Table2[[#This Row],[Xlookup Region ID]],GEONames[GEOID],GEONames[GEO Name])</f>
        <v>APAC</v>
      </c>
      <c r="H592" s="2" t="str">
        <f>"Q"&amp;ROUNDUP(MONTH(Table2[[#This Row],[Date]])/3,0)&amp;" "&amp;YEAR(Table2[[#This Row],[Date]])</f>
        <v>Q2 2024</v>
      </c>
      <c r="I592" s="2" t="str">
        <f>VLOOKUP(Table2[[#This Row],[Date]],Table7[],3)</f>
        <v>Q2 2024</v>
      </c>
    </row>
    <row r="593" spans="1:9" x14ac:dyDescent="0.25">
      <c r="A593" s="3" t="s">
        <v>10</v>
      </c>
      <c r="B593" s="3">
        <v>45443</v>
      </c>
      <c r="C593" s="6">
        <v>362</v>
      </c>
      <c r="D593" s="2">
        <f>LEN(Table2[[#This Row],[CLID]])</f>
        <v>7</v>
      </c>
      <c r="E593" s="2" t="str">
        <f>_xlfn.XLOOKUP('Volume Data'!A:A,'Geo Data'!D:D,'Geo Data'!B:B)</f>
        <v>GEO1002</v>
      </c>
      <c r="F593" s="2" t="str">
        <f>INDEX(GeoByClient[GEOID],MATCH(Table2[[#This Row],[CLID]],GeoByClient[Right],0))</f>
        <v>GEO1002</v>
      </c>
      <c r="G593" s="2" t="str">
        <f>_xlfn.XLOOKUP(Table2[[#This Row],[Xlookup Region ID]],GEONames[GEOID],GEONames[GEO Name])</f>
        <v>APAC</v>
      </c>
      <c r="H593" s="2" t="str">
        <f>"Q"&amp;ROUNDUP(MONTH(Table2[[#This Row],[Date]])/3,0)&amp;" "&amp;YEAR(Table2[[#This Row],[Date]])</f>
        <v>Q2 2024</v>
      </c>
      <c r="I593" s="2" t="str">
        <f>VLOOKUP(Table2[[#This Row],[Date]],Table7[],3)</f>
        <v>Q2 2024</v>
      </c>
    </row>
    <row r="594" spans="1:9" x14ac:dyDescent="0.25">
      <c r="A594" s="3" t="s">
        <v>10</v>
      </c>
      <c r="B594" s="3">
        <v>45473</v>
      </c>
      <c r="C594" s="6">
        <v>213</v>
      </c>
      <c r="D594" s="2">
        <f>LEN(Table2[[#This Row],[CLID]])</f>
        <v>7</v>
      </c>
      <c r="E594" s="2" t="str">
        <f>_xlfn.XLOOKUP('Volume Data'!A:A,'Geo Data'!D:D,'Geo Data'!B:B)</f>
        <v>GEO1002</v>
      </c>
      <c r="F594" s="2" t="str">
        <f>INDEX(GeoByClient[GEOID],MATCH(Table2[[#This Row],[CLID]],GeoByClient[Right],0))</f>
        <v>GEO1002</v>
      </c>
      <c r="G594" s="2" t="str">
        <f>_xlfn.XLOOKUP(Table2[[#This Row],[Xlookup Region ID]],GEONames[GEOID],GEONames[GEO Name])</f>
        <v>APAC</v>
      </c>
      <c r="H594" s="2" t="str">
        <f>"Q"&amp;ROUNDUP(MONTH(Table2[[#This Row],[Date]])/3,0)&amp;" "&amp;YEAR(Table2[[#This Row],[Date]])</f>
        <v>Q2 2024</v>
      </c>
      <c r="I594" s="2" t="str">
        <f>VLOOKUP(Table2[[#This Row],[Date]],Table7[],3)</f>
        <v>Q2 2024</v>
      </c>
    </row>
    <row r="595" spans="1:9" x14ac:dyDescent="0.25">
      <c r="A595" s="3" t="s">
        <v>10</v>
      </c>
      <c r="B595" s="3">
        <v>45504</v>
      </c>
      <c r="C595" s="6">
        <v>248</v>
      </c>
      <c r="D595" s="2">
        <f>LEN(Table2[[#This Row],[CLID]])</f>
        <v>7</v>
      </c>
      <c r="E595" s="2" t="str">
        <f>_xlfn.XLOOKUP('Volume Data'!A:A,'Geo Data'!D:D,'Geo Data'!B:B)</f>
        <v>GEO1002</v>
      </c>
      <c r="F595" s="2" t="str">
        <f>INDEX(GeoByClient[GEOID],MATCH(Table2[[#This Row],[CLID]],GeoByClient[Right],0))</f>
        <v>GEO1002</v>
      </c>
      <c r="G595" s="2" t="str">
        <f>_xlfn.XLOOKUP(Table2[[#This Row],[Xlookup Region ID]],GEONames[GEOID],GEONames[GEO Name])</f>
        <v>APAC</v>
      </c>
      <c r="H595" s="2" t="str">
        <f>"Q"&amp;ROUNDUP(MONTH(Table2[[#This Row],[Date]])/3,0)&amp;" "&amp;YEAR(Table2[[#This Row],[Date]])</f>
        <v>Q3 2024</v>
      </c>
      <c r="I595" s="2" t="str">
        <f>VLOOKUP(Table2[[#This Row],[Date]],Table7[],3)</f>
        <v>Q3 2024</v>
      </c>
    </row>
    <row r="596" spans="1:9" x14ac:dyDescent="0.25">
      <c r="A596" s="3" t="s">
        <v>10</v>
      </c>
      <c r="B596" s="3">
        <v>45535</v>
      </c>
      <c r="C596" s="6">
        <v>156</v>
      </c>
      <c r="D596" s="2">
        <f>LEN(Table2[[#This Row],[CLID]])</f>
        <v>7</v>
      </c>
      <c r="E596" s="2" t="str">
        <f>_xlfn.XLOOKUP('Volume Data'!A:A,'Geo Data'!D:D,'Geo Data'!B:B)</f>
        <v>GEO1002</v>
      </c>
      <c r="F596" s="2" t="str">
        <f>INDEX(GeoByClient[GEOID],MATCH(Table2[[#This Row],[CLID]],GeoByClient[Right],0))</f>
        <v>GEO1002</v>
      </c>
      <c r="G596" s="2" t="str">
        <f>_xlfn.XLOOKUP(Table2[[#This Row],[Xlookup Region ID]],GEONames[GEOID],GEONames[GEO Name])</f>
        <v>APAC</v>
      </c>
      <c r="H596" s="2" t="str">
        <f>"Q"&amp;ROUNDUP(MONTH(Table2[[#This Row],[Date]])/3,0)&amp;" "&amp;YEAR(Table2[[#This Row],[Date]])</f>
        <v>Q3 2024</v>
      </c>
      <c r="I596" s="2" t="str">
        <f>VLOOKUP(Table2[[#This Row],[Date]],Table7[],3)</f>
        <v>Q3 2024</v>
      </c>
    </row>
    <row r="597" spans="1:9" x14ac:dyDescent="0.25">
      <c r="A597" s="3" t="s">
        <v>10</v>
      </c>
      <c r="B597" s="3">
        <v>45565</v>
      </c>
      <c r="C597" s="6">
        <v>218</v>
      </c>
      <c r="D597" s="2">
        <f>LEN(Table2[[#This Row],[CLID]])</f>
        <v>7</v>
      </c>
      <c r="E597" s="2" t="str">
        <f>_xlfn.XLOOKUP('Volume Data'!A:A,'Geo Data'!D:D,'Geo Data'!B:B)</f>
        <v>GEO1002</v>
      </c>
      <c r="F597" s="2" t="str">
        <f>INDEX(GeoByClient[GEOID],MATCH(Table2[[#This Row],[CLID]],GeoByClient[Right],0))</f>
        <v>GEO1002</v>
      </c>
      <c r="G597" s="2" t="str">
        <f>_xlfn.XLOOKUP(Table2[[#This Row],[Xlookup Region ID]],GEONames[GEOID],GEONames[GEO Name])</f>
        <v>APAC</v>
      </c>
      <c r="H597" s="2" t="str">
        <f>"Q"&amp;ROUNDUP(MONTH(Table2[[#This Row],[Date]])/3,0)&amp;" "&amp;YEAR(Table2[[#This Row],[Date]])</f>
        <v>Q3 2024</v>
      </c>
      <c r="I597" s="2" t="str">
        <f>VLOOKUP(Table2[[#This Row],[Date]],Table7[],3)</f>
        <v>Q3 2024</v>
      </c>
    </row>
    <row r="598" spans="1:9" x14ac:dyDescent="0.25">
      <c r="A598" s="3" t="s">
        <v>10</v>
      </c>
      <c r="B598" s="3">
        <v>45596</v>
      </c>
      <c r="C598" s="6">
        <v>182</v>
      </c>
      <c r="D598" s="2">
        <f>LEN(Table2[[#This Row],[CLID]])</f>
        <v>7</v>
      </c>
      <c r="E598" s="2" t="str">
        <f>_xlfn.XLOOKUP('Volume Data'!A:A,'Geo Data'!D:D,'Geo Data'!B:B)</f>
        <v>GEO1002</v>
      </c>
      <c r="F598" s="2" t="str">
        <f>INDEX(GeoByClient[GEOID],MATCH(Table2[[#This Row],[CLID]],GeoByClient[Right],0))</f>
        <v>GEO1002</v>
      </c>
      <c r="G598" s="2" t="str">
        <f>_xlfn.XLOOKUP(Table2[[#This Row],[Xlookup Region ID]],GEONames[GEOID],GEONames[GEO Name])</f>
        <v>APAC</v>
      </c>
      <c r="H598" s="2" t="str">
        <f>"Q"&amp;ROUNDUP(MONTH(Table2[[#This Row],[Date]])/3,0)&amp;" "&amp;YEAR(Table2[[#This Row],[Date]])</f>
        <v>Q4 2024</v>
      </c>
      <c r="I598" s="2" t="str">
        <f>VLOOKUP(Table2[[#This Row],[Date]],Table7[],3)</f>
        <v>Q4 2024</v>
      </c>
    </row>
    <row r="599" spans="1:9" x14ac:dyDescent="0.25">
      <c r="A599" s="3" t="s">
        <v>10</v>
      </c>
      <c r="B599" s="3">
        <v>45626</v>
      </c>
      <c r="C599" s="6">
        <v>276</v>
      </c>
      <c r="D599" s="2">
        <f>LEN(Table2[[#This Row],[CLID]])</f>
        <v>7</v>
      </c>
      <c r="E599" s="2" t="str">
        <f>_xlfn.XLOOKUP('Volume Data'!A:A,'Geo Data'!D:D,'Geo Data'!B:B)</f>
        <v>GEO1002</v>
      </c>
      <c r="F599" s="2" t="str">
        <f>INDEX(GeoByClient[GEOID],MATCH(Table2[[#This Row],[CLID]],GeoByClient[Right],0))</f>
        <v>GEO1002</v>
      </c>
      <c r="G599" s="2" t="str">
        <f>_xlfn.XLOOKUP(Table2[[#This Row],[Xlookup Region ID]],GEONames[GEOID],GEONames[GEO Name])</f>
        <v>APAC</v>
      </c>
      <c r="H599" s="2" t="str">
        <f>"Q"&amp;ROUNDUP(MONTH(Table2[[#This Row],[Date]])/3,0)&amp;" "&amp;YEAR(Table2[[#This Row],[Date]])</f>
        <v>Q4 2024</v>
      </c>
      <c r="I599" s="2" t="str">
        <f>VLOOKUP(Table2[[#This Row],[Date]],Table7[],3)</f>
        <v>Q4 2024</v>
      </c>
    </row>
    <row r="600" spans="1:9" x14ac:dyDescent="0.25">
      <c r="A600" s="3" t="s">
        <v>10</v>
      </c>
      <c r="B600" s="3">
        <v>45657</v>
      </c>
      <c r="C600" s="6">
        <v>218</v>
      </c>
      <c r="D600" s="2">
        <f>LEN(Table2[[#This Row],[CLID]])</f>
        <v>7</v>
      </c>
      <c r="E600" s="2" t="str">
        <f>_xlfn.XLOOKUP('Volume Data'!A:A,'Geo Data'!D:D,'Geo Data'!B:B)</f>
        <v>GEO1002</v>
      </c>
      <c r="F600" s="2" t="str">
        <f>INDEX(GeoByClient[GEOID],MATCH(Table2[[#This Row],[CLID]],GeoByClient[Right],0))</f>
        <v>GEO1002</v>
      </c>
      <c r="G600" s="2" t="str">
        <f>_xlfn.XLOOKUP(Table2[[#This Row],[Xlookup Region ID]],GEONames[GEOID],GEONames[GEO Name])</f>
        <v>APAC</v>
      </c>
      <c r="H600" s="2" t="str">
        <f>"Q"&amp;ROUNDUP(MONTH(Table2[[#This Row],[Date]])/3,0)&amp;" "&amp;YEAR(Table2[[#This Row],[Date]])</f>
        <v>Q4 2024</v>
      </c>
      <c r="I600" s="2" t="str">
        <f>VLOOKUP(Table2[[#This Row],[Date]],Table7[],3)</f>
        <v>Q4 2024</v>
      </c>
    </row>
    <row r="601" spans="1:9" x14ac:dyDescent="0.25">
      <c r="A601" s="3" t="s">
        <v>10</v>
      </c>
      <c r="B601" s="3">
        <v>45838</v>
      </c>
      <c r="C601" s="6">
        <v>220</v>
      </c>
      <c r="D601" s="2">
        <f>LEN(Table2[[#This Row],[CLID]])</f>
        <v>7</v>
      </c>
      <c r="E601" s="2" t="str">
        <f>_xlfn.XLOOKUP('Volume Data'!A:A,'Geo Data'!D:D,'Geo Data'!B:B)</f>
        <v>GEO1002</v>
      </c>
      <c r="F601" s="2" t="str">
        <f>INDEX(GeoByClient[GEOID],MATCH(Table2[[#This Row],[CLID]],GeoByClient[Right],0))</f>
        <v>GEO1002</v>
      </c>
      <c r="G601" s="2" t="str">
        <f>_xlfn.XLOOKUP(Table2[[#This Row],[Xlookup Region ID]],GEONames[GEOID],GEONames[GEO Name])</f>
        <v>APAC</v>
      </c>
      <c r="H601" s="2" t="str">
        <f>"Q"&amp;ROUNDUP(MONTH(Table2[[#This Row],[Date]])/3,0)&amp;" "&amp;YEAR(Table2[[#This Row],[Date]])</f>
        <v>Q2 2025</v>
      </c>
      <c r="I601" s="2" t="str">
        <f>VLOOKUP(Table2[[#This Row],[Date]],Table7[],3)</f>
        <v>Q2 2025</v>
      </c>
    </row>
    <row r="602" spans="1:9" x14ac:dyDescent="0.25">
      <c r="A602" s="3" t="s">
        <v>10</v>
      </c>
      <c r="B602" s="3">
        <v>45808</v>
      </c>
      <c r="C602" s="6">
        <v>370</v>
      </c>
      <c r="D602" s="2">
        <f>LEN(Table2[[#This Row],[CLID]])</f>
        <v>7</v>
      </c>
      <c r="E602" s="2" t="str">
        <f>_xlfn.XLOOKUP('Volume Data'!A:A,'Geo Data'!D:D,'Geo Data'!B:B)</f>
        <v>GEO1002</v>
      </c>
      <c r="F602" s="2" t="str">
        <f>INDEX(GeoByClient[GEOID],MATCH(Table2[[#This Row],[CLID]],GeoByClient[Right],0))</f>
        <v>GEO1002</v>
      </c>
      <c r="G602" s="2" t="str">
        <f>_xlfn.XLOOKUP(Table2[[#This Row],[Xlookup Region ID]],GEONames[GEOID],GEONames[GEO Name])</f>
        <v>APAC</v>
      </c>
      <c r="H602" s="2" t="str">
        <f>"Q"&amp;ROUNDUP(MONTH(Table2[[#This Row],[Date]])/3,0)&amp;" "&amp;YEAR(Table2[[#This Row],[Date]])</f>
        <v>Q2 2025</v>
      </c>
      <c r="I602" s="2" t="str">
        <f>VLOOKUP(Table2[[#This Row],[Date]],Table7[],3)</f>
        <v>Q2 2025</v>
      </c>
    </row>
    <row r="603" spans="1:9" x14ac:dyDescent="0.25">
      <c r="A603" s="3" t="s">
        <v>10</v>
      </c>
      <c r="B603" s="3">
        <v>45777</v>
      </c>
      <c r="C603" s="6">
        <v>331</v>
      </c>
      <c r="D603" s="2">
        <f>LEN(Table2[[#This Row],[CLID]])</f>
        <v>7</v>
      </c>
      <c r="E603" s="2" t="str">
        <f>_xlfn.XLOOKUP('Volume Data'!A:A,'Geo Data'!D:D,'Geo Data'!B:B)</f>
        <v>GEO1002</v>
      </c>
      <c r="F603" s="2" t="str">
        <f>INDEX(GeoByClient[GEOID],MATCH(Table2[[#This Row],[CLID]],GeoByClient[Right],0))</f>
        <v>GEO1002</v>
      </c>
      <c r="G603" s="2" t="str">
        <f>_xlfn.XLOOKUP(Table2[[#This Row],[Xlookup Region ID]],GEONames[GEOID],GEONames[GEO Name])</f>
        <v>APAC</v>
      </c>
      <c r="H603" s="2" t="str">
        <f>"Q"&amp;ROUNDUP(MONTH(Table2[[#This Row],[Date]])/3,0)&amp;" "&amp;YEAR(Table2[[#This Row],[Date]])</f>
        <v>Q2 2025</v>
      </c>
      <c r="I603" s="2" t="str">
        <f>VLOOKUP(Table2[[#This Row],[Date]],Table7[],3)</f>
        <v>Q2 2025</v>
      </c>
    </row>
    <row r="604" spans="1:9" x14ac:dyDescent="0.25">
      <c r="A604" s="3" t="s">
        <v>10</v>
      </c>
      <c r="B604" s="3">
        <v>45747</v>
      </c>
      <c r="C604" s="6">
        <v>332</v>
      </c>
      <c r="D604" s="2">
        <f>LEN(Table2[[#This Row],[CLID]])</f>
        <v>7</v>
      </c>
      <c r="E604" s="2" t="str">
        <f>_xlfn.XLOOKUP('Volume Data'!A:A,'Geo Data'!D:D,'Geo Data'!B:B)</f>
        <v>GEO1002</v>
      </c>
      <c r="F604" s="2" t="str">
        <f>INDEX(GeoByClient[GEOID],MATCH(Table2[[#This Row],[CLID]],GeoByClient[Right],0))</f>
        <v>GEO1002</v>
      </c>
      <c r="G604" s="2" t="str">
        <f>_xlfn.XLOOKUP(Table2[[#This Row],[Xlookup Region ID]],GEONames[GEOID],GEONames[GEO Name])</f>
        <v>APAC</v>
      </c>
      <c r="H604" s="2" t="str">
        <f>"Q"&amp;ROUNDUP(MONTH(Table2[[#This Row],[Date]])/3,0)&amp;" "&amp;YEAR(Table2[[#This Row],[Date]])</f>
        <v>Q1 2025</v>
      </c>
      <c r="I604" s="2" t="str">
        <f>VLOOKUP(Table2[[#This Row],[Date]],Table7[],3)</f>
        <v>Q4 2024</v>
      </c>
    </row>
    <row r="605" spans="1:9" x14ac:dyDescent="0.25">
      <c r="A605" s="3" t="s">
        <v>10</v>
      </c>
      <c r="B605" s="3">
        <v>45716</v>
      </c>
      <c r="C605" s="6">
        <v>250</v>
      </c>
      <c r="D605" s="2">
        <f>LEN(Table2[[#This Row],[CLID]])</f>
        <v>7</v>
      </c>
      <c r="E605" s="2" t="str">
        <f>_xlfn.XLOOKUP('Volume Data'!A:A,'Geo Data'!D:D,'Geo Data'!B:B)</f>
        <v>GEO1002</v>
      </c>
      <c r="F605" s="2" t="str">
        <f>INDEX(GeoByClient[GEOID],MATCH(Table2[[#This Row],[CLID]],GeoByClient[Right],0))</f>
        <v>GEO1002</v>
      </c>
      <c r="G605" s="2" t="str">
        <f>_xlfn.XLOOKUP(Table2[[#This Row],[Xlookup Region ID]],GEONames[GEOID],GEONames[GEO Name])</f>
        <v>APAC</v>
      </c>
      <c r="H605" s="2" t="str">
        <f>"Q"&amp;ROUNDUP(MONTH(Table2[[#This Row],[Date]])/3,0)&amp;" "&amp;YEAR(Table2[[#This Row],[Date]])</f>
        <v>Q1 2025</v>
      </c>
      <c r="I605" s="2" t="str">
        <f>VLOOKUP(Table2[[#This Row],[Date]],Table7[],3)</f>
        <v>Q4 2024</v>
      </c>
    </row>
    <row r="606" spans="1:9" x14ac:dyDescent="0.25">
      <c r="A606" s="3" t="s">
        <v>10</v>
      </c>
      <c r="B606" s="3">
        <v>45688</v>
      </c>
      <c r="C606" s="6">
        <v>289</v>
      </c>
      <c r="D606" s="2">
        <f>LEN(Table2[[#This Row],[CLID]])</f>
        <v>7</v>
      </c>
      <c r="E606" s="2" t="str">
        <f>_xlfn.XLOOKUP('Volume Data'!A:A,'Geo Data'!D:D,'Geo Data'!B:B)</f>
        <v>GEO1002</v>
      </c>
      <c r="F606" s="2" t="str">
        <f>INDEX(GeoByClient[GEOID],MATCH(Table2[[#This Row],[CLID]],GeoByClient[Right],0))</f>
        <v>GEO1002</v>
      </c>
      <c r="G606" s="2" t="str">
        <f>_xlfn.XLOOKUP(Table2[[#This Row],[Xlookup Region ID]],GEONames[GEOID],GEONames[GEO Name])</f>
        <v>APAC</v>
      </c>
      <c r="H606" s="2" t="str">
        <f>"Q"&amp;ROUNDUP(MONTH(Table2[[#This Row],[Date]])/3,0)&amp;" "&amp;YEAR(Table2[[#This Row],[Date]])</f>
        <v>Q1 2025</v>
      </c>
      <c r="I606" s="2" t="str">
        <f>VLOOKUP(Table2[[#This Row],[Date]],Table7[],3)</f>
        <v>Q4 2024</v>
      </c>
    </row>
    <row r="607" spans="1:9" x14ac:dyDescent="0.25">
      <c r="A607" s="3" t="s">
        <v>46</v>
      </c>
      <c r="B607" s="3">
        <v>45322</v>
      </c>
      <c r="C607" s="6">
        <v>1586</v>
      </c>
      <c r="D607" s="2">
        <f>LEN(Table2[[#This Row],[CLID]])</f>
        <v>7</v>
      </c>
      <c r="E607" s="2" t="str">
        <f>_xlfn.XLOOKUP('Volume Data'!A:A,'Geo Data'!D:D,'Geo Data'!B:B)</f>
        <v>GEO1001</v>
      </c>
      <c r="F607" s="2" t="str">
        <f>INDEX(GeoByClient[GEOID],MATCH(Table2[[#This Row],[CLID]],GeoByClient[Right],0))</f>
        <v>GEO1001</v>
      </c>
      <c r="G607" s="2" t="str">
        <f>_xlfn.XLOOKUP(Table2[[#This Row],[Xlookup Region ID]],GEONames[GEOID],GEONames[GEO Name])</f>
        <v>NAM</v>
      </c>
      <c r="H607" s="2" t="str">
        <f>"Q"&amp;ROUNDUP(MONTH(Table2[[#This Row],[Date]])/3,0)&amp;" "&amp;YEAR(Table2[[#This Row],[Date]])</f>
        <v>Q1 2024</v>
      </c>
      <c r="I607" s="2" t="str">
        <f>VLOOKUP(Table2[[#This Row],[Date]],Table7[],3)</f>
        <v>Q1 2024</v>
      </c>
    </row>
    <row r="608" spans="1:9" x14ac:dyDescent="0.25">
      <c r="A608" s="3" t="s">
        <v>46</v>
      </c>
      <c r="B608" s="3">
        <v>45351</v>
      </c>
      <c r="C608" s="6">
        <v>1412</v>
      </c>
      <c r="D608" s="2">
        <f>LEN(Table2[[#This Row],[CLID]])</f>
        <v>7</v>
      </c>
      <c r="E608" s="2" t="str">
        <f>_xlfn.XLOOKUP('Volume Data'!A:A,'Geo Data'!D:D,'Geo Data'!B:B)</f>
        <v>GEO1001</v>
      </c>
      <c r="F608" s="2" t="str">
        <f>INDEX(GeoByClient[GEOID],MATCH(Table2[[#This Row],[CLID]],GeoByClient[Right],0))</f>
        <v>GEO1001</v>
      </c>
      <c r="G608" s="2" t="str">
        <f>_xlfn.XLOOKUP(Table2[[#This Row],[Xlookup Region ID]],GEONames[GEOID],GEONames[GEO Name])</f>
        <v>NAM</v>
      </c>
      <c r="H608" s="2" t="str">
        <f>"Q"&amp;ROUNDUP(MONTH(Table2[[#This Row],[Date]])/3,0)&amp;" "&amp;YEAR(Table2[[#This Row],[Date]])</f>
        <v>Q1 2024</v>
      </c>
      <c r="I608" s="2" t="str">
        <f>VLOOKUP(Table2[[#This Row],[Date]],Table7[],3)</f>
        <v>Q1 2024</v>
      </c>
    </row>
    <row r="609" spans="1:9" x14ac:dyDescent="0.25">
      <c r="A609" s="3" t="s">
        <v>46</v>
      </c>
      <c r="B609" s="3">
        <v>45382</v>
      </c>
      <c r="C609" s="6">
        <v>1936</v>
      </c>
      <c r="D609" s="2">
        <f>LEN(Table2[[#This Row],[CLID]])</f>
        <v>7</v>
      </c>
      <c r="E609" s="2" t="str">
        <f>_xlfn.XLOOKUP('Volume Data'!A:A,'Geo Data'!D:D,'Geo Data'!B:B)</f>
        <v>GEO1001</v>
      </c>
      <c r="F609" s="2" t="str">
        <f>INDEX(GeoByClient[GEOID],MATCH(Table2[[#This Row],[CLID]],GeoByClient[Right],0))</f>
        <v>GEO1001</v>
      </c>
      <c r="G609" s="2" t="str">
        <f>_xlfn.XLOOKUP(Table2[[#This Row],[Xlookup Region ID]],GEONames[GEOID],GEONames[GEO Name])</f>
        <v>NAM</v>
      </c>
      <c r="H609" s="2" t="str">
        <f>"Q"&amp;ROUNDUP(MONTH(Table2[[#This Row],[Date]])/3,0)&amp;" "&amp;YEAR(Table2[[#This Row],[Date]])</f>
        <v>Q1 2024</v>
      </c>
      <c r="I609" s="2" t="str">
        <f>VLOOKUP(Table2[[#This Row],[Date]],Table7[],3)</f>
        <v>Q1 2024</v>
      </c>
    </row>
    <row r="610" spans="1:9" x14ac:dyDescent="0.25">
      <c r="A610" s="3" t="s">
        <v>46</v>
      </c>
      <c r="B610" s="3">
        <v>45412</v>
      </c>
      <c r="C610" s="6">
        <v>1939</v>
      </c>
      <c r="D610" s="2">
        <f>LEN(Table2[[#This Row],[CLID]])</f>
        <v>7</v>
      </c>
      <c r="E610" s="2" t="str">
        <f>_xlfn.XLOOKUP('Volume Data'!A:A,'Geo Data'!D:D,'Geo Data'!B:B)</f>
        <v>GEO1001</v>
      </c>
      <c r="F610" s="2" t="str">
        <f>INDEX(GeoByClient[GEOID],MATCH(Table2[[#This Row],[CLID]],GeoByClient[Right],0))</f>
        <v>GEO1001</v>
      </c>
      <c r="G610" s="2" t="str">
        <f>_xlfn.XLOOKUP(Table2[[#This Row],[Xlookup Region ID]],GEONames[GEOID],GEONames[GEO Name])</f>
        <v>NAM</v>
      </c>
      <c r="H610" s="2" t="str">
        <f>"Q"&amp;ROUNDUP(MONTH(Table2[[#This Row],[Date]])/3,0)&amp;" "&amp;YEAR(Table2[[#This Row],[Date]])</f>
        <v>Q2 2024</v>
      </c>
      <c r="I610" s="2" t="str">
        <f>VLOOKUP(Table2[[#This Row],[Date]],Table7[],3)</f>
        <v>Q2 2024</v>
      </c>
    </row>
    <row r="611" spans="1:9" x14ac:dyDescent="0.25">
      <c r="A611" s="3" t="s">
        <v>46</v>
      </c>
      <c r="B611" s="3">
        <v>45443</v>
      </c>
      <c r="C611" s="6">
        <v>2112</v>
      </c>
      <c r="D611" s="2">
        <f>LEN(Table2[[#This Row],[CLID]])</f>
        <v>7</v>
      </c>
      <c r="E611" s="2" t="str">
        <f>_xlfn.XLOOKUP('Volume Data'!A:A,'Geo Data'!D:D,'Geo Data'!B:B)</f>
        <v>GEO1001</v>
      </c>
      <c r="F611" s="2" t="str">
        <f>INDEX(GeoByClient[GEOID],MATCH(Table2[[#This Row],[CLID]],GeoByClient[Right],0))</f>
        <v>GEO1001</v>
      </c>
      <c r="G611" s="2" t="str">
        <f>_xlfn.XLOOKUP(Table2[[#This Row],[Xlookup Region ID]],GEONames[GEOID],GEONames[GEO Name])</f>
        <v>NAM</v>
      </c>
      <c r="H611" s="2" t="str">
        <f>"Q"&amp;ROUNDUP(MONTH(Table2[[#This Row],[Date]])/3,0)&amp;" "&amp;YEAR(Table2[[#This Row],[Date]])</f>
        <v>Q2 2024</v>
      </c>
      <c r="I611" s="2" t="str">
        <f>VLOOKUP(Table2[[#This Row],[Date]],Table7[],3)</f>
        <v>Q2 2024</v>
      </c>
    </row>
    <row r="612" spans="1:9" x14ac:dyDescent="0.25">
      <c r="A612" s="3" t="s">
        <v>46</v>
      </c>
      <c r="B612" s="3">
        <v>45473</v>
      </c>
      <c r="C612" s="6">
        <v>1230</v>
      </c>
      <c r="D612" s="2">
        <f>LEN(Table2[[#This Row],[CLID]])</f>
        <v>7</v>
      </c>
      <c r="E612" s="2" t="str">
        <f>_xlfn.XLOOKUP('Volume Data'!A:A,'Geo Data'!D:D,'Geo Data'!B:B)</f>
        <v>GEO1001</v>
      </c>
      <c r="F612" s="2" t="str">
        <f>INDEX(GeoByClient[GEOID],MATCH(Table2[[#This Row],[CLID]],GeoByClient[Right],0))</f>
        <v>GEO1001</v>
      </c>
      <c r="G612" s="2" t="str">
        <f>_xlfn.XLOOKUP(Table2[[#This Row],[Xlookup Region ID]],GEONames[GEOID],GEONames[GEO Name])</f>
        <v>NAM</v>
      </c>
      <c r="H612" s="2" t="str">
        <f>"Q"&amp;ROUNDUP(MONTH(Table2[[#This Row],[Date]])/3,0)&amp;" "&amp;YEAR(Table2[[#This Row],[Date]])</f>
        <v>Q2 2024</v>
      </c>
      <c r="I612" s="2" t="str">
        <f>VLOOKUP(Table2[[#This Row],[Date]],Table7[],3)</f>
        <v>Q2 2024</v>
      </c>
    </row>
    <row r="613" spans="1:9" x14ac:dyDescent="0.25">
      <c r="A613" s="3" t="s">
        <v>46</v>
      </c>
      <c r="B613" s="3">
        <v>45504</v>
      </c>
      <c r="C613" s="6">
        <v>1407</v>
      </c>
      <c r="D613" s="2">
        <f>LEN(Table2[[#This Row],[CLID]])</f>
        <v>7</v>
      </c>
      <c r="E613" s="2" t="str">
        <f>_xlfn.XLOOKUP('Volume Data'!A:A,'Geo Data'!D:D,'Geo Data'!B:B)</f>
        <v>GEO1001</v>
      </c>
      <c r="F613" s="2" t="str">
        <f>INDEX(GeoByClient[GEOID],MATCH(Table2[[#This Row],[CLID]],GeoByClient[Right],0))</f>
        <v>GEO1001</v>
      </c>
      <c r="G613" s="2" t="str">
        <f>_xlfn.XLOOKUP(Table2[[#This Row],[Xlookup Region ID]],GEONames[GEOID],GEONames[GEO Name])</f>
        <v>NAM</v>
      </c>
      <c r="H613" s="2" t="str">
        <f>"Q"&amp;ROUNDUP(MONTH(Table2[[#This Row],[Date]])/3,0)&amp;" "&amp;YEAR(Table2[[#This Row],[Date]])</f>
        <v>Q3 2024</v>
      </c>
      <c r="I613" s="2" t="str">
        <f>VLOOKUP(Table2[[#This Row],[Date]],Table7[],3)</f>
        <v>Q3 2024</v>
      </c>
    </row>
    <row r="614" spans="1:9" x14ac:dyDescent="0.25">
      <c r="A614" s="3" t="s">
        <v>46</v>
      </c>
      <c r="B614" s="3">
        <v>45535</v>
      </c>
      <c r="C614" s="6">
        <v>880</v>
      </c>
      <c r="D614" s="2">
        <f>LEN(Table2[[#This Row],[CLID]])</f>
        <v>7</v>
      </c>
      <c r="E614" s="2" t="str">
        <f>_xlfn.XLOOKUP('Volume Data'!A:A,'Geo Data'!D:D,'Geo Data'!B:B)</f>
        <v>GEO1001</v>
      </c>
      <c r="F614" s="2" t="str">
        <f>INDEX(GeoByClient[GEOID],MATCH(Table2[[#This Row],[CLID]],GeoByClient[Right],0))</f>
        <v>GEO1001</v>
      </c>
      <c r="G614" s="2" t="str">
        <f>_xlfn.XLOOKUP(Table2[[#This Row],[Xlookup Region ID]],GEONames[GEOID],GEONames[GEO Name])</f>
        <v>NAM</v>
      </c>
      <c r="H614" s="2" t="str">
        <f>"Q"&amp;ROUNDUP(MONTH(Table2[[#This Row],[Date]])/3,0)&amp;" "&amp;YEAR(Table2[[#This Row],[Date]])</f>
        <v>Q3 2024</v>
      </c>
      <c r="I614" s="2" t="str">
        <f>VLOOKUP(Table2[[#This Row],[Date]],Table7[],3)</f>
        <v>Q3 2024</v>
      </c>
    </row>
    <row r="615" spans="1:9" x14ac:dyDescent="0.25">
      <c r="A615" s="3" t="s">
        <v>46</v>
      </c>
      <c r="B615" s="3">
        <v>45565</v>
      </c>
      <c r="C615" s="6">
        <v>1233</v>
      </c>
      <c r="D615" s="2">
        <f>LEN(Table2[[#This Row],[CLID]])</f>
        <v>7</v>
      </c>
      <c r="E615" s="2" t="str">
        <f>_xlfn.XLOOKUP('Volume Data'!A:A,'Geo Data'!D:D,'Geo Data'!B:B)</f>
        <v>GEO1001</v>
      </c>
      <c r="F615" s="2" t="str">
        <f>INDEX(GeoByClient[GEOID],MATCH(Table2[[#This Row],[CLID]],GeoByClient[Right],0))</f>
        <v>GEO1001</v>
      </c>
      <c r="G615" s="2" t="str">
        <f>_xlfn.XLOOKUP(Table2[[#This Row],[Xlookup Region ID]],GEONames[GEOID],GEONames[GEO Name])</f>
        <v>NAM</v>
      </c>
      <c r="H615" s="2" t="str">
        <f>"Q"&amp;ROUNDUP(MONTH(Table2[[#This Row],[Date]])/3,0)&amp;" "&amp;YEAR(Table2[[#This Row],[Date]])</f>
        <v>Q3 2024</v>
      </c>
      <c r="I615" s="2" t="str">
        <f>VLOOKUP(Table2[[#This Row],[Date]],Table7[],3)</f>
        <v>Q3 2024</v>
      </c>
    </row>
    <row r="616" spans="1:9" x14ac:dyDescent="0.25">
      <c r="A616" s="3" t="s">
        <v>46</v>
      </c>
      <c r="B616" s="3">
        <v>45596</v>
      </c>
      <c r="C616" s="6">
        <v>1059</v>
      </c>
      <c r="D616" s="2">
        <f>LEN(Table2[[#This Row],[CLID]])</f>
        <v>7</v>
      </c>
      <c r="E616" s="2" t="str">
        <f>_xlfn.XLOOKUP('Volume Data'!A:A,'Geo Data'!D:D,'Geo Data'!B:B)</f>
        <v>GEO1001</v>
      </c>
      <c r="F616" s="2" t="str">
        <f>INDEX(GeoByClient[GEOID],MATCH(Table2[[#This Row],[CLID]],GeoByClient[Right],0))</f>
        <v>GEO1001</v>
      </c>
      <c r="G616" s="2" t="str">
        <f>_xlfn.XLOOKUP(Table2[[#This Row],[Xlookup Region ID]],GEONames[GEOID],GEONames[GEO Name])</f>
        <v>NAM</v>
      </c>
      <c r="H616" s="2" t="str">
        <f>"Q"&amp;ROUNDUP(MONTH(Table2[[#This Row],[Date]])/3,0)&amp;" "&amp;YEAR(Table2[[#This Row],[Date]])</f>
        <v>Q4 2024</v>
      </c>
      <c r="I616" s="2" t="str">
        <f>VLOOKUP(Table2[[#This Row],[Date]],Table7[],3)</f>
        <v>Q4 2024</v>
      </c>
    </row>
    <row r="617" spans="1:9" x14ac:dyDescent="0.25">
      <c r="A617" s="3" t="s">
        <v>46</v>
      </c>
      <c r="B617" s="3">
        <v>45626</v>
      </c>
      <c r="C617" s="6">
        <v>1586</v>
      </c>
      <c r="D617" s="2">
        <f>LEN(Table2[[#This Row],[CLID]])</f>
        <v>7</v>
      </c>
      <c r="E617" s="2" t="str">
        <f>_xlfn.XLOOKUP('Volume Data'!A:A,'Geo Data'!D:D,'Geo Data'!B:B)</f>
        <v>GEO1001</v>
      </c>
      <c r="F617" s="2" t="str">
        <f>INDEX(GeoByClient[GEOID],MATCH(Table2[[#This Row],[CLID]],GeoByClient[Right],0))</f>
        <v>GEO1001</v>
      </c>
      <c r="G617" s="2" t="str">
        <f>_xlfn.XLOOKUP(Table2[[#This Row],[Xlookup Region ID]],GEONames[GEOID],GEONames[GEO Name])</f>
        <v>NAM</v>
      </c>
      <c r="H617" s="2" t="str">
        <f>"Q"&amp;ROUNDUP(MONTH(Table2[[#This Row],[Date]])/3,0)&amp;" "&amp;YEAR(Table2[[#This Row],[Date]])</f>
        <v>Q4 2024</v>
      </c>
      <c r="I617" s="2" t="str">
        <f>VLOOKUP(Table2[[#This Row],[Date]],Table7[],3)</f>
        <v>Q4 2024</v>
      </c>
    </row>
    <row r="618" spans="1:9" x14ac:dyDescent="0.25">
      <c r="A618" s="3" t="s">
        <v>46</v>
      </c>
      <c r="B618" s="3">
        <v>45657</v>
      </c>
      <c r="C618" s="6">
        <v>1230</v>
      </c>
      <c r="D618" s="2">
        <f>LEN(Table2[[#This Row],[CLID]])</f>
        <v>7</v>
      </c>
      <c r="E618" s="2" t="str">
        <f>_xlfn.XLOOKUP('Volume Data'!A:A,'Geo Data'!D:D,'Geo Data'!B:B)</f>
        <v>GEO1001</v>
      </c>
      <c r="F618" s="2" t="str">
        <f>INDEX(GeoByClient[GEOID],MATCH(Table2[[#This Row],[CLID]],GeoByClient[Right],0))</f>
        <v>GEO1001</v>
      </c>
      <c r="G618" s="2" t="str">
        <f>_xlfn.XLOOKUP(Table2[[#This Row],[Xlookup Region ID]],GEONames[GEOID],GEONames[GEO Name])</f>
        <v>NAM</v>
      </c>
      <c r="H618" s="2" t="str">
        <f>"Q"&amp;ROUNDUP(MONTH(Table2[[#This Row],[Date]])/3,0)&amp;" "&amp;YEAR(Table2[[#This Row],[Date]])</f>
        <v>Q4 2024</v>
      </c>
      <c r="I618" s="2" t="str">
        <f>VLOOKUP(Table2[[#This Row],[Date]],Table7[],3)</f>
        <v>Q4 2024</v>
      </c>
    </row>
    <row r="619" spans="1:9" x14ac:dyDescent="0.25">
      <c r="A619" s="3" t="s">
        <v>46</v>
      </c>
      <c r="B619" s="3">
        <v>45838</v>
      </c>
      <c r="C619" s="6">
        <v>1291</v>
      </c>
      <c r="D619" s="2">
        <f>LEN(Table2[[#This Row],[CLID]])</f>
        <v>7</v>
      </c>
      <c r="E619" s="2" t="str">
        <f>_xlfn.XLOOKUP('Volume Data'!A:A,'Geo Data'!D:D,'Geo Data'!B:B)</f>
        <v>GEO1001</v>
      </c>
      <c r="F619" s="2" t="str">
        <f>INDEX(GeoByClient[GEOID],MATCH(Table2[[#This Row],[CLID]],GeoByClient[Right],0))</f>
        <v>GEO1001</v>
      </c>
      <c r="G619" s="2" t="str">
        <f>_xlfn.XLOOKUP(Table2[[#This Row],[Xlookup Region ID]],GEONames[GEOID],GEONames[GEO Name])</f>
        <v>NAM</v>
      </c>
      <c r="H619" s="2" t="str">
        <f>"Q"&amp;ROUNDUP(MONTH(Table2[[#This Row],[Date]])/3,0)&amp;" "&amp;YEAR(Table2[[#This Row],[Date]])</f>
        <v>Q2 2025</v>
      </c>
      <c r="I619" s="2" t="str">
        <f>VLOOKUP(Table2[[#This Row],[Date]],Table7[],3)</f>
        <v>Q2 2025</v>
      </c>
    </row>
    <row r="620" spans="1:9" x14ac:dyDescent="0.25">
      <c r="A620" s="3" t="s">
        <v>46</v>
      </c>
      <c r="B620" s="3">
        <v>45808</v>
      </c>
      <c r="C620" s="6">
        <v>2150</v>
      </c>
      <c r="D620" s="2">
        <f>LEN(Table2[[#This Row],[CLID]])</f>
        <v>7</v>
      </c>
      <c r="E620" s="2" t="str">
        <f>_xlfn.XLOOKUP('Volume Data'!A:A,'Geo Data'!D:D,'Geo Data'!B:B)</f>
        <v>GEO1001</v>
      </c>
      <c r="F620" s="2" t="str">
        <f>INDEX(GeoByClient[GEOID],MATCH(Table2[[#This Row],[CLID]],GeoByClient[Right],0))</f>
        <v>GEO1001</v>
      </c>
      <c r="G620" s="2" t="str">
        <f>_xlfn.XLOOKUP(Table2[[#This Row],[Xlookup Region ID]],GEONames[GEOID],GEONames[GEO Name])</f>
        <v>NAM</v>
      </c>
      <c r="H620" s="2" t="str">
        <f>"Q"&amp;ROUNDUP(MONTH(Table2[[#This Row],[Date]])/3,0)&amp;" "&amp;YEAR(Table2[[#This Row],[Date]])</f>
        <v>Q2 2025</v>
      </c>
      <c r="I620" s="2" t="str">
        <f>VLOOKUP(Table2[[#This Row],[Date]],Table7[],3)</f>
        <v>Q2 2025</v>
      </c>
    </row>
    <row r="621" spans="1:9" x14ac:dyDescent="0.25">
      <c r="A621" s="3" t="s">
        <v>46</v>
      </c>
      <c r="B621" s="3">
        <v>45777</v>
      </c>
      <c r="C621" s="6">
        <v>1991</v>
      </c>
      <c r="D621" s="2">
        <f>LEN(Table2[[#This Row],[CLID]])</f>
        <v>7</v>
      </c>
      <c r="E621" s="2" t="str">
        <f>_xlfn.XLOOKUP('Volume Data'!A:A,'Geo Data'!D:D,'Geo Data'!B:B)</f>
        <v>GEO1001</v>
      </c>
      <c r="F621" s="2" t="str">
        <f>INDEX(GeoByClient[GEOID],MATCH(Table2[[#This Row],[CLID]],GeoByClient[Right],0))</f>
        <v>GEO1001</v>
      </c>
      <c r="G621" s="2" t="str">
        <f>_xlfn.XLOOKUP(Table2[[#This Row],[Xlookup Region ID]],GEONames[GEOID],GEONames[GEO Name])</f>
        <v>NAM</v>
      </c>
      <c r="H621" s="2" t="str">
        <f>"Q"&amp;ROUNDUP(MONTH(Table2[[#This Row],[Date]])/3,0)&amp;" "&amp;YEAR(Table2[[#This Row],[Date]])</f>
        <v>Q2 2025</v>
      </c>
      <c r="I621" s="2" t="str">
        <f>VLOOKUP(Table2[[#This Row],[Date]],Table7[],3)</f>
        <v>Q2 2025</v>
      </c>
    </row>
    <row r="622" spans="1:9" x14ac:dyDescent="0.25">
      <c r="A622" s="3" t="s">
        <v>46</v>
      </c>
      <c r="B622" s="3">
        <v>45747</v>
      </c>
      <c r="C622" s="6">
        <v>2032</v>
      </c>
      <c r="D622" s="2">
        <f>LEN(Table2[[#This Row],[CLID]])</f>
        <v>7</v>
      </c>
      <c r="E622" s="2" t="str">
        <f>_xlfn.XLOOKUP('Volume Data'!A:A,'Geo Data'!D:D,'Geo Data'!B:B)</f>
        <v>GEO1001</v>
      </c>
      <c r="F622" s="2" t="str">
        <f>INDEX(GeoByClient[GEOID],MATCH(Table2[[#This Row],[CLID]],GeoByClient[Right],0))</f>
        <v>GEO1001</v>
      </c>
      <c r="G622" s="2" t="str">
        <f>_xlfn.XLOOKUP(Table2[[#This Row],[Xlookup Region ID]],GEONames[GEOID],GEONames[GEO Name])</f>
        <v>NAM</v>
      </c>
      <c r="H622" s="2" t="str">
        <f>"Q"&amp;ROUNDUP(MONTH(Table2[[#This Row],[Date]])/3,0)&amp;" "&amp;YEAR(Table2[[#This Row],[Date]])</f>
        <v>Q1 2025</v>
      </c>
      <c r="I622" s="2" t="str">
        <f>VLOOKUP(Table2[[#This Row],[Date]],Table7[],3)</f>
        <v>Q4 2024</v>
      </c>
    </row>
    <row r="623" spans="1:9" x14ac:dyDescent="0.25">
      <c r="A623" s="3" t="s">
        <v>46</v>
      </c>
      <c r="B623" s="3">
        <v>45716</v>
      </c>
      <c r="C623" s="6">
        <v>1438</v>
      </c>
      <c r="D623" s="2">
        <f>LEN(Table2[[#This Row],[CLID]])</f>
        <v>7</v>
      </c>
      <c r="E623" s="2" t="str">
        <f>_xlfn.XLOOKUP('Volume Data'!A:A,'Geo Data'!D:D,'Geo Data'!B:B)</f>
        <v>GEO1001</v>
      </c>
      <c r="F623" s="2" t="str">
        <f>INDEX(GeoByClient[GEOID],MATCH(Table2[[#This Row],[CLID]],GeoByClient[Right],0))</f>
        <v>GEO1001</v>
      </c>
      <c r="G623" s="2" t="str">
        <f>_xlfn.XLOOKUP(Table2[[#This Row],[Xlookup Region ID]],GEONames[GEOID],GEONames[GEO Name])</f>
        <v>NAM</v>
      </c>
      <c r="H623" s="2" t="str">
        <f>"Q"&amp;ROUNDUP(MONTH(Table2[[#This Row],[Date]])/3,0)&amp;" "&amp;YEAR(Table2[[#This Row],[Date]])</f>
        <v>Q1 2025</v>
      </c>
      <c r="I623" s="2" t="str">
        <f>VLOOKUP(Table2[[#This Row],[Date]],Table7[],3)</f>
        <v>Q4 2024</v>
      </c>
    </row>
    <row r="624" spans="1:9" x14ac:dyDescent="0.25">
      <c r="A624" s="3" t="s">
        <v>46</v>
      </c>
      <c r="B624" s="3">
        <v>45688</v>
      </c>
      <c r="C624" s="6">
        <v>1569</v>
      </c>
      <c r="D624" s="2">
        <f>LEN(Table2[[#This Row],[CLID]])</f>
        <v>7</v>
      </c>
      <c r="E624" s="2" t="str">
        <f>_xlfn.XLOOKUP('Volume Data'!A:A,'Geo Data'!D:D,'Geo Data'!B:B)</f>
        <v>GEO1001</v>
      </c>
      <c r="F624" s="2" t="str">
        <f>INDEX(GeoByClient[GEOID],MATCH(Table2[[#This Row],[CLID]],GeoByClient[Right],0))</f>
        <v>GEO1001</v>
      </c>
      <c r="G624" s="2" t="str">
        <f>_xlfn.XLOOKUP(Table2[[#This Row],[Xlookup Region ID]],GEONames[GEOID],GEONames[GEO Name])</f>
        <v>NAM</v>
      </c>
      <c r="H624" s="2" t="str">
        <f>"Q"&amp;ROUNDUP(MONTH(Table2[[#This Row],[Date]])/3,0)&amp;" "&amp;YEAR(Table2[[#This Row],[Date]])</f>
        <v>Q1 2025</v>
      </c>
      <c r="I624" s="2" t="str">
        <f>VLOOKUP(Table2[[#This Row],[Date]],Table7[],3)</f>
        <v>Q4 2024</v>
      </c>
    </row>
    <row r="625" spans="1:9" x14ac:dyDescent="0.25">
      <c r="A625" s="3" t="s">
        <v>40</v>
      </c>
      <c r="B625" s="3">
        <v>45322</v>
      </c>
      <c r="C625" s="6">
        <v>1211</v>
      </c>
      <c r="D625" s="2">
        <f>LEN(Table2[[#This Row],[CLID]])</f>
        <v>7</v>
      </c>
      <c r="E625" s="2" t="str">
        <f>_xlfn.XLOOKUP('Volume Data'!A:A,'Geo Data'!D:D,'Geo Data'!B:B)</f>
        <v>GEO1004</v>
      </c>
      <c r="F625" s="2" t="str">
        <f>INDEX(GeoByClient[GEOID],MATCH(Table2[[#This Row],[CLID]],GeoByClient[Right],0))</f>
        <v>GEO1004</v>
      </c>
      <c r="G625" s="2" t="str">
        <f>_xlfn.XLOOKUP(Table2[[#This Row],[Xlookup Region ID]],GEONames[GEOID],GEONames[GEO Name])</f>
        <v>LATAM</v>
      </c>
      <c r="H625" s="2" t="str">
        <f>"Q"&amp;ROUNDUP(MONTH(Table2[[#This Row],[Date]])/3,0)&amp;" "&amp;YEAR(Table2[[#This Row],[Date]])</f>
        <v>Q1 2024</v>
      </c>
      <c r="I625" s="2" t="str">
        <f>VLOOKUP(Table2[[#This Row],[Date]],Table7[],3)</f>
        <v>Q1 2024</v>
      </c>
    </row>
    <row r="626" spans="1:9" x14ac:dyDescent="0.25">
      <c r="A626" s="3" t="s">
        <v>40</v>
      </c>
      <c r="B626" s="3">
        <v>45351</v>
      </c>
      <c r="C626" s="6">
        <v>1358</v>
      </c>
      <c r="D626" s="2">
        <f>LEN(Table2[[#This Row],[CLID]])</f>
        <v>7</v>
      </c>
      <c r="E626" s="2" t="str">
        <f>_xlfn.XLOOKUP('Volume Data'!A:A,'Geo Data'!D:D,'Geo Data'!B:B)</f>
        <v>GEO1004</v>
      </c>
      <c r="F626" s="2" t="str">
        <f>INDEX(GeoByClient[GEOID],MATCH(Table2[[#This Row],[CLID]],GeoByClient[Right],0))</f>
        <v>GEO1004</v>
      </c>
      <c r="G626" s="2" t="str">
        <f>_xlfn.XLOOKUP(Table2[[#This Row],[Xlookup Region ID]],GEONames[GEOID],GEONames[GEO Name])</f>
        <v>LATAM</v>
      </c>
      <c r="H626" s="2" t="str">
        <f>"Q"&amp;ROUNDUP(MONTH(Table2[[#This Row],[Date]])/3,0)&amp;" "&amp;YEAR(Table2[[#This Row],[Date]])</f>
        <v>Q1 2024</v>
      </c>
      <c r="I626" s="2" t="str">
        <f>VLOOKUP(Table2[[#This Row],[Date]],Table7[],3)</f>
        <v>Q1 2024</v>
      </c>
    </row>
    <row r="627" spans="1:9" x14ac:dyDescent="0.25">
      <c r="A627" s="3" t="s">
        <v>40</v>
      </c>
      <c r="B627" s="3">
        <v>45382</v>
      </c>
      <c r="C627" s="6">
        <v>1507</v>
      </c>
      <c r="D627" s="2">
        <f>LEN(Table2[[#This Row],[CLID]])</f>
        <v>7</v>
      </c>
      <c r="E627" s="2" t="str">
        <f>_xlfn.XLOOKUP('Volume Data'!A:A,'Geo Data'!D:D,'Geo Data'!B:B)</f>
        <v>GEO1004</v>
      </c>
      <c r="F627" s="2" t="str">
        <f>INDEX(GeoByClient[GEOID],MATCH(Table2[[#This Row],[CLID]],GeoByClient[Right],0))</f>
        <v>GEO1004</v>
      </c>
      <c r="G627" s="2" t="str">
        <f>_xlfn.XLOOKUP(Table2[[#This Row],[Xlookup Region ID]],GEONames[GEOID],GEONames[GEO Name])</f>
        <v>LATAM</v>
      </c>
      <c r="H627" s="2" t="str">
        <f>"Q"&amp;ROUNDUP(MONTH(Table2[[#This Row],[Date]])/3,0)&amp;" "&amp;YEAR(Table2[[#This Row],[Date]])</f>
        <v>Q1 2024</v>
      </c>
      <c r="I627" s="2" t="str">
        <f>VLOOKUP(Table2[[#This Row],[Date]],Table7[],3)</f>
        <v>Q1 2024</v>
      </c>
    </row>
    <row r="628" spans="1:9" x14ac:dyDescent="0.25">
      <c r="A628" s="3" t="s">
        <v>40</v>
      </c>
      <c r="B628" s="3">
        <v>45412</v>
      </c>
      <c r="C628" s="6">
        <v>1812</v>
      </c>
      <c r="D628" s="2">
        <f>LEN(Table2[[#This Row],[CLID]])</f>
        <v>7</v>
      </c>
      <c r="E628" s="2" t="str">
        <f>_xlfn.XLOOKUP('Volume Data'!A:A,'Geo Data'!D:D,'Geo Data'!B:B)</f>
        <v>GEO1004</v>
      </c>
      <c r="F628" s="2" t="str">
        <f>INDEX(GeoByClient[GEOID],MATCH(Table2[[#This Row],[CLID]],GeoByClient[Right],0))</f>
        <v>GEO1004</v>
      </c>
      <c r="G628" s="2" t="str">
        <f>_xlfn.XLOOKUP(Table2[[#This Row],[Xlookup Region ID]],GEONames[GEOID],GEONames[GEO Name])</f>
        <v>LATAM</v>
      </c>
      <c r="H628" s="2" t="str">
        <f>"Q"&amp;ROUNDUP(MONTH(Table2[[#This Row],[Date]])/3,0)&amp;" "&amp;YEAR(Table2[[#This Row],[Date]])</f>
        <v>Q2 2024</v>
      </c>
      <c r="I628" s="2" t="str">
        <f>VLOOKUP(Table2[[#This Row],[Date]],Table7[],3)</f>
        <v>Q2 2024</v>
      </c>
    </row>
    <row r="629" spans="1:9" x14ac:dyDescent="0.25">
      <c r="A629" s="3" t="s">
        <v>40</v>
      </c>
      <c r="B629" s="3">
        <v>45443</v>
      </c>
      <c r="C629" s="6">
        <v>1663</v>
      </c>
      <c r="D629" s="2">
        <f>LEN(Table2[[#This Row],[CLID]])</f>
        <v>7</v>
      </c>
      <c r="E629" s="2" t="str">
        <f>_xlfn.XLOOKUP('Volume Data'!A:A,'Geo Data'!D:D,'Geo Data'!B:B)</f>
        <v>GEO1004</v>
      </c>
      <c r="F629" s="2" t="str">
        <f>INDEX(GeoByClient[GEOID],MATCH(Table2[[#This Row],[CLID]],GeoByClient[Right],0))</f>
        <v>GEO1004</v>
      </c>
      <c r="G629" s="2" t="str">
        <f>_xlfn.XLOOKUP(Table2[[#This Row],[Xlookup Region ID]],GEONames[GEOID],GEONames[GEO Name])</f>
        <v>LATAM</v>
      </c>
      <c r="H629" s="2" t="str">
        <f>"Q"&amp;ROUNDUP(MONTH(Table2[[#This Row],[Date]])/3,0)&amp;" "&amp;YEAR(Table2[[#This Row],[Date]])</f>
        <v>Q2 2024</v>
      </c>
      <c r="I629" s="2" t="str">
        <f>VLOOKUP(Table2[[#This Row],[Date]],Table7[],3)</f>
        <v>Q2 2024</v>
      </c>
    </row>
    <row r="630" spans="1:9" x14ac:dyDescent="0.25">
      <c r="A630" s="3" t="s">
        <v>40</v>
      </c>
      <c r="B630" s="3">
        <v>45473</v>
      </c>
      <c r="C630" s="6">
        <v>1205</v>
      </c>
      <c r="D630" s="2">
        <f>LEN(Table2[[#This Row],[CLID]])</f>
        <v>7</v>
      </c>
      <c r="E630" s="2" t="str">
        <f>_xlfn.XLOOKUP('Volume Data'!A:A,'Geo Data'!D:D,'Geo Data'!B:B)</f>
        <v>GEO1004</v>
      </c>
      <c r="F630" s="2" t="str">
        <f>INDEX(GeoByClient[GEOID],MATCH(Table2[[#This Row],[CLID]],GeoByClient[Right],0))</f>
        <v>GEO1004</v>
      </c>
      <c r="G630" s="2" t="str">
        <f>_xlfn.XLOOKUP(Table2[[#This Row],[Xlookup Region ID]],GEONames[GEOID],GEONames[GEO Name])</f>
        <v>LATAM</v>
      </c>
      <c r="H630" s="2" t="str">
        <f>"Q"&amp;ROUNDUP(MONTH(Table2[[#This Row],[Date]])/3,0)&amp;" "&amp;YEAR(Table2[[#This Row],[Date]])</f>
        <v>Q2 2024</v>
      </c>
      <c r="I630" s="2" t="str">
        <f>VLOOKUP(Table2[[#This Row],[Date]],Table7[],3)</f>
        <v>Q2 2024</v>
      </c>
    </row>
    <row r="631" spans="1:9" x14ac:dyDescent="0.25">
      <c r="A631" s="3" t="s">
        <v>40</v>
      </c>
      <c r="B631" s="3">
        <v>45504</v>
      </c>
      <c r="C631" s="6">
        <v>1059</v>
      </c>
      <c r="D631" s="2">
        <f>LEN(Table2[[#This Row],[CLID]])</f>
        <v>7</v>
      </c>
      <c r="E631" s="2" t="str">
        <f>_xlfn.XLOOKUP('Volume Data'!A:A,'Geo Data'!D:D,'Geo Data'!B:B)</f>
        <v>GEO1004</v>
      </c>
      <c r="F631" s="2" t="str">
        <f>INDEX(GeoByClient[GEOID],MATCH(Table2[[#This Row],[CLID]],GeoByClient[Right],0))</f>
        <v>GEO1004</v>
      </c>
      <c r="G631" s="2" t="str">
        <f>_xlfn.XLOOKUP(Table2[[#This Row],[Xlookup Region ID]],GEONames[GEOID],GEONames[GEO Name])</f>
        <v>LATAM</v>
      </c>
      <c r="H631" s="2" t="str">
        <f>"Q"&amp;ROUNDUP(MONTH(Table2[[#This Row],[Date]])/3,0)&amp;" "&amp;YEAR(Table2[[#This Row],[Date]])</f>
        <v>Q3 2024</v>
      </c>
      <c r="I631" s="2" t="str">
        <f>VLOOKUP(Table2[[#This Row],[Date]],Table7[],3)</f>
        <v>Q3 2024</v>
      </c>
    </row>
    <row r="632" spans="1:9" x14ac:dyDescent="0.25">
      <c r="A632" s="3" t="s">
        <v>40</v>
      </c>
      <c r="B632" s="3">
        <v>45535</v>
      </c>
      <c r="C632" s="6">
        <v>910</v>
      </c>
      <c r="D632" s="2">
        <f>LEN(Table2[[#This Row],[CLID]])</f>
        <v>7</v>
      </c>
      <c r="E632" s="2" t="str">
        <f>_xlfn.XLOOKUP('Volume Data'!A:A,'Geo Data'!D:D,'Geo Data'!B:B)</f>
        <v>GEO1004</v>
      </c>
      <c r="F632" s="2" t="str">
        <f>INDEX(GeoByClient[GEOID],MATCH(Table2[[#This Row],[CLID]],GeoByClient[Right],0))</f>
        <v>GEO1004</v>
      </c>
      <c r="G632" s="2" t="str">
        <f>_xlfn.XLOOKUP(Table2[[#This Row],[Xlookup Region ID]],GEONames[GEOID],GEONames[GEO Name])</f>
        <v>LATAM</v>
      </c>
      <c r="H632" s="2" t="str">
        <f>"Q"&amp;ROUNDUP(MONTH(Table2[[#This Row],[Date]])/3,0)&amp;" "&amp;YEAR(Table2[[#This Row],[Date]])</f>
        <v>Q3 2024</v>
      </c>
      <c r="I632" s="2" t="str">
        <f>VLOOKUP(Table2[[#This Row],[Date]],Table7[],3)</f>
        <v>Q3 2024</v>
      </c>
    </row>
    <row r="633" spans="1:9" x14ac:dyDescent="0.25">
      <c r="A633" s="3" t="s">
        <v>40</v>
      </c>
      <c r="B633" s="3">
        <v>45565</v>
      </c>
      <c r="C633" s="6">
        <v>910</v>
      </c>
      <c r="D633" s="2">
        <f>LEN(Table2[[#This Row],[CLID]])</f>
        <v>7</v>
      </c>
      <c r="E633" s="2" t="str">
        <f>_xlfn.XLOOKUP('Volume Data'!A:A,'Geo Data'!D:D,'Geo Data'!B:B)</f>
        <v>GEO1004</v>
      </c>
      <c r="F633" s="2" t="str">
        <f>INDEX(GeoByClient[GEOID],MATCH(Table2[[#This Row],[CLID]],GeoByClient[Right],0))</f>
        <v>GEO1004</v>
      </c>
      <c r="G633" s="2" t="str">
        <f>_xlfn.XLOOKUP(Table2[[#This Row],[Xlookup Region ID]],GEONames[GEOID],GEONames[GEO Name])</f>
        <v>LATAM</v>
      </c>
      <c r="H633" s="2" t="str">
        <f>"Q"&amp;ROUNDUP(MONTH(Table2[[#This Row],[Date]])/3,0)&amp;" "&amp;YEAR(Table2[[#This Row],[Date]])</f>
        <v>Q3 2024</v>
      </c>
      <c r="I633" s="2" t="str">
        <f>VLOOKUP(Table2[[#This Row],[Date]],Table7[],3)</f>
        <v>Q3 2024</v>
      </c>
    </row>
    <row r="634" spans="1:9" x14ac:dyDescent="0.25">
      <c r="A634" s="3" t="s">
        <v>40</v>
      </c>
      <c r="B634" s="3">
        <v>45596</v>
      </c>
      <c r="C634" s="6">
        <v>1060</v>
      </c>
      <c r="D634" s="2">
        <f>LEN(Table2[[#This Row],[CLID]])</f>
        <v>7</v>
      </c>
      <c r="E634" s="2" t="str">
        <f>_xlfn.XLOOKUP('Volume Data'!A:A,'Geo Data'!D:D,'Geo Data'!B:B)</f>
        <v>GEO1004</v>
      </c>
      <c r="F634" s="2" t="str">
        <f>INDEX(GeoByClient[GEOID],MATCH(Table2[[#This Row],[CLID]],GeoByClient[Right],0))</f>
        <v>GEO1004</v>
      </c>
      <c r="G634" s="2" t="str">
        <f>_xlfn.XLOOKUP(Table2[[#This Row],[Xlookup Region ID]],GEONames[GEOID],GEONames[GEO Name])</f>
        <v>LATAM</v>
      </c>
      <c r="H634" s="2" t="str">
        <f>"Q"&amp;ROUNDUP(MONTH(Table2[[#This Row],[Date]])/3,0)&amp;" "&amp;YEAR(Table2[[#This Row],[Date]])</f>
        <v>Q4 2024</v>
      </c>
      <c r="I634" s="2" t="str">
        <f>VLOOKUP(Table2[[#This Row],[Date]],Table7[],3)</f>
        <v>Q4 2024</v>
      </c>
    </row>
    <row r="635" spans="1:9" x14ac:dyDescent="0.25">
      <c r="A635" s="3" t="s">
        <v>40</v>
      </c>
      <c r="B635" s="3">
        <v>45626</v>
      </c>
      <c r="C635" s="6">
        <v>1205</v>
      </c>
      <c r="D635" s="2">
        <f>LEN(Table2[[#This Row],[CLID]])</f>
        <v>7</v>
      </c>
      <c r="E635" s="2" t="str">
        <f>_xlfn.XLOOKUP('Volume Data'!A:A,'Geo Data'!D:D,'Geo Data'!B:B)</f>
        <v>GEO1004</v>
      </c>
      <c r="F635" s="2" t="str">
        <f>INDEX(GeoByClient[GEOID],MATCH(Table2[[#This Row],[CLID]],GeoByClient[Right],0))</f>
        <v>GEO1004</v>
      </c>
      <c r="G635" s="2" t="str">
        <f>_xlfn.XLOOKUP(Table2[[#This Row],[Xlookup Region ID]],GEONames[GEOID],GEONames[GEO Name])</f>
        <v>LATAM</v>
      </c>
      <c r="H635" s="2" t="str">
        <f>"Q"&amp;ROUNDUP(MONTH(Table2[[#This Row],[Date]])/3,0)&amp;" "&amp;YEAR(Table2[[#This Row],[Date]])</f>
        <v>Q4 2024</v>
      </c>
      <c r="I635" s="2" t="str">
        <f>VLOOKUP(Table2[[#This Row],[Date]],Table7[],3)</f>
        <v>Q4 2024</v>
      </c>
    </row>
    <row r="636" spans="1:9" x14ac:dyDescent="0.25">
      <c r="A636" s="3" t="s">
        <v>40</v>
      </c>
      <c r="B636" s="3">
        <v>45657</v>
      </c>
      <c r="C636" s="6">
        <v>1211</v>
      </c>
      <c r="D636" s="2">
        <f>LEN(Table2[[#This Row],[CLID]])</f>
        <v>7</v>
      </c>
      <c r="E636" s="2" t="str">
        <f>_xlfn.XLOOKUP('Volume Data'!A:A,'Geo Data'!D:D,'Geo Data'!B:B)</f>
        <v>GEO1004</v>
      </c>
      <c r="F636" s="2" t="str">
        <f>INDEX(GeoByClient[GEOID],MATCH(Table2[[#This Row],[CLID]],GeoByClient[Right],0))</f>
        <v>GEO1004</v>
      </c>
      <c r="G636" s="2" t="str">
        <f>_xlfn.XLOOKUP(Table2[[#This Row],[Xlookup Region ID]],GEONames[GEOID],GEONames[GEO Name])</f>
        <v>LATAM</v>
      </c>
      <c r="H636" s="2" t="str">
        <f>"Q"&amp;ROUNDUP(MONTH(Table2[[#This Row],[Date]])/3,0)&amp;" "&amp;YEAR(Table2[[#This Row],[Date]])</f>
        <v>Q4 2024</v>
      </c>
      <c r="I636" s="2" t="str">
        <f>VLOOKUP(Table2[[#This Row],[Date]],Table7[],3)</f>
        <v>Q4 2024</v>
      </c>
    </row>
    <row r="637" spans="1:9" x14ac:dyDescent="0.25">
      <c r="A637" s="3" t="s">
        <v>40</v>
      </c>
      <c r="B637" s="3">
        <v>45838</v>
      </c>
      <c r="C637" s="6">
        <v>1193</v>
      </c>
      <c r="D637" s="2">
        <f>LEN(Table2[[#This Row],[CLID]])</f>
        <v>7</v>
      </c>
      <c r="E637" s="2" t="str">
        <f>_xlfn.XLOOKUP('Volume Data'!A:A,'Geo Data'!D:D,'Geo Data'!B:B)</f>
        <v>GEO1004</v>
      </c>
      <c r="F637" s="2" t="str">
        <f>INDEX(GeoByClient[GEOID],MATCH(Table2[[#This Row],[CLID]],GeoByClient[Right],0))</f>
        <v>GEO1004</v>
      </c>
      <c r="G637" s="2" t="str">
        <f>_xlfn.XLOOKUP(Table2[[#This Row],[Xlookup Region ID]],GEONames[GEOID],GEONames[GEO Name])</f>
        <v>LATAM</v>
      </c>
      <c r="H637" s="2" t="str">
        <f>"Q"&amp;ROUNDUP(MONTH(Table2[[#This Row],[Date]])/3,0)&amp;" "&amp;YEAR(Table2[[#This Row],[Date]])</f>
        <v>Q2 2025</v>
      </c>
      <c r="I637" s="2" t="str">
        <f>VLOOKUP(Table2[[#This Row],[Date]],Table7[],3)</f>
        <v>Q2 2025</v>
      </c>
    </row>
    <row r="638" spans="1:9" x14ac:dyDescent="0.25">
      <c r="A638" s="3" t="s">
        <v>40</v>
      </c>
      <c r="B638" s="3">
        <v>45808</v>
      </c>
      <c r="C638" s="6">
        <v>1694</v>
      </c>
      <c r="D638" s="2">
        <f>LEN(Table2[[#This Row],[CLID]])</f>
        <v>7</v>
      </c>
      <c r="E638" s="2" t="str">
        <f>_xlfn.XLOOKUP('Volume Data'!A:A,'Geo Data'!D:D,'Geo Data'!B:B)</f>
        <v>GEO1004</v>
      </c>
      <c r="F638" s="2" t="str">
        <f>INDEX(GeoByClient[GEOID],MATCH(Table2[[#This Row],[CLID]],GeoByClient[Right],0))</f>
        <v>GEO1004</v>
      </c>
      <c r="G638" s="2" t="str">
        <f>_xlfn.XLOOKUP(Table2[[#This Row],[Xlookup Region ID]],GEONames[GEOID],GEONames[GEO Name])</f>
        <v>LATAM</v>
      </c>
      <c r="H638" s="2" t="str">
        <f>"Q"&amp;ROUNDUP(MONTH(Table2[[#This Row],[Date]])/3,0)&amp;" "&amp;YEAR(Table2[[#This Row],[Date]])</f>
        <v>Q2 2025</v>
      </c>
      <c r="I638" s="2" t="str">
        <f>VLOOKUP(Table2[[#This Row],[Date]],Table7[],3)</f>
        <v>Q2 2025</v>
      </c>
    </row>
    <row r="639" spans="1:9" x14ac:dyDescent="0.25">
      <c r="A639" s="3" t="s">
        <v>40</v>
      </c>
      <c r="B639" s="3">
        <v>45777</v>
      </c>
      <c r="C639" s="6">
        <v>1791</v>
      </c>
      <c r="D639" s="2">
        <f>LEN(Table2[[#This Row],[CLID]])</f>
        <v>7</v>
      </c>
      <c r="E639" s="2" t="str">
        <f>_xlfn.XLOOKUP('Volume Data'!A:A,'Geo Data'!D:D,'Geo Data'!B:B)</f>
        <v>GEO1004</v>
      </c>
      <c r="F639" s="2" t="str">
        <f>INDEX(GeoByClient[GEOID],MATCH(Table2[[#This Row],[CLID]],GeoByClient[Right],0))</f>
        <v>GEO1004</v>
      </c>
      <c r="G639" s="2" t="str">
        <f>_xlfn.XLOOKUP(Table2[[#This Row],[Xlookup Region ID]],GEONames[GEOID],GEONames[GEO Name])</f>
        <v>LATAM</v>
      </c>
      <c r="H639" s="2" t="str">
        <f>"Q"&amp;ROUNDUP(MONTH(Table2[[#This Row],[Date]])/3,0)&amp;" "&amp;YEAR(Table2[[#This Row],[Date]])</f>
        <v>Q2 2025</v>
      </c>
      <c r="I639" s="2" t="str">
        <f>VLOOKUP(Table2[[#This Row],[Date]],Table7[],3)</f>
        <v>Q2 2025</v>
      </c>
    </row>
    <row r="640" spans="1:9" x14ac:dyDescent="0.25">
      <c r="A640" s="3" t="s">
        <v>40</v>
      </c>
      <c r="B640" s="3">
        <v>45747</v>
      </c>
      <c r="C640" s="6">
        <v>1568</v>
      </c>
      <c r="D640" s="2">
        <f>LEN(Table2[[#This Row],[CLID]])</f>
        <v>7</v>
      </c>
      <c r="E640" s="2" t="str">
        <f>_xlfn.XLOOKUP('Volume Data'!A:A,'Geo Data'!D:D,'Geo Data'!B:B)</f>
        <v>GEO1004</v>
      </c>
      <c r="F640" s="2" t="str">
        <f>INDEX(GeoByClient[GEOID],MATCH(Table2[[#This Row],[CLID]],GeoByClient[Right],0))</f>
        <v>GEO1004</v>
      </c>
      <c r="G640" s="2" t="str">
        <f>_xlfn.XLOOKUP(Table2[[#This Row],[Xlookup Region ID]],GEONames[GEOID],GEONames[GEO Name])</f>
        <v>LATAM</v>
      </c>
      <c r="H640" s="2" t="str">
        <f>"Q"&amp;ROUNDUP(MONTH(Table2[[#This Row],[Date]])/3,0)&amp;" "&amp;YEAR(Table2[[#This Row],[Date]])</f>
        <v>Q1 2025</v>
      </c>
      <c r="I640" s="2" t="str">
        <f>VLOOKUP(Table2[[#This Row],[Date]],Table7[],3)</f>
        <v>Q4 2024</v>
      </c>
    </row>
    <row r="641" spans="1:9" x14ac:dyDescent="0.25">
      <c r="A641" s="3" t="s">
        <v>40</v>
      </c>
      <c r="B641" s="3">
        <v>45716</v>
      </c>
      <c r="C641" s="6">
        <v>1399</v>
      </c>
      <c r="D641" s="2">
        <f>LEN(Table2[[#This Row],[CLID]])</f>
        <v>7</v>
      </c>
      <c r="E641" s="2" t="str">
        <f>_xlfn.XLOOKUP('Volume Data'!A:A,'Geo Data'!D:D,'Geo Data'!B:B)</f>
        <v>GEO1004</v>
      </c>
      <c r="F641" s="2" t="str">
        <f>INDEX(GeoByClient[GEOID],MATCH(Table2[[#This Row],[CLID]],GeoByClient[Right],0))</f>
        <v>GEO1004</v>
      </c>
      <c r="G641" s="2" t="str">
        <f>_xlfn.XLOOKUP(Table2[[#This Row],[Xlookup Region ID]],GEONames[GEOID],GEONames[GEO Name])</f>
        <v>LATAM</v>
      </c>
      <c r="H641" s="2" t="str">
        <f>"Q"&amp;ROUNDUP(MONTH(Table2[[#This Row],[Date]])/3,0)&amp;" "&amp;YEAR(Table2[[#This Row],[Date]])</f>
        <v>Q1 2025</v>
      </c>
      <c r="I641" s="2" t="str">
        <f>VLOOKUP(Table2[[#This Row],[Date]],Table7[],3)</f>
        <v>Q4 2024</v>
      </c>
    </row>
    <row r="642" spans="1:9" x14ac:dyDescent="0.25">
      <c r="A642" s="3" t="s">
        <v>40</v>
      </c>
      <c r="B642" s="3">
        <v>45688</v>
      </c>
      <c r="C642" s="6">
        <v>1255</v>
      </c>
      <c r="D642" s="2">
        <f>LEN(Table2[[#This Row],[CLID]])</f>
        <v>7</v>
      </c>
      <c r="E642" s="2" t="str">
        <f>_xlfn.XLOOKUP('Volume Data'!A:A,'Geo Data'!D:D,'Geo Data'!B:B)</f>
        <v>GEO1004</v>
      </c>
      <c r="F642" s="2" t="str">
        <f>INDEX(GeoByClient[GEOID],MATCH(Table2[[#This Row],[CLID]],GeoByClient[Right],0))</f>
        <v>GEO1004</v>
      </c>
      <c r="G642" s="2" t="str">
        <f>_xlfn.XLOOKUP(Table2[[#This Row],[Xlookup Region ID]],GEONames[GEOID],GEONames[GEO Name])</f>
        <v>LATAM</v>
      </c>
      <c r="H642" s="2" t="str">
        <f>"Q"&amp;ROUNDUP(MONTH(Table2[[#This Row],[Date]])/3,0)&amp;" "&amp;YEAR(Table2[[#This Row],[Date]])</f>
        <v>Q1 2025</v>
      </c>
      <c r="I642" s="2" t="str">
        <f>VLOOKUP(Table2[[#This Row],[Date]],Table7[],3)</f>
        <v>Q4 2024</v>
      </c>
    </row>
    <row r="643" spans="1:9" x14ac:dyDescent="0.25">
      <c r="A643" s="3" t="s">
        <v>2</v>
      </c>
      <c r="B643" s="3">
        <v>45322</v>
      </c>
      <c r="C643" s="6">
        <v>53</v>
      </c>
      <c r="D643" s="2">
        <f>LEN(Table2[[#This Row],[CLID]])</f>
        <v>7</v>
      </c>
      <c r="E643" s="2" t="str">
        <f>_xlfn.XLOOKUP('Volume Data'!A:A,'Geo Data'!D:D,'Geo Data'!B:B)</f>
        <v>GEO1002</v>
      </c>
      <c r="F643" s="2" t="str">
        <f>INDEX(GeoByClient[GEOID],MATCH(Table2[[#This Row],[CLID]],GeoByClient[Right],0))</f>
        <v>GEO1002</v>
      </c>
      <c r="G643" s="2" t="str">
        <f>_xlfn.XLOOKUP(Table2[[#This Row],[Xlookup Region ID]],GEONames[GEOID],GEONames[GEO Name])</f>
        <v>APAC</v>
      </c>
      <c r="H643" s="2" t="str">
        <f>"Q"&amp;ROUNDUP(MONTH(Table2[[#This Row],[Date]])/3,0)&amp;" "&amp;YEAR(Table2[[#This Row],[Date]])</f>
        <v>Q1 2024</v>
      </c>
      <c r="I643" s="2" t="str">
        <f>VLOOKUP(Table2[[#This Row],[Date]],Table7[],3)</f>
        <v>Q1 2024</v>
      </c>
    </row>
    <row r="644" spans="1:9" x14ac:dyDescent="0.25">
      <c r="A644" s="3" t="s">
        <v>2</v>
      </c>
      <c r="B644" s="3">
        <v>45351</v>
      </c>
      <c r="C644" s="6">
        <v>40</v>
      </c>
      <c r="D644" s="2">
        <f>LEN(Table2[[#This Row],[CLID]])</f>
        <v>7</v>
      </c>
      <c r="E644" s="2" t="str">
        <f>_xlfn.XLOOKUP('Volume Data'!A:A,'Geo Data'!D:D,'Geo Data'!B:B)</f>
        <v>GEO1002</v>
      </c>
      <c r="F644" s="2" t="str">
        <f>INDEX(GeoByClient[GEOID],MATCH(Table2[[#This Row],[CLID]],GeoByClient[Right],0))</f>
        <v>GEO1002</v>
      </c>
      <c r="G644" s="2" t="str">
        <f>_xlfn.XLOOKUP(Table2[[#This Row],[Xlookup Region ID]],GEONames[GEOID],GEONames[GEO Name])</f>
        <v>APAC</v>
      </c>
      <c r="H644" s="2" t="str">
        <f>"Q"&amp;ROUNDUP(MONTH(Table2[[#This Row],[Date]])/3,0)&amp;" "&amp;YEAR(Table2[[#This Row],[Date]])</f>
        <v>Q1 2024</v>
      </c>
      <c r="I644" s="2" t="str">
        <f>VLOOKUP(Table2[[#This Row],[Date]],Table7[],3)</f>
        <v>Q1 2024</v>
      </c>
    </row>
    <row r="645" spans="1:9" x14ac:dyDescent="0.25">
      <c r="A645" s="3" t="s">
        <v>2</v>
      </c>
      <c r="B645" s="3">
        <v>45382</v>
      </c>
      <c r="C645" s="6">
        <v>65</v>
      </c>
      <c r="D645" s="2">
        <f>LEN(Table2[[#This Row],[CLID]])</f>
        <v>7</v>
      </c>
      <c r="E645" s="2" t="str">
        <f>_xlfn.XLOOKUP('Volume Data'!A:A,'Geo Data'!D:D,'Geo Data'!B:B)</f>
        <v>GEO1002</v>
      </c>
      <c r="F645" s="2" t="str">
        <f>INDEX(GeoByClient[GEOID],MATCH(Table2[[#This Row],[CLID]],GeoByClient[Right],0))</f>
        <v>GEO1002</v>
      </c>
      <c r="G645" s="2" t="str">
        <f>_xlfn.XLOOKUP(Table2[[#This Row],[Xlookup Region ID]],GEONames[GEOID],GEONames[GEO Name])</f>
        <v>APAC</v>
      </c>
      <c r="H645" s="2" t="str">
        <f>"Q"&amp;ROUNDUP(MONTH(Table2[[#This Row],[Date]])/3,0)&amp;" "&amp;YEAR(Table2[[#This Row],[Date]])</f>
        <v>Q1 2024</v>
      </c>
      <c r="I645" s="2" t="str">
        <f>VLOOKUP(Table2[[#This Row],[Date]],Table7[],3)</f>
        <v>Q1 2024</v>
      </c>
    </row>
    <row r="646" spans="1:9" x14ac:dyDescent="0.25">
      <c r="A646" s="3" t="s">
        <v>2</v>
      </c>
      <c r="B646" s="3">
        <v>45412</v>
      </c>
      <c r="C646" s="6">
        <v>56</v>
      </c>
      <c r="D646" s="2">
        <f>LEN(Table2[[#This Row],[CLID]])</f>
        <v>7</v>
      </c>
      <c r="E646" s="2" t="str">
        <f>_xlfn.XLOOKUP('Volume Data'!A:A,'Geo Data'!D:D,'Geo Data'!B:B)</f>
        <v>GEO1002</v>
      </c>
      <c r="F646" s="2" t="str">
        <f>INDEX(GeoByClient[GEOID],MATCH(Table2[[#This Row],[CLID]],GeoByClient[Right],0))</f>
        <v>GEO1002</v>
      </c>
      <c r="G646" s="2" t="str">
        <f>_xlfn.XLOOKUP(Table2[[#This Row],[Xlookup Region ID]],GEONames[GEOID],GEONames[GEO Name])</f>
        <v>APAC</v>
      </c>
      <c r="H646" s="2" t="str">
        <f>"Q"&amp;ROUNDUP(MONTH(Table2[[#This Row],[Date]])/3,0)&amp;" "&amp;YEAR(Table2[[#This Row],[Date]])</f>
        <v>Q2 2024</v>
      </c>
      <c r="I646" s="2" t="str">
        <f>VLOOKUP(Table2[[#This Row],[Date]],Table7[],3)</f>
        <v>Q2 2024</v>
      </c>
    </row>
    <row r="647" spans="1:9" x14ac:dyDescent="0.25">
      <c r="A647" s="3" t="s">
        <v>2</v>
      </c>
      <c r="B647" s="3">
        <v>45443</v>
      </c>
      <c r="C647" s="6">
        <v>65</v>
      </c>
      <c r="D647" s="2">
        <f>LEN(Table2[[#This Row],[CLID]])</f>
        <v>7</v>
      </c>
      <c r="E647" s="2" t="str">
        <f>_xlfn.XLOOKUP('Volume Data'!A:A,'Geo Data'!D:D,'Geo Data'!B:B)</f>
        <v>GEO1002</v>
      </c>
      <c r="F647" s="2" t="str">
        <f>INDEX(GeoByClient[GEOID],MATCH(Table2[[#This Row],[CLID]],GeoByClient[Right],0))</f>
        <v>GEO1002</v>
      </c>
      <c r="G647" s="2" t="str">
        <f>_xlfn.XLOOKUP(Table2[[#This Row],[Xlookup Region ID]],GEONames[GEOID],GEONames[GEO Name])</f>
        <v>APAC</v>
      </c>
      <c r="H647" s="2" t="str">
        <f>"Q"&amp;ROUNDUP(MONTH(Table2[[#This Row],[Date]])/3,0)&amp;" "&amp;YEAR(Table2[[#This Row],[Date]])</f>
        <v>Q2 2024</v>
      </c>
      <c r="I647" s="2" t="str">
        <f>VLOOKUP(Table2[[#This Row],[Date]],Table7[],3)</f>
        <v>Q2 2024</v>
      </c>
    </row>
    <row r="648" spans="1:9" x14ac:dyDescent="0.25">
      <c r="A648" s="3" t="s">
        <v>2</v>
      </c>
      <c r="B648" s="3">
        <v>45473</v>
      </c>
      <c r="C648" s="6">
        <v>34</v>
      </c>
      <c r="D648" s="2">
        <f>LEN(Table2[[#This Row],[CLID]])</f>
        <v>7</v>
      </c>
      <c r="E648" s="2" t="str">
        <f>_xlfn.XLOOKUP('Volume Data'!A:A,'Geo Data'!D:D,'Geo Data'!B:B)</f>
        <v>GEO1002</v>
      </c>
      <c r="F648" s="2" t="str">
        <f>INDEX(GeoByClient[GEOID],MATCH(Table2[[#This Row],[CLID]],GeoByClient[Right],0))</f>
        <v>GEO1002</v>
      </c>
      <c r="G648" s="2" t="str">
        <f>_xlfn.XLOOKUP(Table2[[#This Row],[Xlookup Region ID]],GEONames[GEOID],GEONames[GEO Name])</f>
        <v>APAC</v>
      </c>
      <c r="H648" s="2" t="str">
        <f>"Q"&amp;ROUNDUP(MONTH(Table2[[#This Row],[Date]])/3,0)&amp;" "&amp;YEAR(Table2[[#This Row],[Date]])</f>
        <v>Q2 2024</v>
      </c>
      <c r="I648" s="2" t="str">
        <f>VLOOKUP(Table2[[#This Row],[Date]],Table7[],3)</f>
        <v>Q2 2024</v>
      </c>
    </row>
    <row r="649" spans="1:9" x14ac:dyDescent="0.25">
      <c r="A649" s="3" t="s">
        <v>2</v>
      </c>
      <c r="B649" s="3">
        <v>45504</v>
      </c>
      <c r="C649" s="6">
        <v>50</v>
      </c>
      <c r="D649" s="2">
        <f>LEN(Table2[[#This Row],[CLID]])</f>
        <v>7</v>
      </c>
      <c r="E649" s="2" t="str">
        <f>_xlfn.XLOOKUP('Volume Data'!A:A,'Geo Data'!D:D,'Geo Data'!B:B)</f>
        <v>GEO1002</v>
      </c>
      <c r="F649" s="2" t="str">
        <f>INDEX(GeoByClient[GEOID],MATCH(Table2[[#This Row],[CLID]],GeoByClient[Right],0))</f>
        <v>GEO1002</v>
      </c>
      <c r="G649" s="2" t="str">
        <f>_xlfn.XLOOKUP(Table2[[#This Row],[Xlookup Region ID]],GEONames[GEOID],GEONames[GEO Name])</f>
        <v>APAC</v>
      </c>
      <c r="H649" s="2" t="str">
        <f>"Q"&amp;ROUNDUP(MONTH(Table2[[#This Row],[Date]])/3,0)&amp;" "&amp;YEAR(Table2[[#This Row],[Date]])</f>
        <v>Q3 2024</v>
      </c>
      <c r="I649" s="2" t="str">
        <f>VLOOKUP(Table2[[#This Row],[Date]],Table7[],3)</f>
        <v>Q3 2024</v>
      </c>
    </row>
    <row r="650" spans="1:9" x14ac:dyDescent="0.25">
      <c r="A650" s="3" t="s">
        <v>2</v>
      </c>
      <c r="B650" s="3">
        <v>45535</v>
      </c>
      <c r="C650" s="6">
        <v>26</v>
      </c>
      <c r="D650" s="2">
        <f>LEN(Table2[[#This Row],[CLID]])</f>
        <v>7</v>
      </c>
      <c r="E650" s="2" t="str">
        <f>_xlfn.XLOOKUP('Volume Data'!A:A,'Geo Data'!D:D,'Geo Data'!B:B)</f>
        <v>GEO1002</v>
      </c>
      <c r="F650" s="2" t="str">
        <f>INDEX(GeoByClient[GEOID],MATCH(Table2[[#This Row],[CLID]],GeoByClient[Right],0))</f>
        <v>GEO1002</v>
      </c>
      <c r="G650" s="2" t="str">
        <f>_xlfn.XLOOKUP(Table2[[#This Row],[Xlookup Region ID]],GEONames[GEOID],GEONames[GEO Name])</f>
        <v>APAC</v>
      </c>
      <c r="H650" s="2" t="str">
        <f>"Q"&amp;ROUNDUP(MONTH(Table2[[#This Row],[Date]])/3,0)&amp;" "&amp;YEAR(Table2[[#This Row],[Date]])</f>
        <v>Q3 2024</v>
      </c>
      <c r="I650" s="2" t="str">
        <f>VLOOKUP(Table2[[#This Row],[Date]],Table7[],3)</f>
        <v>Q3 2024</v>
      </c>
    </row>
    <row r="651" spans="1:9" x14ac:dyDescent="0.25">
      <c r="A651" s="3" t="s">
        <v>2</v>
      </c>
      <c r="B651" s="3">
        <v>45565</v>
      </c>
      <c r="C651" s="6">
        <v>43</v>
      </c>
      <c r="D651" s="2">
        <f>LEN(Table2[[#This Row],[CLID]])</f>
        <v>7</v>
      </c>
      <c r="E651" s="2" t="str">
        <f>_xlfn.XLOOKUP('Volume Data'!A:A,'Geo Data'!D:D,'Geo Data'!B:B)</f>
        <v>GEO1002</v>
      </c>
      <c r="F651" s="2" t="str">
        <f>INDEX(GeoByClient[GEOID],MATCH(Table2[[#This Row],[CLID]],GeoByClient[Right],0))</f>
        <v>GEO1002</v>
      </c>
      <c r="G651" s="2" t="str">
        <f>_xlfn.XLOOKUP(Table2[[#This Row],[Xlookup Region ID]],GEONames[GEOID],GEONames[GEO Name])</f>
        <v>APAC</v>
      </c>
      <c r="H651" s="2" t="str">
        <f>"Q"&amp;ROUNDUP(MONTH(Table2[[#This Row],[Date]])/3,0)&amp;" "&amp;YEAR(Table2[[#This Row],[Date]])</f>
        <v>Q3 2024</v>
      </c>
      <c r="I651" s="2" t="str">
        <f>VLOOKUP(Table2[[#This Row],[Date]],Table7[],3)</f>
        <v>Q3 2024</v>
      </c>
    </row>
    <row r="652" spans="1:9" x14ac:dyDescent="0.25">
      <c r="A652" s="3" t="s">
        <v>2</v>
      </c>
      <c r="B652" s="3">
        <v>45596</v>
      </c>
      <c r="C652" s="6">
        <v>32</v>
      </c>
      <c r="D652" s="2">
        <f>LEN(Table2[[#This Row],[CLID]])</f>
        <v>7</v>
      </c>
      <c r="E652" s="2" t="str">
        <f>_xlfn.XLOOKUP('Volume Data'!A:A,'Geo Data'!D:D,'Geo Data'!B:B)</f>
        <v>GEO1002</v>
      </c>
      <c r="F652" s="2" t="str">
        <f>INDEX(GeoByClient[GEOID],MATCH(Table2[[#This Row],[CLID]],GeoByClient[Right],0))</f>
        <v>GEO1002</v>
      </c>
      <c r="G652" s="2" t="str">
        <f>_xlfn.XLOOKUP(Table2[[#This Row],[Xlookup Region ID]],GEONames[GEOID],GEONames[GEO Name])</f>
        <v>APAC</v>
      </c>
      <c r="H652" s="2" t="str">
        <f>"Q"&amp;ROUNDUP(MONTH(Table2[[#This Row],[Date]])/3,0)&amp;" "&amp;YEAR(Table2[[#This Row],[Date]])</f>
        <v>Q4 2024</v>
      </c>
      <c r="I652" s="2" t="str">
        <f>VLOOKUP(Table2[[#This Row],[Date]],Table7[],3)</f>
        <v>Q4 2024</v>
      </c>
    </row>
    <row r="653" spans="1:9" x14ac:dyDescent="0.25">
      <c r="A653" s="3" t="s">
        <v>2</v>
      </c>
      <c r="B653" s="3">
        <v>45626</v>
      </c>
      <c r="C653" s="6">
        <v>54</v>
      </c>
      <c r="D653" s="2">
        <f>LEN(Table2[[#This Row],[CLID]])</f>
        <v>7</v>
      </c>
      <c r="E653" s="2" t="str">
        <f>_xlfn.XLOOKUP('Volume Data'!A:A,'Geo Data'!D:D,'Geo Data'!B:B)</f>
        <v>GEO1002</v>
      </c>
      <c r="F653" s="2" t="str">
        <f>INDEX(GeoByClient[GEOID],MATCH(Table2[[#This Row],[CLID]],GeoByClient[Right],0))</f>
        <v>GEO1002</v>
      </c>
      <c r="G653" s="2" t="str">
        <f>_xlfn.XLOOKUP(Table2[[#This Row],[Xlookup Region ID]],GEONames[GEOID],GEONames[GEO Name])</f>
        <v>APAC</v>
      </c>
      <c r="H653" s="2" t="str">
        <f>"Q"&amp;ROUNDUP(MONTH(Table2[[#This Row],[Date]])/3,0)&amp;" "&amp;YEAR(Table2[[#This Row],[Date]])</f>
        <v>Q4 2024</v>
      </c>
      <c r="I653" s="2" t="str">
        <f>VLOOKUP(Table2[[#This Row],[Date]],Table7[],3)</f>
        <v>Q4 2024</v>
      </c>
    </row>
    <row r="654" spans="1:9" x14ac:dyDescent="0.25">
      <c r="A654" s="3" t="s">
        <v>2</v>
      </c>
      <c r="B654" s="3">
        <v>45657</v>
      </c>
      <c r="C654" s="6">
        <v>38</v>
      </c>
      <c r="D654" s="2">
        <f>LEN(Table2[[#This Row],[CLID]])</f>
        <v>7</v>
      </c>
      <c r="E654" s="2" t="str">
        <f>_xlfn.XLOOKUP('Volume Data'!A:A,'Geo Data'!D:D,'Geo Data'!B:B)</f>
        <v>GEO1002</v>
      </c>
      <c r="F654" s="2" t="str">
        <f>INDEX(GeoByClient[GEOID],MATCH(Table2[[#This Row],[CLID]],GeoByClient[Right],0))</f>
        <v>GEO1002</v>
      </c>
      <c r="G654" s="2" t="str">
        <f>_xlfn.XLOOKUP(Table2[[#This Row],[Xlookup Region ID]],GEONames[GEOID],GEONames[GEO Name])</f>
        <v>APAC</v>
      </c>
      <c r="H654" s="2" t="str">
        <f>"Q"&amp;ROUNDUP(MONTH(Table2[[#This Row],[Date]])/3,0)&amp;" "&amp;YEAR(Table2[[#This Row],[Date]])</f>
        <v>Q4 2024</v>
      </c>
      <c r="I654" s="2" t="str">
        <f>VLOOKUP(Table2[[#This Row],[Date]],Table7[],3)</f>
        <v>Q4 2024</v>
      </c>
    </row>
    <row r="655" spans="1:9" x14ac:dyDescent="0.25">
      <c r="A655" s="3" t="s">
        <v>2</v>
      </c>
      <c r="B655" s="3">
        <v>45838</v>
      </c>
      <c r="C655" s="6">
        <v>38</v>
      </c>
      <c r="D655" s="2">
        <f>LEN(Table2[[#This Row],[CLID]])</f>
        <v>7</v>
      </c>
      <c r="E655" s="2" t="str">
        <f>_xlfn.XLOOKUP('Volume Data'!A:A,'Geo Data'!D:D,'Geo Data'!B:B)</f>
        <v>GEO1002</v>
      </c>
      <c r="F655" s="2" t="str">
        <f>INDEX(GeoByClient[GEOID],MATCH(Table2[[#This Row],[CLID]],GeoByClient[Right],0))</f>
        <v>GEO1002</v>
      </c>
      <c r="G655" s="2" t="str">
        <f>_xlfn.XLOOKUP(Table2[[#This Row],[Xlookup Region ID]],GEONames[GEOID],GEONames[GEO Name])</f>
        <v>APAC</v>
      </c>
      <c r="H655" s="2" t="str">
        <f>"Q"&amp;ROUNDUP(MONTH(Table2[[#This Row],[Date]])/3,0)&amp;" "&amp;YEAR(Table2[[#This Row],[Date]])</f>
        <v>Q2 2025</v>
      </c>
      <c r="I655" s="2" t="str">
        <f>VLOOKUP(Table2[[#This Row],[Date]],Table7[],3)</f>
        <v>Q2 2025</v>
      </c>
    </row>
    <row r="656" spans="1:9" x14ac:dyDescent="0.25">
      <c r="A656" s="3" t="s">
        <v>2</v>
      </c>
      <c r="B656" s="3">
        <v>45808</v>
      </c>
      <c r="C656" s="6">
        <v>71</v>
      </c>
      <c r="D656" s="2">
        <f>LEN(Table2[[#This Row],[CLID]])</f>
        <v>7</v>
      </c>
      <c r="E656" s="2" t="str">
        <f>_xlfn.XLOOKUP('Volume Data'!A:A,'Geo Data'!D:D,'Geo Data'!B:B)</f>
        <v>GEO1002</v>
      </c>
      <c r="F656" s="2" t="str">
        <f>INDEX(GeoByClient[GEOID],MATCH(Table2[[#This Row],[CLID]],GeoByClient[Right],0))</f>
        <v>GEO1002</v>
      </c>
      <c r="G656" s="2" t="str">
        <f>_xlfn.XLOOKUP(Table2[[#This Row],[Xlookup Region ID]],GEONames[GEOID],GEONames[GEO Name])</f>
        <v>APAC</v>
      </c>
      <c r="H656" s="2" t="str">
        <f>"Q"&amp;ROUNDUP(MONTH(Table2[[#This Row],[Date]])/3,0)&amp;" "&amp;YEAR(Table2[[#This Row],[Date]])</f>
        <v>Q2 2025</v>
      </c>
      <c r="I656" s="2" t="str">
        <f>VLOOKUP(Table2[[#This Row],[Date]],Table7[],3)</f>
        <v>Q2 2025</v>
      </c>
    </row>
    <row r="657" spans="1:9" x14ac:dyDescent="0.25">
      <c r="A657" s="3" t="s">
        <v>2</v>
      </c>
      <c r="B657" s="3">
        <v>45777</v>
      </c>
      <c r="C657" s="6">
        <v>60</v>
      </c>
      <c r="D657" s="2">
        <f>LEN(Table2[[#This Row],[CLID]])</f>
        <v>7</v>
      </c>
      <c r="E657" s="2" t="str">
        <f>_xlfn.XLOOKUP('Volume Data'!A:A,'Geo Data'!D:D,'Geo Data'!B:B)</f>
        <v>GEO1002</v>
      </c>
      <c r="F657" s="2" t="str">
        <f>INDEX(GeoByClient[GEOID],MATCH(Table2[[#This Row],[CLID]],GeoByClient[Right],0))</f>
        <v>GEO1002</v>
      </c>
      <c r="G657" s="2" t="str">
        <f>_xlfn.XLOOKUP(Table2[[#This Row],[Xlookup Region ID]],GEONames[GEOID],GEONames[GEO Name])</f>
        <v>APAC</v>
      </c>
      <c r="H657" s="2" t="str">
        <f>"Q"&amp;ROUNDUP(MONTH(Table2[[#This Row],[Date]])/3,0)&amp;" "&amp;YEAR(Table2[[#This Row],[Date]])</f>
        <v>Q2 2025</v>
      </c>
      <c r="I657" s="2" t="str">
        <f>VLOOKUP(Table2[[#This Row],[Date]],Table7[],3)</f>
        <v>Q2 2025</v>
      </c>
    </row>
    <row r="658" spans="1:9" x14ac:dyDescent="0.25">
      <c r="A658" s="3" t="s">
        <v>2</v>
      </c>
      <c r="B658" s="3">
        <v>45747</v>
      </c>
      <c r="C658" s="6">
        <v>65</v>
      </c>
      <c r="D658" s="2">
        <f>LEN(Table2[[#This Row],[CLID]])</f>
        <v>7</v>
      </c>
      <c r="E658" s="2" t="str">
        <f>_xlfn.XLOOKUP('Volume Data'!A:A,'Geo Data'!D:D,'Geo Data'!B:B)</f>
        <v>GEO1002</v>
      </c>
      <c r="F658" s="2" t="str">
        <f>INDEX(GeoByClient[GEOID],MATCH(Table2[[#This Row],[CLID]],GeoByClient[Right],0))</f>
        <v>GEO1002</v>
      </c>
      <c r="G658" s="2" t="str">
        <f>_xlfn.XLOOKUP(Table2[[#This Row],[Xlookup Region ID]],GEONames[GEOID],GEONames[GEO Name])</f>
        <v>APAC</v>
      </c>
      <c r="H658" s="2" t="str">
        <f>"Q"&amp;ROUNDUP(MONTH(Table2[[#This Row],[Date]])/3,0)&amp;" "&amp;YEAR(Table2[[#This Row],[Date]])</f>
        <v>Q1 2025</v>
      </c>
      <c r="I658" s="2" t="str">
        <f>VLOOKUP(Table2[[#This Row],[Date]],Table7[],3)</f>
        <v>Q4 2024</v>
      </c>
    </row>
    <row r="659" spans="1:9" x14ac:dyDescent="0.25">
      <c r="A659" s="3" t="s">
        <v>2</v>
      </c>
      <c r="B659" s="3">
        <v>45716</v>
      </c>
      <c r="C659" s="6">
        <v>45</v>
      </c>
      <c r="D659" s="2">
        <f>LEN(Table2[[#This Row],[CLID]])</f>
        <v>7</v>
      </c>
      <c r="E659" s="2" t="str">
        <f>_xlfn.XLOOKUP('Volume Data'!A:A,'Geo Data'!D:D,'Geo Data'!B:B)</f>
        <v>GEO1002</v>
      </c>
      <c r="F659" s="2" t="str">
        <f>INDEX(GeoByClient[GEOID],MATCH(Table2[[#This Row],[CLID]],GeoByClient[Right],0))</f>
        <v>GEO1002</v>
      </c>
      <c r="G659" s="2" t="str">
        <f>_xlfn.XLOOKUP(Table2[[#This Row],[Xlookup Region ID]],GEONames[GEOID],GEONames[GEO Name])</f>
        <v>APAC</v>
      </c>
      <c r="H659" s="2" t="str">
        <f>"Q"&amp;ROUNDUP(MONTH(Table2[[#This Row],[Date]])/3,0)&amp;" "&amp;YEAR(Table2[[#This Row],[Date]])</f>
        <v>Q1 2025</v>
      </c>
      <c r="I659" s="2" t="str">
        <f>VLOOKUP(Table2[[#This Row],[Date]],Table7[],3)</f>
        <v>Q4 2024</v>
      </c>
    </row>
    <row r="660" spans="1:9" x14ac:dyDescent="0.25">
      <c r="A660" s="3" t="s">
        <v>2</v>
      </c>
      <c r="B660" s="3">
        <v>45688</v>
      </c>
      <c r="C660" s="6">
        <v>56</v>
      </c>
      <c r="D660" s="2">
        <f>LEN(Table2[[#This Row],[CLID]])</f>
        <v>7</v>
      </c>
      <c r="E660" s="2" t="str">
        <f>_xlfn.XLOOKUP('Volume Data'!A:A,'Geo Data'!D:D,'Geo Data'!B:B)</f>
        <v>GEO1002</v>
      </c>
      <c r="F660" s="2" t="str">
        <f>INDEX(GeoByClient[GEOID],MATCH(Table2[[#This Row],[CLID]],GeoByClient[Right],0))</f>
        <v>GEO1002</v>
      </c>
      <c r="G660" s="2" t="str">
        <f>_xlfn.XLOOKUP(Table2[[#This Row],[Xlookup Region ID]],GEONames[GEOID],GEONames[GEO Name])</f>
        <v>APAC</v>
      </c>
      <c r="H660" s="2" t="str">
        <f>"Q"&amp;ROUNDUP(MONTH(Table2[[#This Row],[Date]])/3,0)&amp;" "&amp;YEAR(Table2[[#This Row],[Date]])</f>
        <v>Q1 2025</v>
      </c>
      <c r="I660" s="2" t="str">
        <f>VLOOKUP(Table2[[#This Row],[Date]],Table7[],3)</f>
        <v>Q4 2024</v>
      </c>
    </row>
    <row r="661" spans="1:9" x14ac:dyDescent="0.25">
      <c r="A661" s="3" t="s">
        <v>45</v>
      </c>
      <c r="B661" s="3">
        <v>45322</v>
      </c>
      <c r="C661" s="6">
        <v>1283</v>
      </c>
      <c r="D661" s="2">
        <f>LEN(Table2[[#This Row],[CLID]])</f>
        <v>7</v>
      </c>
      <c r="E661" s="2" t="str">
        <f>_xlfn.XLOOKUP('Volume Data'!A:A,'Geo Data'!D:D,'Geo Data'!B:B)</f>
        <v>GEO1001</v>
      </c>
      <c r="F661" s="2" t="str">
        <f>INDEX(GeoByClient[GEOID],MATCH(Table2[[#This Row],[CLID]],GeoByClient[Right],0))</f>
        <v>GEO1001</v>
      </c>
      <c r="G661" s="2" t="str">
        <f>_xlfn.XLOOKUP(Table2[[#This Row],[Xlookup Region ID]],GEONames[GEOID],GEONames[GEO Name])</f>
        <v>NAM</v>
      </c>
      <c r="H661" s="2" t="str">
        <f>"Q"&amp;ROUNDUP(MONTH(Table2[[#This Row],[Date]])/3,0)&amp;" "&amp;YEAR(Table2[[#This Row],[Date]])</f>
        <v>Q1 2024</v>
      </c>
      <c r="I661" s="2" t="str">
        <f>VLOOKUP(Table2[[#This Row],[Date]],Table7[],3)</f>
        <v>Q1 2024</v>
      </c>
    </row>
    <row r="662" spans="1:9" x14ac:dyDescent="0.25">
      <c r="A662" s="3" t="s">
        <v>45</v>
      </c>
      <c r="B662" s="3">
        <v>45351</v>
      </c>
      <c r="C662" s="6">
        <v>1622</v>
      </c>
      <c r="D662" s="2">
        <f>LEN(Table2[[#This Row],[CLID]])</f>
        <v>7</v>
      </c>
      <c r="E662" s="2" t="str">
        <f>_xlfn.XLOOKUP('Volume Data'!A:A,'Geo Data'!D:D,'Geo Data'!B:B)</f>
        <v>GEO1001</v>
      </c>
      <c r="F662" s="2" t="str">
        <f>INDEX(GeoByClient[GEOID],MATCH(Table2[[#This Row],[CLID]],GeoByClient[Right],0))</f>
        <v>GEO1001</v>
      </c>
      <c r="G662" s="2" t="str">
        <f>_xlfn.XLOOKUP(Table2[[#This Row],[Xlookup Region ID]],GEONames[GEOID],GEONames[GEO Name])</f>
        <v>NAM</v>
      </c>
      <c r="H662" s="2" t="str">
        <f>"Q"&amp;ROUNDUP(MONTH(Table2[[#This Row],[Date]])/3,0)&amp;" "&amp;YEAR(Table2[[#This Row],[Date]])</f>
        <v>Q1 2024</v>
      </c>
      <c r="I662" s="2" t="str">
        <f>VLOOKUP(Table2[[#This Row],[Date]],Table7[],3)</f>
        <v>Q1 2024</v>
      </c>
    </row>
    <row r="663" spans="1:9" x14ac:dyDescent="0.25">
      <c r="A663" s="3" t="s">
        <v>45</v>
      </c>
      <c r="B663" s="3">
        <v>45382</v>
      </c>
      <c r="C663" s="6">
        <v>1628</v>
      </c>
      <c r="D663" s="2">
        <f>LEN(Table2[[#This Row],[CLID]])</f>
        <v>7</v>
      </c>
      <c r="E663" s="2" t="str">
        <f>_xlfn.XLOOKUP('Volume Data'!A:A,'Geo Data'!D:D,'Geo Data'!B:B)</f>
        <v>GEO1001</v>
      </c>
      <c r="F663" s="2" t="str">
        <f>INDEX(GeoByClient[GEOID],MATCH(Table2[[#This Row],[CLID]],GeoByClient[Right],0))</f>
        <v>GEO1001</v>
      </c>
      <c r="G663" s="2" t="str">
        <f>_xlfn.XLOOKUP(Table2[[#This Row],[Xlookup Region ID]],GEONames[GEOID],GEONames[GEO Name])</f>
        <v>NAM</v>
      </c>
      <c r="H663" s="2" t="str">
        <f>"Q"&amp;ROUNDUP(MONTH(Table2[[#This Row],[Date]])/3,0)&amp;" "&amp;YEAR(Table2[[#This Row],[Date]])</f>
        <v>Q1 2024</v>
      </c>
      <c r="I663" s="2" t="str">
        <f>VLOOKUP(Table2[[#This Row],[Date]],Table7[],3)</f>
        <v>Q1 2024</v>
      </c>
    </row>
    <row r="664" spans="1:9" x14ac:dyDescent="0.25">
      <c r="A664" s="3" t="s">
        <v>45</v>
      </c>
      <c r="B664" s="3">
        <v>45412</v>
      </c>
      <c r="C664" s="6">
        <v>2137</v>
      </c>
      <c r="D664" s="2">
        <f>LEN(Table2[[#This Row],[CLID]])</f>
        <v>7</v>
      </c>
      <c r="E664" s="2" t="str">
        <f>_xlfn.XLOOKUP('Volume Data'!A:A,'Geo Data'!D:D,'Geo Data'!B:B)</f>
        <v>GEO1001</v>
      </c>
      <c r="F664" s="2" t="str">
        <f>INDEX(GeoByClient[GEOID],MATCH(Table2[[#This Row],[CLID]],GeoByClient[Right],0))</f>
        <v>GEO1001</v>
      </c>
      <c r="G664" s="2" t="str">
        <f>_xlfn.XLOOKUP(Table2[[#This Row],[Xlookup Region ID]],GEONames[GEOID],GEONames[GEO Name])</f>
        <v>NAM</v>
      </c>
      <c r="H664" s="2" t="str">
        <f>"Q"&amp;ROUNDUP(MONTH(Table2[[#This Row],[Date]])/3,0)&amp;" "&amp;YEAR(Table2[[#This Row],[Date]])</f>
        <v>Q2 2024</v>
      </c>
      <c r="I664" s="2" t="str">
        <f>VLOOKUP(Table2[[#This Row],[Date]],Table7[],3)</f>
        <v>Q2 2024</v>
      </c>
    </row>
    <row r="665" spans="1:9" x14ac:dyDescent="0.25">
      <c r="A665" s="3" t="s">
        <v>45</v>
      </c>
      <c r="B665" s="3">
        <v>45443</v>
      </c>
      <c r="C665" s="6">
        <v>1795</v>
      </c>
      <c r="D665" s="2">
        <f>LEN(Table2[[#This Row],[CLID]])</f>
        <v>7</v>
      </c>
      <c r="E665" s="2" t="str">
        <f>_xlfn.XLOOKUP('Volume Data'!A:A,'Geo Data'!D:D,'Geo Data'!B:B)</f>
        <v>GEO1001</v>
      </c>
      <c r="F665" s="2" t="str">
        <f>INDEX(GeoByClient[GEOID],MATCH(Table2[[#This Row],[CLID]],GeoByClient[Right],0))</f>
        <v>GEO1001</v>
      </c>
      <c r="G665" s="2" t="str">
        <f>_xlfn.XLOOKUP(Table2[[#This Row],[Xlookup Region ID]],GEONames[GEOID],GEONames[GEO Name])</f>
        <v>NAM</v>
      </c>
      <c r="H665" s="2" t="str">
        <f>"Q"&amp;ROUNDUP(MONTH(Table2[[#This Row],[Date]])/3,0)&amp;" "&amp;YEAR(Table2[[#This Row],[Date]])</f>
        <v>Q2 2024</v>
      </c>
      <c r="I665" s="2" t="str">
        <f>VLOOKUP(Table2[[#This Row],[Date]],Table7[],3)</f>
        <v>Q2 2024</v>
      </c>
    </row>
    <row r="666" spans="1:9" x14ac:dyDescent="0.25">
      <c r="A666" s="3" t="s">
        <v>45</v>
      </c>
      <c r="B666" s="3">
        <v>45473</v>
      </c>
      <c r="C666" s="6">
        <v>1456</v>
      </c>
      <c r="D666" s="2">
        <f>LEN(Table2[[#This Row],[CLID]])</f>
        <v>7</v>
      </c>
      <c r="E666" s="2" t="str">
        <f>_xlfn.XLOOKUP('Volume Data'!A:A,'Geo Data'!D:D,'Geo Data'!B:B)</f>
        <v>GEO1001</v>
      </c>
      <c r="F666" s="2" t="str">
        <f>INDEX(GeoByClient[GEOID],MATCH(Table2[[#This Row],[CLID]],GeoByClient[Right],0))</f>
        <v>GEO1001</v>
      </c>
      <c r="G666" s="2" t="str">
        <f>_xlfn.XLOOKUP(Table2[[#This Row],[Xlookup Region ID]],GEONames[GEOID],GEONames[GEO Name])</f>
        <v>NAM</v>
      </c>
      <c r="H666" s="2" t="str">
        <f>"Q"&amp;ROUNDUP(MONTH(Table2[[#This Row],[Date]])/3,0)&amp;" "&amp;YEAR(Table2[[#This Row],[Date]])</f>
        <v>Q2 2024</v>
      </c>
      <c r="I666" s="2" t="str">
        <f>VLOOKUP(Table2[[#This Row],[Date]],Table7[],3)</f>
        <v>Q2 2024</v>
      </c>
    </row>
    <row r="667" spans="1:9" x14ac:dyDescent="0.25">
      <c r="A667" s="3" t="s">
        <v>45</v>
      </c>
      <c r="B667" s="3">
        <v>45504</v>
      </c>
      <c r="C667" s="6">
        <v>1112</v>
      </c>
      <c r="D667" s="2">
        <f>LEN(Table2[[#This Row],[CLID]])</f>
        <v>7</v>
      </c>
      <c r="E667" s="2" t="str">
        <f>_xlfn.XLOOKUP('Volume Data'!A:A,'Geo Data'!D:D,'Geo Data'!B:B)</f>
        <v>GEO1001</v>
      </c>
      <c r="F667" s="2" t="str">
        <f>INDEX(GeoByClient[GEOID],MATCH(Table2[[#This Row],[CLID]],GeoByClient[Right],0))</f>
        <v>GEO1001</v>
      </c>
      <c r="G667" s="2" t="str">
        <f>_xlfn.XLOOKUP(Table2[[#This Row],[Xlookup Region ID]],GEONames[GEOID],GEONames[GEO Name])</f>
        <v>NAM</v>
      </c>
      <c r="H667" s="2" t="str">
        <f>"Q"&amp;ROUNDUP(MONTH(Table2[[#This Row],[Date]])/3,0)&amp;" "&amp;YEAR(Table2[[#This Row],[Date]])</f>
        <v>Q3 2024</v>
      </c>
      <c r="I667" s="2" t="str">
        <f>VLOOKUP(Table2[[#This Row],[Date]],Table7[],3)</f>
        <v>Q3 2024</v>
      </c>
    </row>
    <row r="668" spans="1:9" x14ac:dyDescent="0.25">
      <c r="A668" s="3" t="s">
        <v>45</v>
      </c>
      <c r="B668" s="3">
        <v>45535</v>
      </c>
      <c r="C668" s="6">
        <v>1116</v>
      </c>
      <c r="D668" s="2">
        <f>LEN(Table2[[#This Row],[CLID]])</f>
        <v>7</v>
      </c>
      <c r="E668" s="2" t="str">
        <f>_xlfn.XLOOKUP('Volume Data'!A:A,'Geo Data'!D:D,'Geo Data'!B:B)</f>
        <v>GEO1001</v>
      </c>
      <c r="F668" s="2" t="str">
        <f>INDEX(GeoByClient[GEOID],MATCH(Table2[[#This Row],[CLID]],GeoByClient[Right],0))</f>
        <v>GEO1001</v>
      </c>
      <c r="G668" s="2" t="str">
        <f>_xlfn.XLOOKUP(Table2[[#This Row],[Xlookup Region ID]],GEONames[GEOID],GEONames[GEO Name])</f>
        <v>NAM</v>
      </c>
      <c r="H668" s="2" t="str">
        <f>"Q"&amp;ROUNDUP(MONTH(Table2[[#This Row],[Date]])/3,0)&amp;" "&amp;YEAR(Table2[[#This Row],[Date]])</f>
        <v>Q3 2024</v>
      </c>
      <c r="I668" s="2" t="str">
        <f>VLOOKUP(Table2[[#This Row],[Date]],Table7[],3)</f>
        <v>Q3 2024</v>
      </c>
    </row>
    <row r="669" spans="1:9" x14ac:dyDescent="0.25">
      <c r="A669" s="3" t="s">
        <v>45</v>
      </c>
      <c r="B669" s="3">
        <v>45565</v>
      </c>
      <c r="C669" s="6">
        <v>939</v>
      </c>
      <c r="D669" s="2">
        <f>LEN(Table2[[#This Row],[CLID]])</f>
        <v>7</v>
      </c>
      <c r="E669" s="2" t="str">
        <f>_xlfn.XLOOKUP('Volume Data'!A:A,'Geo Data'!D:D,'Geo Data'!B:B)</f>
        <v>GEO1001</v>
      </c>
      <c r="F669" s="2" t="str">
        <f>INDEX(GeoByClient[GEOID],MATCH(Table2[[#This Row],[CLID]],GeoByClient[Right],0))</f>
        <v>GEO1001</v>
      </c>
      <c r="G669" s="2" t="str">
        <f>_xlfn.XLOOKUP(Table2[[#This Row],[Xlookup Region ID]],GEONames[GEOID],GEONames[GEO Name])</f>
        <v>NAM</v>
      </c>
      <c r="H669" s="2" t="str">
        <f>"Q"&amp;ROUNDUP(MONTH(Table2[[#This Row],[Date]])/3,0)&amp;" "&amp;YEAR(Table2[[#This Row],[Date]])</f>
        <v>Q3 2024</v>
      </c>
      <c r="I669" s="2" t="str">
        <f>VLOOKUP(Table2[[#This Row],[Date]],Table7[],3)</f>
        <v>Q3 2024</v>
      </c>
    </row>
    <row r="670" spans="1:9" x14ac:dyDescent="0.25">
      <c r="A670" s="3" t="s">
        <v>45</v>
      </c>
      <c r="B670" s="3">
        <v>45596</v>
      </c>
      <c r="C670" s="6">
        <v>1282</v>
      </c>
      <c r="D670" s="2">
        <f>LEN(Table2[[#This Row],[CLID]])</f>
        <v>7</v>
      </c>
      <c r="E670" s="2" t="str">
        <f>_xlfn.XLOOKUP('Volume Data'!A:A,'Geo Data'!D:D,'Geo Data'!B:B)</f>
        <v>GEO1001</v>
      </c>
      <c r="F670" s="2" t="str">
        <f>INDEX(GeoByClient[GEOID],MATCH(Table2[[#This Row],[CLID]],GeoByClient[Right],0))</f>
        <v>GEO1001</v>
      </c>
      <c r="G670" s="2" t="str">
        <f>_xlfn.XLOOKUP(Table2[[#This Row],[Xlookup Region ID]],GEONames[GEOID],GEONames[GEO Name])</f>
        <v>NAM</v>
      </c>
      <c r="H670" s="2" t="str">
        <f>"Q"&amp;ROUNDUP(MONTH(Table2[[#This Row],[Date]])/3,0)&amp;" "&amp;YEAR(Table2[[#This Row],[Date]])</f>
        <v>Q4 2024</v>
      </c>
      <c r="I670" s="2" t="str">
        <f>VLOOKUP(Table2[[#This Row],[Date]],Table7[],3)</f>
        <v>Q4 2024</v>
      </c>
    </row>
    <row r="671" spans="1:9" x14ac:dyDescent="0.25">
      <c r="A671" s="3" t="s">
        <v>45</v>
      </c>
      <c r="B671" s="3">
        <v>45626</v>
      </c>
      <c r="C671" s="6">
        <v>1285</v>
      </c>
      <c r="D671" s="2">
        <f>LEN(Table2[[#This Row],[CLID]])</f>
        <v>7</v>
      </c>
      <c r="E671" s="2" t="str">
        <f>_xlfn.XLOOKUP('Volume Data'!A:A,'Geo Data'!D:D,'Geo Data'!B:B)</f>
        <v>GEO1001</v>
      </c>
      <c r="F671" s="2" t="str">
        <f>INDEX(GeoByClient[GEOID],MATCH(Table2[[#This Row],[CLID]],GeoByClient[Right],0))</f>
        <v>GEO1001</v>
      </c>
      <c r="G671" s="2" t="str">
        <f>_xlfn.XLOOKUP(Table2[[#This Row],[Xlookup Region ID]],GEONames[GEOID],GEONames[GEO Name])</f>
        <v>NAM</v>
      </c>
      <c r="H671" s="2" t="str">
        <f>"Q"&amp;ROUNDUP(MONTH(Table2[[#This Row],[Date]])/3,0)&amp;" "&amp;YEAR(Table2[[#This Row],[Date]])</f>
        <v>Q4 2024</v>
      </c>
      <c r="I671" s="2" t="str">
        <f>VLOOKUP(Table2[[#This Row],[Date]],Table7[],3)</f>
        <v>Q4 2024</v>
      </c>
    </row>
    <row r="672" spans="1:9" x14ac:dyDescent="0.25">
      <c r="A672" s="3" t="s">
        <v>45</v>
      </c>
      <c r="B672" s="3">
        <v>45657</v>
      </c>
      <c r="C672" s="6">
        <v>1452</v>
      </c>
      <c r="D672" s="2">
        <f>LEN(Table2[[#This Row],[CLID]])</f>
        <v>7</v>
      </c>
      <c r="E672" s="2" t="str">
        <f>_xlfn.XLOOKUP('Volume Data'!A:A,'Geo Data'!D:D,'Geo Data'!B:B)</f>
        <v>GEO1001</v>
      </c>
      <c r="F672" s="2" t="str">
        <f>INDEX(GeoByClient[GEOID],MATCH(Table2[[#This Row],[CLID]],GeoByClient[Right],0))</f>
        <v>GEO1001</v>
      </c>
      <c r="G672" s="2" t="str">
        <f>_xlfn.XLOOKUP(Table2[[#This Row],[Xlookup Region ID]],GEONames[GEOID],GEONames[GEO Name])</f>
        <v>NAM</v>
      </c>
      <c r="H672" s="2" t="str">
        <f>"Q"&amp;ROUNDUP(MONTH(Table2[[#This Row],[Date]])/3,0)&amp;" "&amp;YEAR(Table2[[#This Row],[Date]])</f>
        <v>Q4 2024</v>
      </c>
      <c r="I672" s="2" t="str">
        <f>VLOOKUP(Table2[[#This Row],[Date]],Table7[],3)</f>
        <v>Q4 2024</v>
      </c>
    </row>
    <row r="673" spans="1:9" x14ac:dyDescent="0.25">
      <c r="A673" s="3" t="s">
        <v>45</v>
      </c>
      <c r="B673" s="3">
        <v>45838</v>
      </c>
      <c r="C673" s="6">
        <v>1480</v>
      </c>
      <c r="D673" s="2">
        <f>LEN(Table2[[#This Row],[CLID]])</f>
        <v>7</v>
      </c>
      <c r="E673" s="2" t="str">
        <f>_xlfn.XLOOKUP('Volume Data'!A:A,'Geo Data'!D:D,'Geo Data'!B:B)</f>
        <v>GEO1001</v>
      </c>
      <c r="F673" s="2" t="str">
        <f>INDEX(GeoByClient[GEOID],MATCH(Table2[[#This Row],[CLID]],GeoByClient[Right],0))</f>
        <v>GEO1001</v>
      </c>
      <c r="G673" s="2" t="str">
        <f>_xlfn.XLOOKUP(Table2[[#This Row],[Xlookup Region ID]],GEONames[GEOID],GEONames[GEO Name])</f>
        <v>NAM</v>
      </c>
      <c r="H673" s="2" t="str">
        <f>"Q"&amp;ROUNDUP(MONTH(Table2[[#This Row],[Date]])/3,0)&amp;" "&amp;YEAR(Table2[[#This Row],[Date]])</f>
        <v>Q2 2025</v>
      </c>
      <c r="I673" s="2" t="str">
        <f>VLOOKUP(Table2[[#This Row],[Date]],Table7[],3)</f>
        <v>Q2 2025</v>
      </c>
    </row>
    <row r="674" spans="1:9" x14ac:dyDescent="0.25">
      <c r="A674" s="3" t="s">
        <v>45</v>
      </c>
      <c r="B674" s="3">
        <v>45808</v>
      </c>
      <c r="C674" s="6">
        <v>1869</v>
      </c>
      <c r="D674" s="2">
        <f>LEN(Table2[[#This Row],[CLID]])</f>
        <v>7</v>
      </c>
      <c r="E674" s="2" t="str">
        <f>_xlfn.XLOOKUP('Volume Data'!A:A,'Geo Data'!D:D,'Geo Data'!B:B)</f>
        <v>GEO1001</v>
      </c>
      <c r="F674" s="2" t="str">
        <f>INDEX(GeoByClient[GEOID],MATCH(Table2[[#This Row],[CLID]],GeoByClient[Right],0))</f>
        <v>GEO1001</v>
      </c>
      <c r="G674" s="2" t="str">
        <f>_xlfn.XLOOKUP(Table2[[#This Row],[Xlookup Region ID]],GEONames[GEOID],GEONames[GEO Name])</f>
        <v>NAM</v>
      </c>
      <c r="H674" s="2" t="str">
        <f>"Q"&amp;ROUNDUP(MONTH(Table2[[#This Row],[Date]])/3,0)&amp;" "&amp;YEAR(Table2[[#This Row],[Date]])</f>
        <v>Q2 2025</v>
      </c>
      <c r="I674" s="2" t="str">
        <f>VLOOKUP(Table2[[#This Row],[Date]],Table7[],3)</f>
        <v>Q2 2025</v>
      </c>
    </row>
    <row r="675" spans="1:9" x14ac:dyDescent="0.25">
      <c r="A675" s="3" t="s">
        <v>45</v>
      </c>
      <c r="B675" s="3">
        <v>45777</v>
      </c>
      <c r="C675" s="6">
        <v>2242</v>
      </c>
      <c r="D675" s="2">
        <f>LEN(Table2[[#This Row],[CLID]])</f>
        <v>7</v>
      </c>
      <c r="E675" s="2" t="str">
        <f>_xlfn.XLOOKUP('Volume Data'!A:A,'Geo Data'!D:D,'Geo Data'!B:B)</f>
        <v>GEO1001</v>
      </c>
      <c r="F675" s="2" t="str">
        <f>INDEX(GeoByClient[GEOID],MATCH(Table2[[#This Row],[CLID]],GeoByClient[Right],0))</f>
        <v>GEO1001</v>
      </c>
      <c r="G675" s="2" t="str">
        <f>_xlfn.XLOOKUP(Table2[[#This Row],[Xlookup Region ID]],GEONames[GEOID],GEONames[GEO Name])</f>
        <v>NAM</v>
      </c>
      <c r="H675" s="2" t="str">
        <f>"Q"&amp;ROUNDUP(MONTH(Table2[[#This Row],[Date]])/3,0)&amp;" "&amp;YEAR(Table2[[#This Row],[Date]])</f>
        <v>Q2 2025</v>
      </c>
      <c r="I675" s="2" t="str">
        <f>VLOOKUP(Table2[[#This Row],[Date]],Table7[],3)</f>
        <v>Q2 2025</v>
      </c>
    </row>
    <row r="676" spans="1:9" x14ac:dyDescent="0.25">
      <c r="A676" s="3" t="s">
        <v>45</v>
      </c>
      <c r="B676" s="3">
        <v>45747</v>
      </c>
      <c r="C676" s="6">
        <v>1655</v>
      </c>
      <c r="D676" s="2">
        <f>LEN(Table2[[#This Row],[CLID]])</f>
        <v>7</v>
      </c>
      <c r="E676" s="2" t="str">
        <f>_xlfn.XLOOKUP('Volume Data'!A:A,'Geo Data'!D:D,'Geo Data'!B:B)</f>
        <v>GEO1001</v>
      </c>
      <c r="F676" s="2" t="str">
        <f>INDEX(GeoByClient[GEOID],MATCH(Table2[[#This Row],[CLID]],GeoByClient[Right],0))</f>
        <v>GEO1001</v>
      </c>
      <c r="G676" s="2" t="str">
        <f>_xlfn.XLOOKUP(Table2[[#This Row],[Xlookup Region ID]],GEONames[GEOID],GEONames[GEO Name])</f>
        <v>NAM</v>
      </c>
      <c r="H676" s="2" t="str">
        <f>"Q"&amp;ROUNDUP(MONTH(Table2[[#This Row],[Date]])/3,0)&amp;" "&amp;YEAR(Table2[[#This Row],[Date]])</f>
        <v>Q1 2025</v>
      </c>
      <c r="I676" s="2" t="str">
        <f>VLOOKUP(Table2[[#This Row],[Date]],Table7[],3)</f>
        <v>Q4 2024</v>
      </c>
    </row>
    <row r="677" spans="1:9" x14ac:dyDescent="0.25">
      <c r="A677" s="3" t="s">
        <v>45</v>
      </c>
      <c r="B677" s="3">
        <v>45716</v>
      </c>
      <c r="C677" s="6">
        <v>1693</v>
      </c>
      <c r="D677" s="2">
        <f>LEN(Table2[[#This Row],[CLID]])</f>
        <v>7</v>
      </c>
      <c r="E677" s="2" t="str">
        <f>_xlfn.XLOOKUP('Volume Data'!A:A,'Geo Data'!D:D,'Geo Data'!B:B)</f>
        <v>GEO1001</v>
      </c>
      <c r="F677" s="2" t="str">
        <f>INDEX(GeoByClient[GEOID],MATCH(Table2[[#This Row],[CLID]],GeoByClient[Right],0))</f>
        <v>GEO1001</v>
      </c>
      <c r="G677" s="2" t="str">
        <f>_xlfn.XLOOKUP(Table2[[#This Row],[Xlookup Region ID]],GEONames[GEOID],GEONames[GEO Name])</f>
        <v>NAM</v>
      </c>
      <c r="H677" s="2" t="str">
        <f>"Q"&amp;ROUNDUP(MONTH(Table2[[#This Row],[Date]])/3,0)&amp;" "&amp;YEAR(Table2[[#This Row],[Date]])</f>
        <v>Q1 2025</v>
      </c>
      <c r="I677" s="2" t="str">
        <f>VLOOKUP(Table2[[#This Row],[Date]],Table7[],3)</f>
        <v>Q4 2024</v>
      </c>
    </row>
    <row r="678" spans="1:9" x14ac:dyDescent="0.25">
      <c r="A678" s="3" t="s">
        <v>45</v>
      </c>
      <c r="B678" s="3">
        <v>45688</v>
      </c>
      <c r="C678" s="6">
        <v>1275</v>
      </c>
      <c r="D678" s="2">
        <f>LEN(Table2[[#This Row],[CLID]])</f>
        <v>7</v>
      </c>
      <c r="E678" s="2" t="str">
        <f>_xlfn.XLOOKUP('Volume Data'!A:A,'Geo Data'!D:D,'Geo Data'!B:B)</f>
        <v>GEO1001</v>
      </c>
      <c r="F678" s="2" t="str">
        <f>INDEX(GeoByClient[GEOID],MATCH(Table2[[#This Row],[CLID]],GeoByClient[Right],0))</f>
        <v>GEO1001</v>
      </c>
      <c r="G678" s="2" t="str">
        <f>_xlfn.XLOOKUP(Table2[[#This Row],[Xlookup Region ID]],GEONames[GEOID],GEONames[GEO Name])</f>
        <v>NAM</v>
      </c>
      <c r="H678" s="2" t="str">
        <f>"Q"&amp;ROUNDUP(MONTH(Table2[[#This Row],[Date]])/3,0)&amp;" "&amp;YEAR(Table2[[#This Row],[Date]])</f>
        <v>Q1 2025</v>
      </c>
      <c r="I678" s="2" t="str">
        <f>VLOOKUP(Table2[[#This Row],[Date]],Table7[],3)</f>
        <v>Q4 2024</v>
      </c>
    </row>
    <row r="679" spans="1:9" x14ac:dyDescent="0.25">
      <c r="A679" s="3" t="s">
        <v>42</v>
      </c>
      <c r="B679" s="3">
        <v>45322</v>
      </c>
      <c r="C679" s="6">
        <v>1207</v>
      </c>
      <c r="D679" s="2">
        <f>LEN(Table2[[#This Row],[CLID]])</f>
        <v>7</v>
      </c>
      <c r="E679" s="2" t="str">
        <f>_xlfn.XLOOKUP('Volume Data'!A:A,'Geo Data'!D:D,'Geo Data'!B:B)</f>
        <v>GEO1002</v>
      </c>
      <c r="F679" s="2" t="str">
        <f>INDEX(GeoByClient[GEOID],MATCH(Table2[[#This Row],[CLID]],GeoByClient[Right],0))</f>
        <v>GEO1002</v>
      </c>
      <c r="G679" s="2" t="str">
        <f>_xlfn.XLOOKUP(Table2[[#This Row],[Xlookup Region ID]],GEONames[GEOID],GEONames[GEO Name])</f>
        <v>APAC</v>
      </c>
      <c r="H679" s="2" t="str">
        <f>"Q"&amp;ROUNDUP(MONTH(Table2[[#This Row],[Date]])/3,0)&amp;" "&amp;YEAR(Table2[[#This Row],[Date]])</f>
        <v>Q1 2024</v>
      </c>
      <c r="I679" s="2" t="str">
        <f>VLOOKUP(Table2[[#This Row],[Date]],Table7[],3)</f>
        <v>Q1 2024</v>
      </c>
    </row>
    <row r="680" spans="1:9" x14ac:dyDescent="0.25">
      <c r="A680" s="3" t="s">
        <v>42</v>
      </c>
      <c r="B680" s="3">
        <v>45351</v>
      </c>
      <c r="C680" s="6">
        <v>1530</v>
      </c>
      <c r="D680" s="2">
        <f>LEN(Table2[[#This Row],[CLID]])</f>
        <v>7</v>
      </c>
      <c r="E680" s="2" t="str">
        <f>_xlfn.XLOOKUP('Volume Data'!A:A,'Geo Data'!D:D,'Geo Data'!B:B)</f>
        <v>GEO1002</v>
      </c>
      <c r="F680" s="2" t="str">
        <f>INDEX(GeoByClient[GEOID],MATCH(Table2[[#This Row],[CLID]],GeoByClient[Right],0))</f>
        <v>GEO1002</v>
      </c>
      <c r="G680" s="2" t="str">
        <f>_xlfn.XLOOKUP(Table2[[#This Row],[Xlookup Region ID]],GEONames[GEOID],GEONames[GEO Name])</f>
        <v>APAC</v>
      </c>
      <c r="H680" s="2" t="str">
        <f>"Q"&amp;ROUNDUP(MONTH(Table2[[#This Row],[Date]])/3,0)&amp;" "&amp;YEAR(Table2[[#This Row],[Date]])</f>
        <v>Q1 2024</v>
      </c>
      <c r="I680" s="2" t="str">
        <f>VLOOKUP(Table2[[#This Row],[Date]],Table7[],3)</f>
        <v>Q1 2024</v>
      </c>
    </row>
    <row r="681" spans="1:9" x14ac:dyDescent="0.25">
      <c r="A681" s="3" t="s">
        <v>42</v>
      </c>
      <c r="B681" s="3">
        <v>45382</v>
      </c>
      <c r="C681" s="6">
        <v>1532</v>
      </c>
      <c r="D681" s="2">
        <f>LEN(Table2[[#This Row],[CLID]])</f>
        <v>7</v>
      </c>
      <c r="E681" s="2" t="str">
        <f>_xlfn.XLOOKUP('Volume Data'!A:A,'Geo Data'!D:D,'Geo Data'!B:B)</f>
        <v>GEO1002</v>
      </c>
      <c r="F681" s="2" t="str">
        <f>INDEX(GeoByClient[GEOID],MATCH(Table2[[#This Row],[CLID]],GeoByClient[Right],0))</f>
        <v>GEO1002</v>
      </c>
      <c r="G681" s="2" t="str">
        <f>_xlfn.XLOOKUP(Table2[[#This Row],[Xlookup Region ID]],GEONames[GEOID],GEONames[GEO Name])</f>
        <v>APAC</v>
      </c>
      <c r="H681" s="2" t="str">
        <f>"Q"&amp;ROUNDUP(MONTH(Table2[[#This Row],[Date]])/3,0)&amp;" "&amp;YEAR(Table2[[#This Row],[Date]])</f>
        <v>Q1 2024</v>
      </c>
      <c r="I681" s="2" t="str">
        <f>VLOOKUP(Table2[[#This Row],[Date]],Table7[],3)</f>
        <v>Q1 2024</v>
      </c>
    </row>
    <row r="682" spans="1:9" x14ac:dyDescent="0.25">
      <c r="A682" s="3" t="s">
        <v>42</v>
      </c>
      <c r="B682" s="3">
        <v>45412</v>
      </c>
      <c r="C682" s="6">
        <v>2014</v>
      </c>
      <c r="D682" s="2">
        <f>LEN(Table2[[#This Row],[CLID]])</f>
        <v>7</v>
      </c>
      <c r="E682" s="2" t="str">
        <f>_xlfn.XLOOKUP('Volume Data'!A:A,'Geo Data'!D:D,'Geo Data'!B:B)</f>
        <v>GEO1002</v>
      </c>
      <c r="F682" s="2" t="str">
        <f>INDEX(GeoByClient[GEOID],MATCH(Table2[[#This Row],[CLID]],GeoByClient[Right],0))</f>
        <v>GEO1002</v>
      </c>
      <c r="G682" s="2" t="str">
        <f>_xlfn.XLOOKUP(Table2[[#This Row],[Xlookup Region ID]],GEONames[GEOID],GEONames[GEO Name])</f>
        <v>APAC</v>
      </c>
      <c r="H682" s="2" t="str">
        <f>"Q"&amp;ROUNDUP(MONTH(Table2[[#This Row],[Date]])/3,0)&amp;" "&amp;YEAR(Table2[[#This Row],[Date]])</f>
        <v>Q2 2024</v>
      </c>
      <c r="I682" s="2" t="str">
        <f>VLOOKUP(Table2[[#This Row],[Date]],Table7[],3)</f>
        <v>Q2 2024</v>
      </c>
    </row>
    <row r="683" spans="1:9" x14ac:dyDescent="0.25">
      <c r="A683" s="3" t="s">
        <v>42</v>
      </c>
      <c r="B683" s="3">
        <v>45443</v>
      </c>
      <c r="C683" s="6">
        <v>1688</v>
      </c>
      <c r="D683" s="2">
        <f>LEN(Table2[[#This Row],[CLID]])</f>
        <v>7</v>
      </c>
      <c r="E683" s="2" t="str">
        <f>_xlfn.XLOOKUP('Volume Data'!A:A,'Geo Data'!D:D,'Geo Data'!B:B)</f>
        <v>GEO1002</v>
      </c>
      <c r="F683" s="2" t="str">
        <f>INDEX(GeoByClient[GEOID],MATCH(Table2[[#This Row],[CLID]],GeoByClient[Right],0))</f>
        <v>GEO1002</v>
      </c>
      <c r="G683" s="2" t="str">
        <f>_xlfn.XLOOKUP(Table2[[#This Row],[Xlookup Region ID]],GEONames[GEOID],GEONames[GEO Name])</f>
        <v>APAC</v>
      </c>
      <c r="H683" s="2" t="str">
        <f>"Q"&amp;ROUNDUP(MONTH(Table2[[#This Row],[Date]])/3,0)&amp;" "&amp;YEAR(Table2[[#This Row],[Date]])</f>
        <v>Q2 2024</v>
      </c>
      <c r="I683" s="2" t="str">
        <f>VLOOKUP(Table2[[#This Row],[Date]],Table7[],3)</f>
        <v>Q2 2024</v>
      </c>
    </row>
    <row r="684" spans="1:9" x14ac:dyDescent="0.25">
      <c r="A684" s="3" t="s">
        <v>42</v>
      </c>
      <c r="B684" s="3">
        <v>45473</v>
      </c>
      <c r="C684" s="6">
        <v>1368</v>
      </c>
      <c r="D684" s="2">
        <f>LEN(Table2[[#This Row],[CLID]])</f>
        <v>7</v>
      </c>
      <c r="E684" s="2" t="str">
        <f>_xlfn.XLOOKUP('Volume Data'!A:A,'Geo Data'!D:D,'Geo Data'!B:B)</f>
        <v>GEO1002</v>
      </c>
      <c r="F684" s="2" t="str">
        <f>INDEX(GeoByClient[GEOID],MATCH(Table2[[#This Row],[CLID]],GeoByClient[Right],0))</f>
        <v>GEO1002</v>
      </c>
      <c r="G684" s="2" t="str">
        <f>_xlfn.XLOOKUP(Table2[[#This Row],[Xlookup Region ID]],GEONames[GEOID],GEONames[GEO Name])</f>
        <v>APAC</v>
      </c>
      <c r="H684" s="2" t="str">
        <f>"Q"&amp;ROUNDUP(MONTH(Table2[[#This Row],[Date]])/3,0)&amp;" "&amp;YEAR(Table2[[#This Row],[Date]])</f>
        <v>Q2 2024</v>
      </c>
      <c r="I684" s="2" t="str">
        <f>VLOOKUP(Table2[[#This Row],[Date]],Table7[],3)</f>
        <v>Q2 2024</v>
      </c>
    </row>
    <row r="685" spans="1:9" x14ac:dyDescent="0.25">
      <c r="A685" s="3" t="s">
        <v>42</v>
      </c>
      <c r="B685" s="3">
        <v>45504</v>
      </c>
      <c r="C685" s="6">
        <v>1047</v>
      </c>
      <c r="D685" s="2">
        <f>LEN(Table2[[#This Row],[CLID]])</f>
        <v>7</v>
      </c>
      <c r="E685" s="2" t="str">
        <f>_xlfn.XLOOKUP('Volume Data'!A:A,'Geo Data'!D:D,'Geo Data'!B:B)</f>
        <v>GEO1002</v>
      </c>
      <c r="F685" s="2" t="str">
        <f>INDEX(GeoByClient[GEOID],MATCH(Table2[[#This Row],[CLID]],GeoByClient[Right],0))</f>
        <v>GEO1002</v>
      </c>
      <c r="G685" s="2" t="str">
        <f>_xlfn.XLOOKUP(Table2[[#This Row],[Xlookup Region ID]],GEONames[GEOID],GEONames[GEO Name])</f>
        <v>APAC</v>
      </c>
      <c r="H685" s="2" t="str">
        <f>"Q"&amp;ROUNDUP(MONTH(Table2[[#This Row],[Date]])/3,0)&amp;" "&amp;YEAR(Table2[[#This Row],[Date]])</f>
        <v>Q3 2024</v>
      </c>
      <c r="I685" s="2" t="str">
        <f>VLOOKUP(Table2[[#This Row],[Date]],Table7[],3)</f>
        <v>Q3 2024</v>
      </c>
    </row>
    <row r="686" spans="1:9" x14ac:dyDescent="0.25">
      <c r="A686" s="3" t="s">
        <v>42</v>
      </c>
      <c r="B686" s="3">
        <v>45535</v>
      </c>
      <c r="C686" s="6">
        <v>1050</v>
      </c>
      <c r="D686" s="2">
        <f>LEN(Table2[[#This Row],[CLID]])</f>
        <v>7</v>
      </c>
      <c r="E686" s="2" t="str">
        <f>_xlfn.XLOOKUP('Volume Data'!A:A,'Geo Data'!D:D,'Geo Data'!B:B)</f>
        <v>GEO1002</v>
      </c>
      <c r="F686" s="2" t="str">
        <f>INDEX(GeoByClient[GEOID],MATCH(Table2[[#This Row],[CLID]],GeoByClient[Right],0))</f>
        <v>GEO1002</v>
      </c>
      <c r="G686" s="2" t="str">
        <f>_xlfn.XLOOKUP(Table2[[#This Row],[Xlookup Region ID]],GEONames[GEOID],GEONames[GEO Name])</f>
        <v>APAC</v>
      </c>
      <c r="H686" s="2" t="str">
        <f>"Q"&amp;ROUNDUP(MONTH(Table2[[#This Row],[Date]])/3,0)&amp;" "&amp;YEAR(Table2[[#This Row],[Date]])</f>
        <v>Q3 2024</v>
      </c>
      <c r="I686" s="2" t="str">
        <f>VLOOKUP(Table2[[#This Row],[Date]],Table7[],3)</f>
        <v>Q3 2024</v>
      </c>
    </row>
    <row r="687" spans="1:9" x14ac:dyDescent="0.25">
      <c r="A687" s="3" t="s">
        <v>42</v>
      </c>
      <c r="B687" s="3">
        <v>45565</v>
      </c>
      <c r="C687" s="6">
        <v>890</v>
      </c>
      <c r="D687" s="2">
        <f>LEN(Table2[[#This Row],[CLID]])</f>
        <v>7</v>
      </c>
      <c r="E687" s="2" t="str">
        <f>_xlfn.XLOOKUP('Volume Data'!A:A,'Geo Data'!D:D,'Geo Data'!B:B)</f>
        <v>GEO1002</v>
      </c>
      <c r="F687" s="2" t="str">
        <f>INDEX(GeoByClient[GEOID],MATCH(Table2[[#This Row],[CLID]],GeoByClient[Right],0))</f>
        <v>GEO1002</v>
      </c>
      <c r="G687" s="2" t="str">
        <f>_xlfn.XLOOKUP(Table2[[#This Row],[Xlookup Region ID]],GEONames[GEOID],GEONames[GEO Name])</f>
        <v>APAC</v>
      </c>
      <c r="H687" s="2" t="str">
        <f>"Q"&amp;ROUNDUP(MONTH(Table2[[#This Row],[Date]])/3,0)&amp;" "&amp;YEAR(Table2[[#This Row],[Date]])</f>
        <v>Q3 2024</v>
      </c>
      <c r="I687" s="2" t="str">
        <f>VLOOKUP(Table2[[#This Row],[Date]],Table7[],3)</f>
        <v>Q3 2024</v>
      </c>
    </row>
    <row r="688" spans="1:9" x14ac:dyDescent="0.25">
      <c r="A688" s="3" t="s">
        <v>42</v>
      </c>
      <c r="B688" s="3">
        <v>45596</v>
      </c>
      <c r="C688" s="6">
        <v>1208</v>
      </c>
      <c r="D688" s="2">
        <f>LEN(Table2[[#This Row],[CLID]])</f>
        <v>7</v>
      </c>
      <c r="E688" s="2" t="str">
        <f>_xlfn.XLOOKUP('Volume Data'!A:A,'Geo Data'!D:D,'Geo Data'!B:B)</f>
        <v>GEO1002</v>
      </c>
      <c r="F688" s="2" t="str">
        <f>INDEX(GeoByClient[GEOID],MATCH(Table2[[#This Row],[CLID]],GeoByClient[Right],0))</f>
        <v>GEO1002</v>
      </c>
      <c r="G688" s="2" t="str">
        <f>_xlfn.XLOOKUP(Table2[[#This Row],[Xlookup Region ID]],GEONames[GEOID],GEONames[GEO Name])</f>
        <v>APAC</v>
      </c>
      <c r="H688" s="2" t="str">
        <f>"Q"&amp;ROUNDUP(MONTH(Table2[[#This Row],[Date]])/3,0)&amp;" "&amp;YEAR(Table2[[#This Row],[Date]])</f>
        <v>Q4 2024</v>
      </c>
      <c r="I688" s="2" t="str">
        <f>VLOOKUP(Table2[[#This Row],[Date]],Table7[],3)</f>
        <v>Q4 2024</v>
      </c>
    </row>
    <row r="689" spans="1:9" x14ac:dyDescent="0.25">
      <c r="A689" s="3" t="s">
        <v>42</v>
      </c>
      <c r="B689" s="3">
        <v>45626</v>
      </c>
      <c r="C689" s="6">
        <v>1205</v>
      </c>
      <c r="D689" s="2">
        <f>LEN(Table2[[#This Row],[CLID]])</f>
        <v>7</v>
      </c>
      <c r="E689" s="2" t="str">
        <f>_xlfn.XLOOKUP('Volume Data'!A:A,'Geo Data'!D:D,'Geo Data'!B:B)</f>
        <v>GEO1002</v>
      </c>
      <c r="F689" s="2" t="str">
        <f>INDEX(GeoByClient[GEOID],MATCH(Table2[[#This Row],[CLID]],GeoByClient[Right],0))</f>
        <v>GEO1002</v>
      </c>
      <c r="G689" s="2" t="str">
        <f>_xlfn.XLOOKUP(Table2[[#This Row],[Xlookup Region ID]],GEONames[GEOID],GEONames[GEO Name])</f>
        <v>APAC</v>
      </c>
      <c r="H689" s="2" t="str">
        <f>"Q"&amp;ROUNDUP(MONTH(Table2[[#This Row],[Date]])/3,0)&amp;" "&amp;YEAR(Table2[[#This Row],[Date]])</f>
        <v>Q4 2024</v>
      </c>
      <c r="I689" s="2" t="str">
        <f>VLOOKUP(Table2[[#This Row],[Date]],Table7[],3)</f>
        <v>Q4 2024</v>
      </c>
    </row>
    <row r="690" spans="1:9" x14ac:dyDescent="0.25">
      <c r="A690" s="3" t="s">
        <v>42</v>
      </c>
      <c r="B690" s="3">
        <v>45657</v>
      </c>
      <c r="C690" s="6">
        <v>1366</v>
      </c>
      <c r="D690" s="2">
        <f>LEN(Table2[[#This Row],[CLID]])</f>
        <v>7</v>
      </c>
      <c r="E690" s="2" t="str">
        <f>_xlfn.XLOOKUP('Volume Data'!A:A,'Geo Data'!D:D,'Geo Data'!B:B)</f>
        <v>GEO1002</v>
      </c>
      <c r="F690" s="2" t="str">
        <f>INDEX(GeoByClient[GEOID],MATCH(Table2[[#This Row],[CLID]],GeoByClient[Right],0))</f>
        <v>GEO1002</v>
      </c>
      <c r="G690" s="2" t="str">
        <f>_xlfn.XLOOKUP(Table2[[#This Row],[Xlookup Region ID]],GEONames[GEOID],GEONames[GEO Name])</f>
        <v>APAC</v>
      </c>
      <c r="H690" s="2" t="str">
        <f>"Q"&amp;ROUNDUP(MONTH(Table2[[#This Row],[Date]])/3,0)&amp;" "&amp;YEAR(Table2[[#This Row],[Date]])</f>
        <v>Q4 2024</v>
      </c>
      <c r="I690" s="2" t="str">
        <f>VLOOKUP(Table2[[#This Row],[Date]],Table7[],3)</f>
        <v>Q4 2024</v>
      </c>
    </row>
    <row r="691" spans="1:9" x14ac:dyDescent="0.25">
      <c r="A691" s="3" t="s">
        <v>42</v>
      </c>
      <c r="B691" s="3">
        <v>45838</v>
      </c>
      <c r="C691" s="6">
        <v>1397</v>
      </c>
      <c r="D691" s="2">
        <f>LEN(Table2[[#This Row],[CLID]])</f>
        <v>7</v>
      </c>
      <c r="E691" s="2" t="str">
        <f>_xlfn.XLOOKUP('Volume Data'!A:A,'Geo Data'!D:D,'Geo Data'!B:B)</f>
        <v>GEO1002</v>
      </c>
      <c r="F691" s="2" t="str">
        <f>INDEX(GeoByClient[GEOID],MATCH(Table2[[#This Row],[CLID]],GeoByClient[Right],0))</f>
        <v>GEO1002</v>
      </c>
      <c r="G691" s="2" t="str">
        <f>_xlfn.XLOOKUP(Table2[[#This Row],[Xlookup Region ID]],GEONames[GEOID],GEONames[GEO Name])</f>
        <v>APAC</v>
      </c>
      <c r="H691" s="2" t="str">
        <f>"Q"&amp;ROUNDUP(MONTH(Table2[[#This Row],[Date]])/3,0)&amp;" "&amp;YEAR(Table2[[#This Row],[Date]])</f>
        <v>Q2 2025</v>
      </c>
      <c r="I691" s="2" t="str">
        <f>VLOOKUP(Table2[[#This Row],[Date]],Table7[],3)</f>
        <v>Q2 2025</v>
      </c>
    </row>
    <row r="692" spans="1:9" x14ac:dyDescent="0.25">
      <c r="A692" s="3" t="s">
        <v>42</v>
      </c>
      <c r="B692" s="3">
        <v>45808</v>
      </c>
      <c r="C692" s="6">
        <v>1757</v>
      </c>
      <c r="D692" s="2">
        <f>LEN(Table2[[#This Row],[CLID]])</f>
        <v>7</v>
      </c>
      <c r="E692" s="2" t="str">
        <f>_xlfn.XLOOKUP('Volume Data'!A:A,'Geo Data'!D:D,'Geo Data'!B:B)</f>
        <v>GEO1002</v>
      </c>
      <c r="F692" s="2" t="str">
        <f>INDEX(GeoByClient[GEOID],MATCH(Table2[[#This Row],[CLID]],GeoByClient[Right],0))</f>
        <v>GEO1002</v>
      </c>
      <c r="G692" s="2" t="str">
        <f>_xlfn.XLOOKUP(Table2[[#This Row],[Xlookup Region ID]],GEONames[GEOID],GEONames[GEO Name])</f>
        <v>APAC</v>
      </c>
      <c r="H692" s="2" t="str">
        <f>"Q"&amp;ROUNDUP(MONTH(Table2[[#This Row],[Date]])/3,0)&amp;" "&amp;YEAR(Table2[[#This Row],[Date]])</f>
        <v>Q2 2025</v>
      </c>
      <c r="I692" s="2" t="str">
        <f>VLOOKUP(Table2[[#This Row],[Date]],Table7[],3)</f>
        <v>Q2 2025</v>
      </c>
    </row>
    <row r="693" spans="1:9" x14ac:dyDescent="0.25">
      <c r="A693" s="3" t="s">
        <v>42</v>
      </c>
      <c r="B693" s="3">
        <v>45777</v>
      </c>
      <c r="C693" s="6">
        <v>2092</v>
      </c>
      <c r="D693" s="2">
        <f>LEN(Table2[[#This Row],[CLID]])</f>
        <v>7</v>
      </c>
      <c r="E693" s="2" t="str">
        <f>_xlfn.XLOOKUP('Volume Data'!A:A,'Geo Data'!D:D,'Geo Data'!B:B)</f>
        <v>GEO1002</v>
      </c>
      <c r="F693" s="2" t="str">
        <f>INDEX(GeoByClient[GEOID],MATCH(Table2[[#This Row],[CLID]],GeoByClient[Right],0))</f>
        <v>GEO1002</v>
      </c>
      <c r="G693" s="2" t="str">
        <f>_xlfn.XLOOKUP(Table2[[#This Row],[Xlookup Region ID]],GEONames[GEOID],GEONames[GEO Name])</f>
        <v>APAC</v>
      </c>
      <c r="H693" s="2" t="str">
        <f>"Q"&amp;ROUNDUP(MONTH(Table2[[#This Row],[Date]])/3,0)&amp;" "&amp;YEAR(Table2[[#This Row],[Date]])</f>
        <v>Q2 2025</v>
      </c>
      <c r="I693" s="2" t="str">
        <f>VLOOKUP(Table2[[#This Row],[Date]],Table7[],3)</f>
        <v>Q2 2025</v>
      </c>
    </row>
    <row r="694" spans="1:9" x14ac:dyDescent="0.25">
      <c r="A694" s="3" t="s">
        <v>42</v>
      </c>
      <c r="B694" s="3">
        <v>45747</v>
      </c>
      <c r="C694" s="6">
        <v>1544</v>
      </c>
      <c r="D694" s="2">
        <f>LEN(Table2[[#This Row],[CLID]])</f>
        <v>7</v>
      </c>
      <c r="E694" s="2" t="str">
        <f>_xlfn.XLOOKUP('Volume Data'!A:A,'Geo Data'!D:D,'Geo Data'!B:B)</f>
        <v>GEO1002</v>
      </c>
      <c r="F694" s="2" t="str">
        <f>INDEX(GeoByClient[GEOID],MATCH(Table2[[#This Row],[CLID]],GeoByClient[Right],0))</f>
        <v>GEO1002</v>
      </c>
      <c r="G694" s="2" t="str">
        <f>_xlfn.XLOOKUP(Table2[[#This Row],[Xlookup Region ID]],GEONames[GEOID],GEONames[GEO Name])</f>
        <v>APAC</v>
      </c>
      <c r="H694" s="2" t="str">
        <f>"Q"&amp;ROUNDUP(MONTH(Table2[[#This Row],[Date]])/3,0)&amp;" "&amp;YEAR(Table2[[#This Row],[Date]])</f>
        <v>Q1 2025</v>
      </c>
      <c r="I694" s="2" t="str">
        <f>VLOOKUP(Table2[[#This Row],[Date]],Table7[],3)</f>
        <v>Q4 2024</v>
      </c>
    </row>
    <row r="695" spans="1:9" x14ac:dyDescent="0.25">
      <c r="A695" s="3" t="s">
        <v>42</v>
      </c>
      <c r="B695" s="3">
        <v>45716</v>
      </c>
      <c r="C695" s="6">
        <v>1547</v>
      </c>
      <c r="D695" s="2">
        <f>LEN(Table2[[#This Row],[CLID]])</f>
        <v>7</v>
      </c>
      <c r="E695" s="2" t="str">
        <f>_xlfn.XLOOKUP('Volume Data'!A:A,'Geo Data'!D:D,'Geo Data'!B:B)</f>
        <v>GEO1002</v>
      </c>
      <c r="F695" s="2" t="str">
        <f>INDEX(GeoByClient[GEOID],MATCH(Table2[[#This Row],[CLID]],GeoByClient[Right],0))</f>
        <v>GEO1002</v>
      </c>
      <c r="G695" s="2" t="str">
        <f>_xlfn.XLOOKUP(Table2[[#This Row],[Xlookup Region ID]],GEONames[GEOID],GEONames[GEO Name])</f>
        <v>APAC</v>
      </c>
      <c r="H695" s="2" t="str">
        <f>"Q"&amp;ROUNDUP(MONTH(Table2[[#This Row],[Date]])/3,0)&amp;" "&amp;YEAR(Table2[[#This Row],[Date]])</f>
        <v>Q1 2025</v>
      </c>
      <c r="I695" s="2" t="str">
        <f>VLOOKUP(Table2[[#This Row],[Date]],Table7[],3)</f>
        <v>Q4 2024</v>
      </c>
    </row>
    <row r="696" spans="1:9" x14ac:dyDescent="0.25">
      <c r="A696" s="3" t="s">
        <v>42</v>
      </c>
      <c r="B696" s="3">
        <v>45688</v>
      </c>
      <c r="C696" s="6">
        <v>1265</v>
      </c>
      <c r="D696" s="2">
        <f>LEN(Table2[[#This Row],[CLID]])</f>
        <v>7</v>
      </c>
      <c r="E696" s="2" t="str">
        <f>_xlfn.XLOOKUP('Volume Data'!A:A,'Geo Data'!D:D,'Geo Data'!B:B)</f>
        <v>GEO1002</v>
      </c>
      <c r="F696" s="2" t="str">
        <f>INDEX(GeoByClient[GEOID],MATCH(Table2[[#This Row],[CLID]],GeoByClient[Right],0))</f>
        <v>GEO1002</v>
      </c>
      <c r="G696" s="2" t="str">
        <f>_xlfn.XLOOKUP(Table2[[#This Row],[Xlookup Region ID]],GEONames[GEOID],GEONames[GEO Name])</f>
        <v>APAC</v>
      </c>
      <c r="H696" s="2" t="str">
        <f>"Q"&amp;ROUNDUP(MONTH(Table2[[#This Row],[Date]])/3,0)&amp;" "&amp;YEAR(Table2[[#This Row],[Date]])</f>
        <v>Q1 2025</v>
      </c>
      <c r="I696" s="2" t="str">
        <f>VLOOKUP(Table2[[#This Row],[Date]],Table7[],3)</f>
        <v>Q4 2024</v>
      </c>
    </row>
    <row r="697" spans="1:9" x14ac:dyDescent="0.25">
      <c r="A697" s="3" t="s">
        <v>50</v>
      </c>
      <c r="B697" s="3">
        <v>45322</v>
      </c>
      <c r="C697" s="6">
        <v>3405</v>
      </c>
      <c r="D697" s="2">
        <f>LEN(Table2[[#This Row],[CLID]])</f>
        <v>7</v>
      </c>
      <c r="E697" s="2" t="str">
        <f>_xlfn.XLOOKUP('Volume Data'!A:A,'Geo Data'!D:D,'Geo Data'!B:B)</f>
        <v>GEO1004</v>
      </c>
      <c r="F697" s="2" t="str">
        <f>INDEX(GeoByClient[GEOID],MATCH(Table2[[#This Row],[CLID]],GeoByClient[Right],0))</f>
        <v>GEO1004</v>
      </c>
      <c r="G697" s="2" t="str">
        <f>_xlfn.XLOOKUP(Table2[[#This Row],[Xlookup Region ID]],GEONames[GEOID],GEONames[GEO Name])</f>
        <v>LATAM</v>
      </c>
      <c r="H697" s="2" t="str">
        <f>"Q"&amp;ROUNDUP(MONTH(Table2[[#This Row],[Date]])/3,0)&amp;" "&amp;YEAR(Table2[[#This Row],[Date]])</f>
        <v>Q1 2024</v>
      </c>
      <c r="I697" s="2" t="str">
        <f>VLOOKUP(Table2[[#This Row],[Date]],Table7[],3)</f>
        <v>Q1 2024</v>
      </c>
    </row>
    <row r="698" spans="1:9" x14ac:dyDescent="0.25">
      <c r="A698" s="3" t="s">
        <v>50</v>
      </c>
      <c r="B698" s="3">
        <v>45351</v>
      </c>
      <c r="C698" s="6">
        <v>3827</v>
      </c>
      <c r="D698" s="2">
        <f>LEN(Table2[[#This Row],[CLID]])</f>
        <v>7</v>
      </c>
      <c r="E698" s="2" t="str">
        <f>_xlfn.XLOOKUP('Volume Data'!A:A,'Geo Data'!D:D,'Geo Data'!B:B)</f>
        <v>GEO1004</v>
      </c>
      <c r="F698" s="2" t="str">
        <f>INDEX(GeoByClient[GEOID],MATCH(Table2[[#This Row],[CLID]],GeoByClient[Right],0))</f>
        <v>GEO1004</v>
      </c>
      <c r="G698" s="2" t="str">
        <f>_xlfn.XLOOKUP(Table2[[#This Row],[Xlookup Region ID]],GEONames[GEOID],GEONames[GEO Name])</f>
        <v>LATAM</v>
      </c>
      <c r="H698" s="2" t="str">
        <f>"Q"&amp;ROUNDUP(MONTH(Table2[[#This Row],[Date]])/3,0)&amp;" "&amp;YEAR(Table2[[#This Row],[Date]])</f>
        <v>Q1 2024</v>
      </c>
      <c r="I698" s="2" t="str">
        <f>VLOOKUP(Table2[[#This Row],[Date]],Table7[],3)</f>
        <v>Q1 2024</v>
      </c>
    </row>
    <row r="699" spans="1:9" x14ac:dyDescent="0.25">
      <c r="A699" s="3" t="s">
        <v>50</v>
      </c>
      <c r="B699" s="3">
        <v>45382</v>
      </c>
      <c r="C699" s="6">
        <v>4248</v>
      </c>
      <c r="D699" s="2">
        <f>LEN(Table2[[#This Row],[CLID]])</f>
        <v>7</v>
      </c>
      <c r="E699" s="2" t="str">
        <f>_xlfn.XLOOKUP('Volume Data'!A:A,'Geo Data'!D:D,'Geo Data'!B:B)</f>
        <v>GEO1004</v>
      </c>
      <c r="F699" s="2" t="str">
        <f>INDEX(GeoByClient[GEOID],MATCH(Table2[[#This Row],[CLID]],GeoByClient[Right],0))</f>
        <v>GEO1004</v>
      </c>
      <c r="G699" s="2" t="str">
        <f>_xlfn.XLOOKUP(Table2[[#This Row],[Xlookup Region ID]],GEONames[GEOID],GEONames[GEO Name])</f>
        <v>LATAM</v>
      </c>
      <c r="H699" s="2" t="str">
        <f>"Q"&amp;ROUNDUP(MONTH(Table2[[#This Row],[Date]])/3,0)&amp;" "&amp;YEAR(Table2[[#This Row],[Date]])</f>
        <v>Q1 2024</v>
      </c>
      <c r="I699" s="2" t="str">
        <f>VLOOKUP(Table2[[#This Row],[Date]],Table7[],3)</f>
        <v>Q1 2024</v>
      </c>
    </row>
    <row r="700" spans="1:9" x14ac:dyDescent="0.25">
      <c r="A700" s="3" t="s">
        <v>50</v>
      </c>
      <c r="B700" s="3">
        <v>45412</v>
      </c>
      <c r="C700" s="6">
        <v>5101</v>
      </c>
      <c r="D700" s="2">
        <f>LEN(Table2[[#This Row],[CLID]])</f>
        <v>7</v>
      </c>
      <c r="E700" s="2" t="str">
        <f>_xlfn.XLOOKUP('Volume Data'!A:A,'Geo Data'!D:D,'Geo Data'!B:B)</f>
        <v>GEO1004</v>
      </c>
      <c r="F700" s="2" t="str">
        <f>INDEX(GeoByClient[GEOID],MATCH(Table2[[#This Row],[CLID]],GeoByClient[Right],0))</f>
        <v>GEO1004</v>
      </c>
      <c r="G700" s="2" t="str">
        <f>_xlfn.XLOOKUP(Table2[[#This Row],[Xlookup Region ID]],GEONames[GEOID],GEONames[GEO Name])</f>
        <v>LATAM</v>
      </c>
      <c r="H700" s="2" t="str">
        <f>"Q"&amp;ROUNDUP(MONTH(Table2[[#This Row],[Date]])/3,0)&amp;" "&amp;YEAR(Table2[[#This Row],[Date]])</f>
        <v>Q2 2024</v>
      </c>
      <c r="I700" s="2" t="str">
        <f>VLOOKUP(Table2[[#This Row],[Date]],Table7[],3)</f>
        <v>Q2 2024</v>
      </c>
    </row>
    <row r="701" spans="1:9" x14ac:dyDescent="0.25">
      <c r="A701" s="3" t="s">
        <v>50</v>
      </c>
      <c r="B701" s="3">
        <v>45443</v>
      </c>
      <c r="C701" s="6">
        <v>4675</v>
      </c>
      <c r="D701" s="2">
        <f>LEN(Table2[[#This Row],[CLID]])</f>
        <v>7</v>
      </c>
      <c r="E701" s="2" t="str">
        <f>_xlfn.XLOOKUP('Volume Data'!A:A,'Geo Data'!D:D,'Geo Data'!B:B)</f>
        <v>GEO1004</v>
      </c>
      <c r="F701" s="2" t="str">
        <f>INDEX(GeoByClient[GEOID],MATCH(Table2[[#This Row],[CLID]],GeoByClient[Right],0))</f>
        <v>GEO1004</v>
      </c>
      <c r="G701" s="2" t="str">
        <f>_xlfn.XLOOKUP(Table2[[#This Row],[Xlookup Region ID]],GEONames[GEOID],GEONames[GEO Name])</f>
        <v>LATAM</v>
      </c>
      <c r="H701" s="2" t="str">
        <f>"Q"&amp;ROUNDUP(MONTH(Table2[[#This Row],[Date]])/3,0)&amp;" "&amp;YEAR(Table2[[#This Row],[Date]])</f>
        <v>Q2 2024</v>
      </c>
      <c r="I701" s="2" t="str">
        <f>VLOOKUP(Table2[[#This Row],[Date]],Table7[],3)</f>
        <v>Q2 2024</v>
      </c>
    </row>
    <row r="702" spans="1:9" x14ac:dyDescent="0.25">
      <c r="A702" s="3" t="s">
        <v>50</v>
      </c>
      <c r="B702" s="3">
        <v>45473</v>
      </c>
      <c r="C702" s="6">
        <v>3400</v>
      </c>
      <c r="D702" s="2">
        <f>LEN(Table2[[#This Row],[CLID]])</f>
        <v>7</v>
      </c>
      <c r="E702" s="2" t="str">
        <f>_xlfn.XLOOKUP('Volume Data'!A:A,'Geo Data'!D:D,'Geo Data'!B:B)</f>
        <v>GEO1004</v>
      </c>
      <c r="F702" s="2" t="str">
        <f>INDEX(GeoByClient[GEOID],MATCH(Table2[[#This Row],[CLID]],GeoByClient[Right],0))</f>
        <v>GEO1004</v>
      </c>
      <c r="G702" s="2" t="str">
        <f>_xlfn.XLOOKUP(Table2[[#This Row],[Xlookup Region ID]],GEONames[GEOID],GEONames[GEO Name])</f>
        <v>LATAM</v>
      </c>
      <c r="H702" s="2" t="str">
        <f>"Q"&amp;ROUNDUP(MONTH(Table2[[#This Row],[Date]])/3,0)&amp;" "&amp;YEAR(Table2[[#This Row],[Date]])</f>
        <v>Q2 2024</v>
      </c>
      <c r="I702" s="2" t="str">
        <f>VLOOKUP(Table2[[#This Row],[Date]],Table7[],3)</f>
        <v>Q2 2024</v>
      </c>
    </row>
    <row r="703" spans="1:9" x14ac:dyDescent="0.25">
      <c r="A703" s="3" t="s">
        <v>50</v>
      </c>
      <c r="B703" s="3">
        <v>45504</v>
      </c>
      <c r="C703" s="6">
        <v>2976</v>
      </c>
      <c r="D703" s="2">
        <f>LEN(Table2[[#This Row],[CLID]])</f>
        <v>7</v>
      </c>
      <c r="E703" s="2" t="str">
        <f>_xlfn.XLOOKUP('Volume Data'!A:A,'Geo Data'!D:D,'Geo Data'!B:B)</f>
        <v>GEO1004</v>
      </c>
      <c r="F703" s="2" t="str">
        <f>INDEX(GeoByClient[GEOID],MATCH(Table2[[#This Row],[CLID]],GeoByClient[Right],0))</f>
        <v>GEO1004</v>
      </c>
      <c r="G703" s="2" t="str">
        <f>_xlfn.XLOOKUP(Table2[[#This Row],[Xlookup Region ID]],GEONames[GEOID],GEONames[GEO Name])</f>
        <v>LATAM</v>
      </c>
      <c r="H703" s="2" t="str">
        <f>"Q"&amp;ROUNDUP(MONTH(Table2[[#This Row],[Date]])/3,0)&amp;" "&amp;YEAR(Table2[[#This Row],[Date]])</f>
        <v>Q3 2024</v>
      </c>
      <c r="I703" s="2" t="str">
        <f>VLOOKUP(Table2[[#This Row],[Date]],Table7[],3)</f>
        <v>Q3 2024</v>
      </c>
    </row>
    <row r="704" spans="1:9" x14ac:dyDescent="0.25">
      <c r="A704" s="3" t="s">
        <v>50</v>
      </c>
      <c r="B704" s="3">
        <v>45535</v>
      </c>
      <c r="C704" s="6">
        <v>2552</v>
      </c>
      <c r="D704" s="2">
        <f>LEN(Table2[[#This Row],[CLID]])</f>
        <v>7</v>
      </c>
      <c r="E704" s="2" t="str">
        <f>_xlfn.XLOOKUP('Volume Data'!A:A,'Geo Data'!D:D,'Geo Data'!B:B)</f>
        <v>GEO1004</v>
      </c>
      <c r="F704" s="2" t="str">
        <f>INDEX(GeoByClient[GEOID],MATCH(Table2[[#This Row],[CLID]],GeoByClient[Right],0))</f>
        <v>GEO1004</v>
      </c>
      <c r="G704" s="2" t="str">
        <f>_xlfn.XLOOKUP(Table2[[#This Row],[Xlookup Region ID]],GEONames[GEOID],GEONames[GEO Name])</f>
        <v>LATAM</v>
      </c>
      <c r="H704" s="2" t="str">
        <f>"Q"&amp;ROUNDUP(MONTH(Table2[[#This Row],[Date]])/3,0)&amp;" "&amp;YEAR(Table2[[#This Row],[Date]])</f>
        <v>Q3 2024</v>
      </c>
      <c r="I704" s="2" t="str">
        <f>VLOOKUP(Table2[[#This Row],[Date]],Table7[],3)</f>
        <v>Q3 2024</v>
      </c>
    </row>
    <row r="705" spans="1:9" x14ac:dyDescent="0.25">
      <c r="A705" s="3" t="s">
        <v>50</v>
      </c>
      <c r="B705" s="3">
        <v>45565</v>
      </c>
      <c r="C705" s="6">
        <v>2550</v>
      </c>
      <c r="D705" s="2">
        <f>LEN(Table2[[#This Row],[CLID]])</f>
        <v>7</v>
      </c>
      <c r="E705" s="2" t="str">
        <f>_xlfn.XLOOKUP('Volume Data'!A:A,'Geo Data'!D:D,'Geo Data'!B:B)</f>
        <v>GEO1004</v>
      </c>
      <c r="F705" s="2" t="str">
        <f>INDEX(GeoByClient[GEOID],MATCH(Table2[[#This Row],[CLID]],GeoByClient[Right],0))</f>
        <v>GEO1004</v>
      </c>
      <c r="G705" s="2" t="str">
        <f>_xlfn.XLOOKUP(Table2[[#This Row],[Xlookup Region ID]],GEONames[GEOID],GEONames[GEO Name])</f>
        <v>LATAM</v>
      </c>
      <c r="H705" s="2" t="str">
        <f>"Q"&amp;ROUNDUP(MONTH(Table2[[#This Row],[Date]])/3,0)&amp;" "&amp;YEAR(Table2[[#This Row],[Date]])</f>
        <v>Q3 2024</v>
      </c>
      <c r="I705" s="2" t="str">
        <f>VLOOKUP(Table2[[#This Row],[Date]],Table7[],3)</f>
        <v>Q3 2024</v>
      </c>
    </row>
    <row r="706" spans="1:9" x14ac:dyDescent="0.25">
      <c r="A706" s="3" t="s">
        <v>50</v>
      </c>
      <c r="B706" s="3">
        <v>45596</v>
      </c>
      <c r="C706" s="6">
        <v>2975</v>
      </c>
      <c r="D706" s="2">
        <f>LEN(Table2[[#This Row],[CLID]])</f>
        <v>7</v>
      </c>
      <c r="E706" s="2" t="str">
        <f>_xlfn.XLOOKUP('Volume Data'!A:A,'Geo Data'!D:D,'Geo Data'!B:B)</f>
        <v>GEO1004</v>
      </c>
      <c r="F706" s="2" t="str">
        <f>INDEX(GeoByClient[GEOID],MATCH(Table2[[#This Row],[CLID]],GeoByClient[Right],0))</f>
        <v>GEO1004</v>
      </c>
      <c r="G706" s="2" t="str">
        <f>_xlfn.XLOOKUP(Table2[[#This Row],[Xlookup Region ID]],GEONames[GEOID],GEONames[GEO Name])</f>
        <v>LATAM</v>
      </c>
      <c r="H706" s="2" t="str">
        <f>"Q"&amp;ROUNDUP(MONTH(Table2[[#This Row],[Date]])/3,0)&amp;" "&amp;YEAR(Table2[[#This Row],[Date]])</f>
        <v>Q4 2024</v>
      </c>
      <c r="I706" s="2" t="str">
        <f>VLOOKUP(Table2[[#This Row],[Date]],Table7[],3)</f>
        <v>Q4 2024</v>
      </c>
    </row>
    <row r="707" spans="1:9" x14ac:dyDescent="0.25">
      <c r="A707" s="3" t="s">
        <v>50</v>
      </c>
      <c r="B707" s="3">
        <v>45626</v>
      </c>
      <c r="C707" s="6">
        <v>3399</v>
      </c>
      <c r="D707" s="2">
        <f>LEN(Table2[[#This Row],[CLID]])</f>
        <v>7</v>
      </c>
      <c r="E707" s="2" t="str">
        <f>_xlfn.XLOOKUP('Volume Data'!A:A,'Geo Data'!D:D,'Geo Data'!B:B)</f>
        <v>GEO1004</v>
      </c>
      <c r="F707" s="2" t="str">
        <f>INDEX(GeoByClient[GEOID],MATCH(Table2[[#This Row],[CLID]],GeoByClient[Right],0))</f>
        <v>GEO1004</v>
      </c>
      <c r="G707" s="2" t="str">
        <f>_xlfn.XLOOKUP(Table2[[#This Row],[Xlookup Region ID]],GEONames[GEOID],GEONames[GEO Name])</f>
        <v>LATAM</v>
      </c>
      <c r="H707" s="2" t="str">
        <f>"Q"&amp;ROUNDUP(MONTH(Table2[[#This Row],[Date]])/3,0)&amp;" "&amp;YEAR(Table2[[#This Row],[Date]])</f>
        <v>Q4 2024</v>
      </c>
      <c r="I707" s="2" t="str">
        <f>VLOOKUP(Table2[[#This Row],[Date]],Table7[],3)</f>
        <v>Q4 2024</v>
      </c>
    </row>
    <row r="708" spans="1:9" x14ac:dyDescent="0.25">
      <c r="A708" s="3" t="s">
        <v>50</v>
      </c>
      <c r="B708" s="3">
        <v>45657</v>
      </c>
      <c r="C708" s="6">
        <v>3404</v>
      </c>
      <c r="D708" s="2">
        <f>LEN(Table2[[#This Row],[CLID]])</f>
        <v>7</v>
      </c>
      <c r="E708" s="2" t="str">
        <f>_xlfn.XLOOKUP('Volume Data'!A:A,'Geo Data'!D:D,'Geo Data'!B:B)</f>
        <v>GEO1004</v>
      </c>
      <c r="F708" s="2" t="str">
        <f>INDEX(GeoByClient[GEOID],MATCH(Table2[[#This Row],[CLID]],GeoByClient[Right],0))</f>
        <v>GEO1004</v>
      </c>
      <c r="G708" s="2" t="str">
        <f>_xlfn.XLOOKUP(Table2[[#This Row],[Xlookup Region ID]],GEONames[GEOID],GEONames[GEO Name])</f>
        <v>LATAM</v>
      </c>
      <c r="H708" s="2" t="str">
        <f>"Q"&amp;ROUNDUP(MONTH(Table2[[#This Row],[Date]])/3,0)&amp;" "&amp;YEAR(Table2[[#This Row],[Date]])</f>
        <v>Q4 2024</v>
      </c>
      <c r="I708" s="2" t="str">
        <f>VLOOKUP(Table2[[#This Row],[Date]],Table7[],3)</f>
        <v>Q4 2024</v>
      </c>
    </row>
    <row r="709" spans="1:9" x14ac:dyDescent="0.25">
      <c r="A709" s="3" t="s">
        <v>50</v>
      </c>
      <c r="B709" s="3">
        <v>45838</v>
      </c>
      <c r="C709" s="6">
        <v>3501</v>
      </c>
      <c r="D709" s="2">
        <f>LEN(Table2[[#This Row],[CLID]])</f>
        <v>7</v>
      </c>
      <c r="E709" s="2" t="str">
        <f>_xlfn.XLOOKUP('Volume Data'!A:A,'Geo Data'!D:D,'Geo Data'!B:B)</f>
        <v>GEO1004</v>
      </c>
      <c r="F709" s="2" t="str">
        <f>INDEX(GeoByClient[GEOID],MATCH(Table2[[#This Row],[CLID]],GeoByClient[Right],0))</f>
        <v>GEO1004</v>
      </c>
      <c r="G709" s="2" t="str">
        <f>_xlfn.XLOOKUP(Table2[[#This Row],[Xlookup Region ID]],GEONames[GEOID],GEONames[GEO Name])</f>
        <v>LATAM</v>
      </c>
      <c r="H709" s="2" t="str">
        <f>"Q"&amp;ROUNDUP(MONTH(Table2[[#This Row],[Date]])/3,0)&amp;" "&amp;YEAR(Table2[[#This Row],[Date]])</f>
        <v>Q2 2025</v>
      </c>
      <c r="I709" s="2" t="str">
        <f>VLOOKUP(Table2[[#This Row],[Date]],Table7[],3)</f>
        <v>Q2 2025</v>
      </c>
    </row>
    <row r="710" spans="1:9" x14ac:dyDescent="0.25">
      <c r="A710" s="3" t="s">
        <v>50</v>
      </c>
      <c r="B710" s="3">
        <v>45808</v>
      </c>
      <c r="C710" s="6">
        <v>4768</v>
      </c>
      <c r="D710" s="2">
        <f>LEN(Table2[[#This Row],[CLID]])</f>
        <v>7</v>
      </c>
      <c r="E710" s="2" t="str">
        <f>_xlfn.XLOOKUP('Volume Data'!A:A,'Geo Data'!D:D,'Geo Data'!B:B)</f>
        <v>GEO1004</v>
      </c>
      <c r="F710" s="2" t="str">
        <f>INDEX(GeoByClient[GEOID],MATCH(Table2[[#This Row],[CLID]],GeoByClient[Right],0))</f>
        <v>GEO1004</v>
      </c>
      <c r="G710" s="2" t="str">
        <f>_xlfn.XLOOKUP(Table2[[#This Row],[Xlookup Region ID]],GEONames[GEOID],GEONames[GEO Name])</f>
        <v>LATAM</v>
      </c>
      <c r="H710" s="2" t="str">
        <f>"Q"&amp;ROUNDUP(MONTH(Table2[[#This Row],[Date]])/3,0)&amp;" "&amp;YEAR(Table2[[#This Row],[Date]])</f>
        <v>Q2 2025</v>
      </c>
      <c r="I710" s="2" t="str">
        <f>VLOOKUP(Table2[[#This Row],[Date]],Table7[],3)</f>
        <v>Q2 2025</v>
      </c>
    </row>
    <row r="711" spans="1:9" x14ac:dyDescent="0.25">
      <c r="A711" s="3" t="s">
        <v>50</v>
      </c>
      <c r="B711" s="3">
        <v>45777</v>
      </c>
      <c r="C711" s="6">
        <v>5254</v>
      </c>
      <c r="D711" s="2">
        <f>LEN(Table2[[#This Row],[CLID]])</f>
        <v>7</v>
      </c>
      <c r="E711" s="2" t="str">
        <f>_xlfn.XLOOKUP('Volume Data'!A:A,'Geo Data'!D:D,'Geo Data'!B:B)</f>
        <v>GEO1004</v>
      </c>
      <c r="F711" s="2" t="str">
        <f>INDEX(GeoByClient[GEOID],MATCH(Table2[[#This Row],[CLID]],GeoByClient[Right],0))</f>
        <v>GEO1004</v>
      </c>
      <c r="G711" s="2" t="str">
        <f>_xlfn.XLOOKUP(Table2[[#This Row],[Xlookup Region ID]],GEONames[GEOID],GEONames[GEO Name])</f>
        <v>LATAM</v>
      </c>
      <c r="H711" s="2" t="str">
        <f>"Q"&amp;ROUNDUP(MONTH(Table2[[#This Row],[Date]])/3,0)&amp;" "&amp;YEAR(Table2[[#This Row],[Date]])</f>
        <v>Q2 2025</v>
      </c>
      <c r="I711" s="2" t="str">
        <f>VLOOKUP(Table2[[#This Row],[Date]],Table7[],3)</f>
        <v>Q2 2025</v>
      </c>
    </row>
    <row r="712" spans="1:9" x14ac:dyDescent="0.25">
      <c r="A712" s="3" t="s">
        <v>50</v>
      </c>
      <c r="B712" s="3">
        <v>45747</v>
      </c>
      <c r="C712" s="6">
        <v>4212</v>
      </c>
      <c r="D712" s="2">
        <f>LEN(Table2[[#This Row],[CLID]])</f>
        <v>7</v>
      </c>
      <c r="E712" s="2" t="str">
        <f>_xlfn.XLOOKUP('Volume Data'!A:A,'Geo Data'!D:D,'Geo Data'!B:B)</f>
        <v>GEO1004</v>
      </c>
      <c r="F712" s="2" t="str">
        <f>INDEX(GeoByClient[GEOID],MATCH(Table2[[#This Row],[CLID]],GeoByClient[Right],0))</f>
        <v>GEO1004</v>
      </c>
      <c r="G712" s="2" t="str">
        <f>_xlfn.XLOOKUP(Table2[[#This Row],[Xlookup Region ID]],GEONames[GEOID],GEONames[GEO Name])</f>
        <v>LATAM</v>
      </c>
      <c r="H712" s="2" t="str">
        <f>"Q"&amp;ROUNDUP(MONTH(Table2[[#This Row],[Date]])/3,0)&amp;" "&amp;YEAR(Table2[[#This Row],[Date]])</f>
        <v>Q1 2025</v>
      </c>
      <c r="I712" s="2" t="str">
        <f>VLOOKUP(Table2[[#This Row],[Date]],Table7[],3)</f>
        <v>Q4 2024</v>
      </c>
    </row>
    <row r="713" spans="1:9" x14ac:dyDescent="0.25">
      <c r="A713" s="3" t="s">
        <v>50</v>
      </c>
      <c r="B713" s="3">
        <v>45716</v>
      </c>
      <c r="C713" s="6">
        <v>3808</v>
      </c>
      <c r="D713" s="2">
        <f>LEN(Table2[[#This Row],[CLID]])</f>
        <v>7</v>
      </c>
      <c r="E713" s="2" t="str">
        <f>_xlfn.XLOOKUP('Volume Data'!A:A,'Geo Data'!D:D,'Geo Data'!B:B)</f>
        <v>GEO1004</v>
      </c>
      <c r="F713" s="2" t="str">
        <f>INDEX(GeoByClient[GEOID],MATCH(Table2[[#This Row],[CLID]],GeoByClient[Right],0))</f>
        <v>GEO1004</v>
      </c>
      <c r="G713" s="2" t="str">
        <f>_xlfn.XLOOKUP(Table2[[#This Row],[Xlookup Region ID]],GEONames[GEOID],GEONames[GEO Name])</f>
        <v>LATAM</v>
      </c>
      <c r="H713" s="2" t="str">
        <f>"Q"&amp;ROUNDUP(MONTH(Table2[[#This Row],[Date]])/3,0)&amp;" "&amp;YEAR(Table2[[#This Row],[Date]])</f>
        <v>Q1 2025</v>
      </c>
      <c r="I713" s="2" t="str">
        <f>VLOOKUP(Table2[[#This Row],[Date]],Table7[],3)</f>
        <v>Q4 2024</v>
      </c>
    </row>
    <row r="714" spans="1:9" x14ac:dyDescent="0.25">
      <c r="A714" s="3" t="s">
        <v>50</v>
      </c>
      <c r="B714" s="3">
        <v>45688</v>
      </c>
      <c r="C714" s="6">
        <v>3575</v>
      </c>
      <c r="D714" s="2">
        <f>LEN(Table2[[#This Row],[CLID]])</f>
        <v>7</v>
      </c>
      <c r="E714" s="2" t="str">
        <f>_xlfn.XLOOKUP('Volume Data'!A:A,'Geo Data'!D:D,'Geo Data'!B:B)</f>
        <v>GEO1004</v>
      </c>
      <c r="F714" s="2" t="str">
        <f>INDEX(GeoByClient[GEOID],MATCH(Table2[[#This Row],[CLID]],GeoByClient[Right],0))</f>
        <v>GEO1004</v>
      </c>
      <c r="G714" s="2" t="str">
        <f>_xlfn.XLOOKUP(Table2[[#This Row],[Xlookup Region ID]],GEONames[GEOID],GEONames[GEO Name])</f>
        <v>LATAM</v>
      </c>
      <c r="H714" s="2" t="str">
        <f>"Q"&amp;ROUNDUP(MONTH(Table2[[#This Row],[Date]])/3,0)&amp;" "&amp;YEAR(Table2[[#This Row],[Date]])</f>
        <v>Q1 2025</v>
      </c>
      <c r="I714" s="2" t="str">
        <f>VLOOKUP(Table2[[#This Row],[Date]],Table7[],3)</f>
        <v>Q4 2024</v>
      </c>
    </row>
    <row r="715" spans="1:9" x14ac:dyDescent="0.25">
      <c r="A715" s="3" t="s">
        <v>18</v>
      </c>
      <c r="B715" s="3">
        <v>45322</v>
      </c>
      <c r="C715" s="6">
        <v>627</v>
      </c>
      <c r="D715" s="2">
        <f>LEN(Table2[[#This Row],[CLID]])</f>
        <v>7</v>
      </c>
      <c r="E715" s="2" t="str">
        <f>_xlfn.XLOOKUP('Volume Data'!A:A,'Geo Data'!D:D,'Geo Data'!B:B)</f>
        <v>GEO1003</v>
      </c>
      <c r="F715" s="2" t="str">
        <f>INDEX(GeoByClient[GEOID],MATCH(Table2[[#This Row],[CLID]],GeoByClient[Right],0))</f>
        <v>GEO1003</v>
      </c>
      <c r="G715" s="2" t="str">
        <f>_xlfn.XLOOKUP(Table2[[#This Row],[Xlookup Region ID]],GEONames[GEOID],GEONames[GEO Name])</f>
        <v>EMEA</v>
      </c>
      <c r="H715" s="2" t="str">
        <f>"Q"&amp;ROUNDUP(MONTH(Table2[[#This Row],[Date]])/3,0)&amp;" "&amp;YEAR(Table2[[#This Row],[Date]])</f>
        <v>Q1 2024</v>
      </c>
      <c r="I715" s="2" t="str">
        <f>VLOOKUP(Table2[[#This Row],[Date]],Table7[],3)</f>
        <v>Q1 2024</v>
      </c>
    </row>
    <row r="716" spans="1:9" x14ac:dyDescent="0.25">
      <c r="A716" s="3" t="s">
        <v>18</v>
      </c>
      <c r="B716" s="3">
        <v>45351</v>
      </c>
      <c r="C716" s="6">
        <v>495</v>
      </c>
      <c r="D716" s="2">
        <f>LEN(Table2[[#This Row],[CLID]])</f>
        <v>7</v>
      </c>
      <c r="E716" s="2" t="str">
        <f>_xlfn.XLOOKUP('Volume Data'!A:A,'Geo Data'!D:D,'Geo Data'!B:B)</f>
        <v>GEO1003</v>
      </c>
      <c r="F716" s="2" t="str">
        <f>INDEX(GeoByClient[GEOID],MATCH(Table2[[#This Row],[CLID]],GeoByClient[Right],0))</f>
        <v>GEO1003</v>
      </c>
      <c r="G716" s="2" t="str">
        <f>_xlfn.XLOOKUP(Table2[[#This Row],[Xlookup Region ID]],GEONames[GEOID],GEONames[GEO Name])</f>
        <v>EMEA</v>
      </c>
      <c r="H716" s="2" t="str">
        <f>"Q"&amp;ROUNDUP(MONTH(Table2[[#This Row],[Date]])/3,0)&amp;" "&amp;YEAR(Table2[[#This Row],[Date]])</f>
        <v>Q1 2024</v>
      </c>
      <c r="I716" s="2" t="str">
        <f>VLOOKUP(Table2[[#This Row],[Date]],Table7[],3)</f>
        <v>Q1 2024</v>
      </c>
    </row>
    <row r="717" spans="1:9" x14ac:dyDescent="0.25">
      <c r="A717" s="3" t="s">
        <v>18</v>
      </c>
      <c r="B717" s="3">
        <v>45382</v>
      </c>
      <c r="C717" s="6">
        <v>755</v>
      </c>
      <c r="D717" s="2">
        <f>LEN(Table2[[#This Row],[CLID]])</f>
        <v>7</v>
      </c>
      <c r="E717" s="2" t="str">
        <f>_xlfn.XLOOKUP('Volume Data'!A:A,'Geo Data'!D:D,'Geo Data'!B:B)</f>
        <v>GEO1003</v>
      </c>
      <c r="F717" s="2" t="str">
        <f>INDEX(GeoByClient[GEOID],MATCH(Table2[[#This Row],[CLID]],GeoByClient[Right],0))</f>
        <v>GEO1003</v>
      </c>
      <c r="G717" s="2" t="str">
        <f>_xlfn.XLOOKUP(Table2[[#This Row],[Xlookup Region ID]],GEONames[GEOID],GEONames[GEO Name])</f>
        <v>EMEA</v>
      </c>
      <c r="H717" s="2" t="str">
        <f>"Q"&amp;ROUNDUP(MONTH(Table2[[#This Row],[Date]])/3,0)&amp;" "&amp;YEAR(Table2[[#This Row],[Date]])</f>
        <v>Q1 2024</v>
      </c>
      <c r="I717" s="2" t="str">
        <f>VLOOKUP(Table2[[#This Row],[Date]],Table7[],3)</f>
        <v>Q1 2024</v>
      </c>
    </row>
    <row r="718" spans="1:9" x14ac:dyDescent="0.25">
      <c r="A718" s="3" t="s">
        <v>18</v>
      </c>
      <c r="B718" s="3">
        <v>45412</v>
      </c>
      <c r="C718" s="6">
        <v>689</v>
      </c>
      <c r="D718" s="2">
        <f>LEN(Table2[[#This Row],[CLID]])</f>
        <v>7</v>
      </c>
      <c r="E718" s="2" t="str">
        <f>_xlfn.XLOOKUP('Volume Data'!A:A,'Geo Data'!D:D,'Geo Data'!B:B)</f>
        <v>GEO1003</v>
      </c>
      <c r="F718" s="2" t="str">
        <f>INDEX(GeoByClient[GEOID],MATCH(Table2[[#This Row],[CLID]],GeoByClient[Right],0))</f>
        <v>GEO1003</v>
      </c>
      <c r="G718" s="2" t="str">
        <f>_xlfn.XLOOKUP(Table2[[#This Row],[Xlookup Region ID]],GEONames[GEOID],GEONames[GEO Name])</f>
        <v>EMEA</v>
      </c>
      <c r="H718" s="2" t="str">
        <f>"Q"&amp;ROUNDUP(MONTH(Table2[[#This Row],[Date]])/3,0)&amp;" "&amp;YEAR(Table2[[#This Row],[Date]])</f>
        <v>Q2 2024</v>
      </c>
      <c r="I718" s="2" t="str">
        <f>VLOOKUP(Table2[[#This Row],[Date]],Table7[],3)</f>
        <v>Q2 2024</v>
      </c>
    </row>
    <row r="719" spans="1:9" x14ac:dyDescent="0.25">
      <c r="A719" s="3" t="s">
        <v>18</v>
      </c>
      <c r="B719" s="3">
        <v>45443</v>
      </c>
      <c r="C719" s="6">
        <v>817</v>
      </c>
      <c r="D719" s="2">
        <f>LEN(Table2[[#This Row],[CLID]])</f>
        <v>7</v>
      </c>
      <c r="E719" s="2" t="str">
        <f>_xlfn.XLOOKUP('Volume Data'!A:A,'Geo Data'!D:D,'Geo Data'!B:B)</f>
        <v>GEO1003</v>
      </c>
      <c r="F719" s="2" t="str">
        <f>INDEX(GeoByClient[GEOID],MATCH(Table2[[#This Row],[CLID]],GeoByClient[Right],0))</f>
        <v>GEO1003</v>
      </c>
      <c r="G719" s="2" t="str">
        <f>_xlfn.XLOOKUP(Table2[[#This Row],[Xlookup Region ID]],GEONames[GEOID],GEONames[GEO Name])</f>
        <v>EMEA</v>
      </c>
      <c r="H719" s="2" t="str">
        <f>"Q"&amp;ROUNDUP(MONTH(Table2[[#This Row],[Date]])/3,0)&amp;" "&amp;YEAR(Table2[[#This Row],[Date]])</f>
        <v>Q2 2024</v>
      </c>
      <c r="I719" s="2" t="str">
        <f>VLOOKUP(Table2[[#This Row],[Date]],Table7[],3)</f>
        <v>Q2 2024</v>
      </c>
    </row>
    <row r="720" spans="1:9" x14ac:dyDescent="0.25">
      <c r="A720" s="3" t="s">
        <v>18</v>
      </c>
      <c r="B720" s="3">
        <v>45473</v>
      </c>
      <c r="C720" s="6">
        <v>426</v>
      </c>
      <c r="D720" s="2">
        <f>LEN(Table2[[#This Row],[CLID]])</f>
        <v>7</v>
      </c>
      <c r="E720" s="2" t="str">
        <f>_xlfn.XLOOKUP('Volume Data'!A:A,'Geo Data'!D:D,'Geo Data'!B:B)</f>
        <v>GEO1003</v>
      </c>
      <c r="F720" s="2" t="str">
        <f>INDEX(GeoByClient[GEOID],MATCH(Table2[[#This Row],[CLID]],GeoByClient[Right],0))</f>
        <v>GEO1003</v>
      </c>
      <c r="G720" s="2" t="str">
        <f>_xlfn.XLOOKUP(Table2[[#This Row],[Xlookup Region ID]],GEONames[GEOID],GEONames[GEO Name])</f>
        <v>EMEA</v>
      </c>
      <c r="H720" s="2" t="str">
        <f>"Q"&amp;ROUNDUP(MONTH(Table2[[#This Row],[Date]])/3,0)&amp;" "&amp;YEAR(Table2[[#This Row],[Date]])</f>
        <v>Q2 2024</v>
      </c>
      <c r="I720" s="2" t="str">
        <f>VLOOKUP(Table2[[#This Row],[Date]],Table7[],3)</f>
        <v>Q2 2024</v>
      </c>
    </row>
    <row r="721" spans="1:9" x14ac:dyDescent="0.25">
      <c r="A721" s="3" t="s">
        <v>18</v>
      </c>
      <c r="B721" s="3">
        <v>45504</v>
      </c>
      <c r="C721" s="6">
        <v>559</v>
      </c>
      <c r="D721" s="2">
        <f>LEN(Table2[[#This Row],[CLID]])</f>
        <v>7</v>
      </c>
      <c r="E721" s="2" t="str">
        <f>_xlfn.XLOOKUP('Volume Data'!A:A,'Geo Data'!D:D,'Geo Data'!B:B)</f>
        <v>GEO1003</v>
      </c>
      <c r="F721" s="2" t="str">
        <f>INDEX(GeoByClient[GEOID],MATCH(Table2[[#This Row],[CLID]],GeoByClient[Right],0))</f>
        <v>GEO1003</v>
      </c>
      <c r="G721" s="2" t="str">
        <f>_xlfn.XLOOKUP(Table2[[#This Row],[Xlookup Region ID]],GEONames[GEOID],GEONames[GEO Name])</f>
        <v>EMEA</v>
      </c>
      <c r="H721" s="2" t="str">
        <f>"Q"&amp;ROUNDUP(MONTH(Table2[[#This Row],[Date]])/3,0)&amp;" "&amp;YEAR(Table2[[#This Row],[Date]])</f>
        <v>Q3 2024</v>
      </c>
      <c r="I721" s="2" t="str">
        <f>VLOOKUP(Table2[[#This Row],[Date]],Table7[],3)</f>
        <v>Q3 2024</v>
      </c>
    </row>
    <row r="722" spans="1:9" x14ac:dyDescent="0.25">
      <c r="A722" s="3" t="s">
        <v>18</v>
      </c>
      <c r="B722" s="3">
        <v>45535</v>
      </c>
      <c r="C722" s="6">
        <v>300</v>
      </c>
      <c r="D722" s="2">
        <f>LEN(Table2[[#This Row],[CLID]])</f>
        <v>7</v>
      </c>
      <c r="E722" s="2" t="str">
        <f>_xlfn.XLOOKUP('Volume Data'!A:A,'Geo Data'!D:D,'Geo Data'!B:B)</f>
        <v>GEO1003</v>
      </c>
      <c r="F722" s="2" t="str">
        <f>INDEX(GeoByClient[GEOID],MATCH(Table2[[#This Row],[CLID]],GeoByClient[Right],0))</f>
        <v>GEO1003</v>
      </c>
      <c r="G722" s="2" t="str">
        <f>_xlfn.XLOOKUP(Table2[[#This Row],[Xlookup Region ID]],GEONames[GEOID],GEONames[GEO Name])</f>
        <v>EMEA</v>
      </c>
      <c r="H722" s="2" t="str">
        <f>"Q"&amp;ROUNDUP(MONTH(Table2[[#This Row],[Date]])/3,0)&amp;" "&amp;YEAR(Table2[[#This Row],[Date]])</f>
        <v>Q3 2024</v>
      </c>
      <c r="I722" s="2" t="str">
        <f>VLOOKUP(Table2[[#This Row],[Date]],Table7[],3)</f>
        <v>Q3 2024</v>
      </c>
    </row>
    <row r="723" spans="1:9" x14ac:dyDescent="0.25">
      <c r="A723" s="3" t="s">
        <v>18</v>
      </c>
      <c r="B723" s="3">
        <v>45565</v>
      </c>
      <c r="C723" s="6">
        <v>493</v>
      </c>
      <c r="D723" s="2">
        <f>LEN(Table2[[#This Row],[CLID]])</f>
        <v>7</v>
      </c>
      <c r="E723" s="2" t="str">
        <f>_xlfn.XLOOKUP('Volume Data'!A:A,'Geo Data'!D:D,'Geo Data'!B:B)</f>
        <v>GEO1003</v>
      </c>
      <c r="F723" s="2" t="str">
        <f>INDEX(GeoByClient[GEOID],MATCH(Table2[[#This Row],[CLID]],GeoByClient[Right],0))</f>
        <v>GEO1003</v>
      </c>
      <c r="G723" s="2" t="str">
        <f>_xlfn.XLOOKUP(Table2[[#This Row],[Xlookup Region ID]],GEONames[GEOID],GEONames[GEO Name])</f>
        <v>EMEA</v>
      </c>
      <c r="H723" s="2" t="str">
        <f>"Q"&amp;ROUNDUP(MONTH(Table2[[#This Row],[Date]])/3,0)&amp;" "&amp;YEAR(Table2[[#This Row],[Date]])</f>
        <v>Q3 2024</v>
      </c>
      <c r="I723" s="2" t="str">
        <f>VLOOKUP(Table2[[#This Row],[Date]],Table7[],3)</f>
        <v>Q3 2024</v>
      </c>
    </row>
    <row r="724" spans="1:9" x14ac:dyDescent="0.25">
      <c r="A724" s="3" t="s">
        <v>18</v>
      </c>
      <c r="B724" s="3">
        <v>45596</v>
      </c>
      <c r="C724" s="6">
        <v>364</v>
      </c>
      <c r="D724" s="2">
        <f>LEN(Table2[[#This Row],[CLID]])</f>
        <v>7</v>
      </c>
      <c r="E724" s="2" t="str">
        <f>_xlfn.XLOOKUP('Volume Data'!A:A,'Geo Data'!D:D,'Geo Data'!B:B)</f>
        <v>GEO1003</v>
      </c>
      <c r="F724" s="2" t="str">
        <f>INDEX(GeoByClient[GEOID],MATCH(Table2[[#This Row],[CLID]],GeoByClient[Right],0))</f>
        <v>GEO1003</v>
      </c>
      <c r="G724" s="2" t="str">
        <f>_xlfn.XLOOKUP(Table2[[#This Row],[Xlookup Region ID]],GEONames[GEOID],GEONames[GEO Name])</f>
        <v>EMEA</v>
      </c>
      <c r="H724" s="2" t="str">
        <f>"Q"&amp;ROUNDUP(MONTH(Table2[[#This Row],[Date]])/3,0)&amp;" "&amp;YEAR(Table2[[#This Row],[Date]])</f>
        <v>Q4 2024</v>
      </c>
      <c r="I724" s="2" t="str">
        <f>VLOOKUP(Table2[[#This Row],[Date]],Table7[],3)</f>
        <v>Q4 2024</v>
      </c>
    </row>
    <row r="725" spans="1:9" x14ac:dyDescent="0.25">
      <c r="A725" s="3" t="s">
        <v>18</v>
      </c>
      <c r="B725" s="3">
        <v>45626</v>
      </c>
      <c r="C725" s="6">
        <v>627</v>
      </c>
      <c r="D725" s="2">
        <f>LEN(Table2[[#This Row],[CLID]])</f>
        <v>7</v>
      </c>
      <c r="E725" s="2" t="str">
        <f>_xlfn.XLOOKUP('Volume Data'!A:A,'Geo Data'!D:D,'Geo Data'!B:B)</f>
        <v>GEO1003</v>
      </c>
      <c r="F725" s="2" t="str">
        <f>INDEX(GeoByClient[GEOID],MATCH(Table2[[#This Row],[CLID]],GeoByClient[Right],0))</f>
        <v>GEO1003</v>
      </c>
      <c r="G725" s="2" t="str">
        <f>_xlfn.XLOOKUP(Table2[[#This Row],[Xlookup Region ID]],GEONames[GEOID],GEONames[GEO Name])</f>
        <v>EMEA</v>
      </c>
      <c r="H725" s="2" t="str">
        <f>"Q"&amp;ROUNDUP(MONTH(Table2[[#This Row],[Date]])/3,0)&amp;" "&amp;YEAR(Table2[[#This Row],[Date]])</f>
        <v>Q4 2024</v>
      </c>
      <c r="I725" s="2" t="str">
        <f>VLOOKUP(Table2[[#This Row],[Date]],Table7[],3)</f>
        <v>Q4 2024</v>
      </c>
    </row>
    <row r="726" spans="1:9" x14ac:dyDescent="0.25">
      <c r="A726" s="3" t="s">
        <v>18</v>
      </c>
      <c r="B726" s="3">
        <v>45657</v>
      </c>
      <c r="C726" s="6">
        <v>429</v>
      </c>
      <c r="D726" s="2">
        <f>LEN(Table2[[#This Row],[CLID]])</f>
        <v>7</v>
      </c>
      <c r="E726" s="2" t="str">
        <f>_xlfn.XLOOKUP('Volume Data'!A:A,'Geo Data'!D:D,'Geo Data'!B:B)</f>
        <v>GEO1003</v>
      </c>
      <c r="F726" s="2" t="str">
        <f>INDEX(GeoByClient[GEOID],MATCH(Table2[[#This Row],[CLID]],GeoByClient[Right],0))</f>
        <v>GEO1003</v>
      </c>
      <c r="G726" s="2" t="str">
        <f>_xlfn.XLOOKUP(Table2[[#This Row],[Xlookup Region ID]],GEONames[GEOID],GEONames[GEO Name])</f>
        <v>EMEA</v>
      </c>
      <c r="H726" s="2" t="str">
        <f>"Q"&amp;ROUNDUP(MONTH(Table2[[#This Row],[Date]])/3,0)&amp;" "&amp;YEAR(Table2[[#This Row],[Date]])</f>
        <v>Q4 2024</v>
      </c>
      <c r="I726" s="2" t="str">
        <f>VLOOKUP(Table2[[#This Row],[Date]],Table7[],3)</f>
        <v>Q4 2024</v>
      </c>
    </row>
    <row r="727" spans="1:9" x14ac:dyDescent="0.25">
      <c r="A727" s="3" t="s">
        <v>18</v>
      </c>
      <c r="B727" s="3">
        <v>45838</v>
      </c>
      <c r="C727" s="6">
        <v>441</v>
      </c>
      <c r="D727" s="2">
        <f>LEN(Table2[[#This Row],[CLID]])</f>
        <v>7</v>
      </c>
      <c r="E727" s="2" t="str">
        <f>_xlfn.XLOOKUP('Volume Data'!A:A,'Geo Data'!D:D,'Geo Data'!B:B)</f>
        <v>GEO1003</v>
      </c>
      <c r="F727" s="2" t="str">
        <f>INDEX(GeoByClient[GEOID],MATCH(Table2[[#This Row],[CLID]],GeoByClient[Right],0))</f>
        <v>GEO1003</v>
      </c>
      <c r="G727" s="2" t="str">
        <f>_xlfn.XLOOKUP(Table2[[#This Row],[Xlookup Region ID]],GEONames[GEOID],GEONames[GEO Name])</f>
        <v>EMEA</v>
      </c>
      <c r="H727" s="2" t="str">
        <f>"Q"&amp;ROUNDUP(MONTH(Table2[[#This Row],[Date]])/3,0)&amp;" "&amp;YEAR(Table2[[#This Row],[Date]])</f>
        <v>Q2 2025</v>
      </c>
      <c r="I727" s="2" t="str">
        <f>VLOOKUP(Table2[[#This Row],[Date]],Table7[],3)</f>
        <v>Q2 2025</v>
      </c>
    </row>
    <row r="728" spans="1:9" x14ac:dyDescent="0.25">
      <c r="A728" s="3" t="s">
        <v>18</v>
      </c>
      <c r="B728" s="3">
        <v>45808</v>
      </c>
      <c r="C728" s="6">
        <v>813</v>
      </c>
      <c r="D728" s="2">
        <f>LEN(Table2[[#This Row],[CLID]])</f>
        <v>7</v>
      </c>
      <c r="E728" s="2" t="str">
        <f>_xlfn.XLOOKUP('Volume Data'!A:A,'Geo Data'!D:D,'Geo Data'!B:B)</f>
        <v>GEO1003</v>
      </c>
      <c r="F728" s="2" t="str">
        <f>INDEX(GeoByClient[GEOID],MATCH(Table2[[#This Row],[CLID]],GeoByClient[Right],0))</f>
        <v>GEO1003</v>
      </c>
      <c r="G728" s="2" t="str">
        <f>_xlfn.XLOOKUP(Table2[[#This Row],[Xlookup Region ID]],GEONames[GEOID],GEONames[GEO Name])</f>
        <v>EMEA</v>
      </c>
      <c r="H728" s="2" t="str">
        <f>"Q"&amp;ROUNDUP(MONTH(Table2[[#This Row],[Date]])/3,0)&amp;" "&amp;YEAR(Table2[[#This Row],[Date]])</f>
        <v>Q2 2025</v>
      </c>
      <c r="I728" s="2" t="str">
        <f>VLOOKUP(Table2[[#This Row],[Date]],Table7[],3)</f>
        <v>Q2 2025</v>
      </c>
    </row>
    <row r="729" spans="1:9" x14ac:dyDescent="0.25">
      <c r="A729" s="3" t="s">
        <v>18</v>
      </c>
      <c r="B729" s="3">
        <v>45777</v>
      </c>
      <c r="C729" s="6">
        <v>689</v>
      </c>
      <c r="D729" s="2">
        <f>LEN(Table2[[#This Row],[CLID]])</f>
        <v>7</v>
      </c>
      <c r="E729" s="2" t="str">
        <f>_xlfn.XLOOKUP('Volume Data'!A:A,'Geo Data'!D:D,'Geo Data'!B:B)</f>
        <v>GEO1003</v>
      </c>
      <c r="F729" s="2" t="str">
        <f>INDEX(GeoByClient[GEOID],MATCH(Table2[[#This Row],[CLID]],GeoByClient[Right],0))</f>
        <v>GEO1003</v>
      </c>
      <c r="G729" s="2" t="str">
        <f>_xlfn.XLOOKUP(Table2[[#This Row],[Xlookup Region ID]],GEONames[GEOID],GEONames[GEO Name])</f>
        <v>EMEA</v>
      </c>
      <c r="H729" s="2" t="str">
        <f>"Q"&amp;ROUNDUP(MONTH(Table2[[#This Row],[Date]])/3,0)&amp;" "&amp;YEAR(Table2[[#This Row],[Date]])</f>
        <v>Q2 2025</v>
      </c>
      <c r="I729" s="2" t="str">
        <f>VLOOKUP(Table2[[#This Row],[Date]],Table7[],3)</f>
        <v>Q2 2025</v>
      </c>
    </row>
    <row r="730" spans="1:9" x14ac:dyDescent="0.25">
      <c r="A730" s="3" t="s">
        <v>18</v>
      </c>
      <c r="B730" s="3">
        <v>45747</v>
      </c>
      <c r="C730" s="6">
        <v>769</v>
      </c>
      <c r="D730" s="2">
        <f>LEN(Table2[[#This Row],[CLID]])</f>
        <v>7</v>
      </c>
      <c r="E730" s="2" t="str">
        <f>_xlfn.XLOOKUP('Volume Data'!A:A,'Geo Data'!D:D,'Geo Data'!B:B)</f>
        <v>GEO1003</v>
      </c>
      <c r="F730" s="2" t="str">
        <f>INDEX(GeoByClient[GEOID],MATCH(Table2[[#This Row],[CLID]],GeoByClient[Right],0))</f>
        <v>GEO1003</v>
      </c>
      <c r="G730" s="2" t="str">
        <f>_xlfn.XLOOKUP(Table2[[#This Row],[Xlookup Region ID]],GEONames[GEOID],GEONames[GEO Name])</f>
        <v>EMEA</v>
      </c>
      <c r="H730" s="2" t="str">
        <f>"Q"&amp;ROUNDUP(MONTH(Table2[[#This Row],[Date]])/3,0)&amp;" "&amp;YEAR(Table2[[#This Row],[Date]])</f>
        <v>Q1 2025</v>
      </c>
      <c r="I730" s="2" t="str">
        <f>VLOOKUP(Table2[[#This Row],[Date]],Table7[],3)</f>
        <v>Q4 2024</v>
      </c>
    </row>
    <row r="731" spans="1:9" x14ac:dyDescent="0.25">
      <c r="A731" s="3" t="s">
        <v>18</v>
      </c>
      <c r="B731" s="3">
        <v>45716</v>
      </c>
      <c r="C731" s="6">
        <v>504</v>
      </c>
      <c r="D731" s="2">
        <f>LEN(Table2[[#This Row],[CLID]])</f>
        <v>7</v>
      </c>
      <c r="E731" s="2" t="str">
        <f>_xlfn.XLOOKUP('Volume Data'!A:A,'Geo Data'!D:D,'Geo Data'!B:B)</f>
        <v>GEO1003</v>
      </c>
      <c r="F731" s="2" t="str">
        <f>INDEX(GeoByClient[GEOID],MATCH(Table2[[#This Row],[CLID]],GeoByClient[Right],0))</f>
        <v>GEO1003</v>
      </c>
      <c r="G731" s="2" t="str">
        <f>_xlfn.XLOOKUP(Table2[[#This Row],[Xlookup Region ID]],GEONames[GEOID],GEONames[GEO Name])</f>
        <v>EMEA</v>
      </c>
      <c r="H731" s="2" t="str">
        <f>"Q"&amp;ROUNDUP(MONTH(Table2[[#This Row],[Date]])/3,0)&amp;" "&amp;YEAR(Table2[[#This Row],[Date]])</f>
        <v>Q1 2025</v>
      </c>
      <c r="I731" s="2" t="str">
        <f>VLOOKUP(Table2[[#This Row],[Date]],Table7[],3)</f>
        <v>Q4 2024</v>
      </c>
    </row>
    <row r="732" spans="1:9" x14ac:dyDescent="0.25">
      <c r="A732" s="3" t="s">
        <v>18</v>
      </c>
      <c r="B732" s="3">
        <v>45688</v>
      </c>
      <c r="C732" s="6">
        <v>618</v>
      </c>
      <c r="D732" s="2">
        <f>LEN(Table2[[#This Row],[CLID]])</f>
        <v>7</v>
      </c>
      <c r="E732" s="2" t="str">
        <f>_xlfn.XLOOKUP('Volume Data'!A:A,'Geo Data'!D:D,'Geo Data'!B:B)</f>
        <v>GEO1003</v>
      </c>
      <c r="F732" s="2" t="str">
        <f>INDEX(GeoByClient[GEOID],MATCH(Table2[[#This Row],[CLID]],GeoByClient[Right],0))</f>
        <v>GEO1003</v>
      </c>
      <c r="G732" s="2" t="str">
        <f>_xlfn.XLOOKUP(Table2[[#This Row],[Xlookup Region ID]],GEONames[GEOID],GEONames[GEO Name])</f>
        <v>EMEA</v>
      </c>
      <c r="H732" s="2" t="str">
        <f>"Q"&amp;ROUNDUP(MONTH(Table2[[#This Row],[Date]])/3,0)&amp;" "&amp;YEAR(Table2[[#This Row],[Date]])</f>
        <v>Q1 2025</v>
      </c>
      <c r="I732" s="2" t="str">
        <f>VLOOKUP(Table2[[#This Row],[Date]],Table7[],3)</f>
        <v>Q4 2024</v>
      </c>
    </row>
    <row r="733" spans="1:9" x14ac:dyDescent="0.25">
      <c r="A733" s="3" t="s">
        <v>20</v>
      </c>
      <c r="B733" s="3">
        <v>45322</v>
      </c>
      <c r="C733" s="6">
        <v>19825</v>
      </c>
      <c r="D733" s="2">
        <f>LEN(Table2[[#This Row],[CLID]])</f>
        <v>7</v>
      </c>
      <c r="E733" s="2" t="str">
        <f>_xlfn.XLOOKUP('Volume Data'!A:A,'Geo Data'!D:D,'Geo Data'!B:B)</f>
        <v>GEO1003</v>
      </c>
      <c r="F733" s="2" t="str">
        <f>INDEX(GeoByClient[GEOID],MATCH(Table2[[#This Row],[CLID]],GeoByClient[Right],0))</f>
        <v>GEO1003</v>
      </c>
      <c r="G733" s="2" t="str">
        <f>_xlfn.XLOOKUP(Table2[[#This Row],[Xlookup Region ID]],GEONames[GEOID],GEONames[GEO Name])</f>
        <v>EMEA</v>
      </c>
      <c r="H733" s="2" t="str">
        <f>"Q"&amp;ROUNDUP(MONTH(Table2[[#This Row],[Date]])/3,0)&amp;" "&amp;YEAR(Table2[[#This Row],[Date]])</f>
        <v>Q1 2024</v>
      </c>
      <c r="I733" s="2" t="str">
        <f>VLOOKUP(Table2[[#This Row],[Date]],Table7[],3)</f>
        <v>Q1 2024</v>
      </c>
    </row>
    <row r="734" spans="1:9" x14ac:dyDescent="0.25">
      <c r="A734" s="3" t="s">
        <v>20</v>
      </c>
      <c r="B734" s="3">
        <v>45351</v>
      </c>
      <c r="C734" s="6">
        <v>28323</v>
      </c>
      <c r="D734" s="2">
        <f>LEN(Table2[[#This Row],[CLID]])</f>
        <v>7</v>
      </c>
      <c r="E734" s="2" t="str">
        <f>_xlfn.XLOOKUP('Volume Data'!A:A,'Geo Data'!D:D,'Geo Data'!B:B)</f>
        <v>GEO1003</v>
      </c>
      <c r="F734" s="2" t="str">
        <f>INDEX(GeoByClient[GEOID],MATCH(Table2[[#This Row],[CLID]],GeoByClient[Right],0))</f>
        <v>GEO1003</v>
      </c>
      <c r="G734" s="2" t="str">
        <f>_xlfn.XLOOKUP(Table2[[#This Row],[Xlookup Region ID]],GEONames[GEOID],GEONames[GEO Name])</f>
        <v>EMEA</v>
      </c>
      <c r="H734" s="2" t="str">
        <f>"Q"&amp;ROUNDUP(MONTH(Table2[[#This Row],[Date]])/3,0)&amp;" "&amp;YEAR(Table2[[#This Row],[Date]])</f>
        <v>Q1 2024</v>
      </c>
      <c r="I734" s="2" t="str">
        <f>VLOOKUP(Table2[[#This Row],[Date]],Table7[],3)</f>
        <v>Q1 2024</v>
      </c>
    </row>
    <row r="735" spans="1:9" x14ac:dyDescent="0.25">
      <c r="A735" s="3" t="s">
        <v>20</v>
      </c>
      <c r="B735" s="3">
        <v>45382</v>
      </c>
      <c r="C735" s="6">
        <v>25490</v>
      </c>
      <c r="D735" s="2">
        <f>LEN(Table2[[#This Row],[CLID]])</f>
        <v>7</v>
      </c>
      <c r="E735" s="2" t="str">
        <f>_xlfn.XLOOKUP('Volume Data'!A:A,'Geo Data'!D:D,'Geo Data'!B:B)</f>
        <v>GEO1003</v>
      </c>
      <c r="F735" s="2" t="str">
        <f>INDEX(GeoByClient[GEOID],MATCH(Table2[[#This Row],[CLID]],GeoByClient[Right],0))</f>
        <v>GEO1003</v>
      </c>
      <c r="G735" s="2" t="str">
        <f>_xlfn.XLOOKUP(Table2[[#This Row],[Xlookup Region ID]],GEONames[GEOID],GEONames[GEO Name])</f>
        <v>EMEA</v>
      </c>
      <c r="H735" s="2" t="str">
        <f>"Q"&amp;ROUNDUP(MONTH(Table2[[#This Row],[Date]])/3,0)&amp;" "&amp;YEAR(Table2[[#This Row],[Date]])</f>
        <v>Q1 2024</v>
      </c>
      <c r="I735" s="2" t="str">
        <f>VLOOKUP(Table2[[#This Row],[Date]],Table7[],3)</f>
        <v>Q1 2024</v>
      </c>
    </row>
    <row r="736" spans="1:9" x14ac:dyDescent="0.25">
      <c r="A736" s="3" t="s">
        <v>20</v>
      </c>
      <c r="B736" s="3">
        <v>45412</v>
      </c>
      <c r="C736" s="6">
        <v>36816</v>
      </c>
      <c r="D736" s="2">
        <f>LEN(Table2[[#This Row],[CLID]])</f>
        <v>7</v>
      </c>
      <c r="E736" s="2" t="str">
        <f>_xlfn.XLOOKUP('Volume Data'!A:A,'Geo Data'!D:D,'Geo Data'!B:B)</f>
        <v>GEO1003</v>
      </c>
      <c r="F736" s="2" t="str">
        <f>INDEX(GeoByClient[GEOID],MATCH(Table2[[#This Row],[CLID]],GeoByClient[Right],0))</f>
        <v>GEO1003</v>
      </c>
      <c r="G736" s="2" t="str">
        <f>_xlfn.XLOOKUP(Table2[[#This Row],[Xlookup Region ID]],GEONames[GEOID],GEONames[GEO Name])</f>
        <v>EMEA</v>
      </c>
      <c r="H736" s="2" t="str">
        <f>"Q"&amp;ROUNDUP(MONTH(Table2[[#This Row],[Date]])/3,0)&amp;" "&amp;YEAR(Table2[[#This Row],[Date]])</f>
        <v>Q2 2024</v>
      </c>
      <c r="I736" s="2" t="str">
        <f>VLOOKUP(Table2[[#This Row],[Date]],Table7[],3)</f>
        <v>Q2 2024</v>
      </c>
    </row>
    <row r="737" spans="1:9" x14ac:dyDescent="0.25">
      <c r="A737" s="3" t="s">
        <v>20</v>
      </c>
      <c r="B737" s="3">
        <v>45443</v>
      </c>
      <c r="C737" s="6">
        <v>28322</v>
      </c>
      <c r="D737" s="2">
        <f>LEN(Table2[[#This Row],[CLID]])</f>
        <v>7</v>
      </c>
      <c r="E737" s="2" t="str">
        <f>_xlfn.XLOOKUP('Volume Data'!A:A,'Geo Data'!D:D,'Geo Data'!B:B)</f>
        <v>GEO1003</v>
      </c>
      <c r="F737" s="2" t="str">
        <f>INDEX(GeoByClient[GEOID],MATCH(Table2[[#This Row],[CLID]],GeoByClient[Right],0))</f>
        <v>GEO1003</v>
      </c>
      <c r="G737" s="2" t="str">
        <f>_xlfn.XLOOKUP(Table2[[#This Row],[Xlookup Region ID]],GEONames[GEOID],GEONames[GEO Name])</f>
        <v>EMEA</v>
      </c>
      <c r="H737" s="2" t="str">
        <f>"Q"&amp;ROUNDUP(MONTH(Table2[[#This Row],[Date]])/3,0)&amp;" "&amp;YEAR(Table2[[#This Row],[Date]])</f>
        <v>Q2 2024</v>
      </c>
      <c r="I737" s="2" t="str">
        <f>VLOOKUP(Table2[[#This Row],[Date]],Table7[],3)</f>
        <v>Q2 2024</v>
      </c>
    </row>
    <row r="738" spans="1:9" x14ac:dyDescent="0.25">
      <c r="A738" s="3" t="s">
        <v>20</v>
      </c>
      <c r="B738" s="3">
        <v>45473</v>
      </c>
      <c r="C738" s="6">
        <v>25486</v>
      </c>
      <c r="D738" s="2">
        <f>LEN(Table2[[#This Row],[CLID]])</f>
        <v>7</v>
      </c>
      <c r="E738" s="2" t="str">
        <f>_xlfn.XLOOKUP('Volume Data'!A:A,'Geo Data'!D:D,'Geo Data'!B:B)</f>
        <v>GEO1003</v>
      </c>
      <c r="F738" s="2" t="str">
        <f>INDEX(GeoByClient[GEOID],MATCH(Table2[[#This Row],[CLID]],GeoByClient[Right],0))</f>
        <v>GEO1003</v>
      </c>
      <c r="G738" s="2" t="str">
        <f>_xlfn.XLOOKUP(Table2[[#This Row],[Xlookup Region ID]],GEONames[GEOID],GEONames[GEO Name])</f>
        <v>EMEA</v>
      </c>
      <c r="H738" s="2" t="str">
        <f>"Q"&amp;ROUNDUP(MONTH(Table2[[#This Row],[Date]])/3,0)&amp;" "&amp;YEAR(Table2[[#This Row],[Date]])</f>
        <v>Q2 2024</v>
      </c>
      <c r="I738" s="2" t="str">
        <f>VLOOKUP(Table2[[#This Row],[Date]],Table7[],3)</f>
        <v>Q2 2024</v>
      </c>
    </row>
    <row r="739" spans="1:9" x14ac:dyDescent="0.25">
      <c r="A739" s="3" t="s">
        <v>20</v>
      </c>
      <c r="B739" s="3">
        <v>45504</v>
      </c>
      <c r="C739" s="6">
        <v>16995</v>
      </c>
      <c r="D739" s="2">
        <f>LEN(Table2[[#This Row],[CLID]])</f>
        <v>7</v>
      </c>
      <c r="E739" s="2" t="str">
        <f>_xlfn.XLOOKUP('Volume Data'!A:A,'Geo Data'!D:D,'Geo Data'!B:B)</f>
        <v>GEO1003</v>
      </c>
      <c r="F739" s="2" t="str">
        <f>INDEX(GeoByClient[GEOID],MATCH(Table2[[#This Row],[CLID]],GeoByClient[Right],0))</f>
        <v>GEO1003</v>
      </c>
      <c r="G739" s="2" t="str">
        <f>_xlfn.XLOOKUP(Table2[[#This Row],[Xlookup Region ID]],GEONames[GEOID],GEONames[GEO Name])</f>
        <v>EMEA</v>
      </c>
      <c r="H739" s="2" t="str">
        <f>"Q"&amp;ROUNDUP(MONTH(Table2[[#This Row],[Date]])/3,0)&amp;" "&amp;YEAR(Table2[[#This Row],[Date]])</f>
        <v>Q3 2024</v>
      </c>
      <c r="I739" s="2" t="str">
        <f>VLOOKUP(Table2[[#This Row],[Date]],Table7[],3)</f>
        <v>Q3 2024</v>
      </c>
    </row>
    <row r="740" spans="1:9" x14ac:dyDescent="0.25">
      <c r="A740" s="3" t="s">
        <v>20</v>
      </c>
      <c r="B740" s="3">
        <v>45535</v>
      </c>
      <c r="C740" s="6">
        <v>19826</v>
      </c>
      <c r="D740" s="2">
        <f>LEN(Table2[[#This Row],[CLID]])</f>
        <v>7</v>
      </c>
      <c r="E740" s="2" t="str">
        <f>_xlfn.XLOOKUP('Volume Data'!A:A,'Geo Data'!D:D,'Geo Data'!B:B)</f>
        <v>GEO1003</v>
      </c>
      <c r="F740" s="2" t="str">
        <f>INDEX(GeoByClient[GEOID],MATCH(Table2[[#This Row],[CLID]],GeoByClient[Right],0))</f>
        <v>GEO1003</v>
      </c>
      <c r="G740" s="2" t="str">
        <f>_xlfn.XLOOKUP(Table2[[#This Row],[Xlookup Region ID]],GEONames[GEOID],GEONames[GEO Name])</f>
        <v>EMEA</v>
      </c>
      <c r="H740" s="2" t="str">
        <f>"Q"&amp;ROUNDUP(MONTH(Table2[[#This Row],[Date]])/3,0)&amp;" "&amp;YEAR(Table2[[#This Row],[Date]])</f>
        <v>Q3 2024</v>
      </c>
      <c r="I740" s="2" t="str">
        <f>VLOOKUP(Table2[[#This Row],[Date]],Table7[],3)</f>
        <v>Q3 2024</v>
      </c>
    </row>
    <row r="741" spans="1:9" x14ac:dyDescent="0.25">
      <c r="A741" s="3" t="s">
        <v>20</v>
      </c>
      <c r="B741" s="3">
        <v>45565</v>
      </c>
      <c r="C741" s="6">
        <v>14163</v>
      </c>
      <c r="D741" s="2">
        <f>LEN(Table2[[#This Row],[CLID]])</f>
        <v>7</v>
      </c>
      <c r="E741" s="2" t="str">
        <f>_xlfn.XLOOKUP('Volume Data'!A:A,'Geo Data'!D:D,'Geo Data'!B:B)</f>
        <v>GEO1003</v>
      </c>
      <c r="F741" s="2" t="str">
        <f>INDEX(GeoByClient[GEOID],MATCH(Table2[[#This Row],[CLID]],GeoByClient[Right],0))</f>
        <v>GEO1003</v>
      </c>
      <c r="G741" s="2" t="str">
        <f>_xlfn.XLOOKUP(Table2[[#This Row],[Xlookup Region ID]],GEONames[GEOID],GEONames[GEO Name])</f>
        <v>EMEA</v>
      </c>
      <c r="H741" s="2" t="str">
        <f>"Q"&amp;ROUNDUP(MONTH(Table2[[#This Row],[Date]])/3,0)&amp;" "&amp;YEAR(Table2[[#This Row],[Date]])</f>
        <v>Q3 2024</v>
      </c>
      <c r="I741" s="2" t="str">
        <f>VLOOKUP(Table2[[#This Row],[Date]],Table7[],3)</f>
        <v>Q3 2024</v>
      </c>
    </row>
    <row r="742" spans="1:9" x14ac:dyDescent="0.25">
      <c r="A742" s="3" t="s">
        <v>20</v>
      </c>
      <c r="B742" s="3">
        <v>45596</v>
      </c>
      <c r="C742" s="6">
        <v>22655</v>
      </c>
      <c r="D742" s="2">
        <f>LEN(Table2[[#This Row],[CLID]])</f>
        <v>7</v>
      </c>
      <c r="E742" s="2" t="str">
        <f>_xlfn.XLOOKUP('Volume Data'!A:A,'Geo Data'!D:D,'Geo Data'!B:B)</f>
        <v>GEO1003</v>
      </c>
      <c r="F742" s="2" t="str">
        <f>INDEX(GeoByClient[GEOID],MATCH(Table2[[#This Row],[CLID]],GeoByClient[Right],0))</f>
        <v>GEO1003</v>
      </c>
      <c r="G742" s="2" t="str">
        <f>_xlfn.XLOOKUP(Table2[[#This Row],[Xlookup Region ID]],GEONames[GEOID],GEONames[GEO Name])</f>
        <v>EMEA</v>
      </c>
      <c r="H742" s="2" t="str">
        <f>"Q"&amp;ROUNDUP(MONTH(Table2[[#This Row],[Date]])/3,0)&amp;" "&amp;YEAR(Table2[[#This Row],[Date]])</f>
        <v>Q4 2024</v>
      </c>
      <c r="I742" s="2" t="str">
        <f>VLOOKUP(Table2[[#This Row],[Date]],Table7[],3)</f>
        <v>Q4 2024</v>
      </c>
    </row>
    <row r="743" spans="1:9" x14ac:dyDescent="0.25">
      <c r="A743" s="3" t="s">
        <v>20</v>
      </c>
      <c r="B743" s="3">
        <v>45626</v>
      </c>
      <c r="C743" s="6">
        <v>19822</v>
      </c>
      <c r="D743" s="2">
        <f>LEN(Table2[[#This Row],[CLID]])</f>
        <v>7</v>
      </c>
      <c r="E743" s="2" t="str">
        <f>_xlfn.XLOOKUP('Volume Data'!A:A,'Geo Data'!D:D,'Geo Data'!B:B)</f>
        <v>GEO1003</v>
      </c>
      <c r="F743" s="2" t="str">
        <f>INDEX(GeoByClient[GEOID],MATCH(Table2[[#This Row],[CLID]],GeoByClient[Right],0))</f>
        <v>GEO1003</v>
      </c>
      <c r="G743" s="2" t="str">
        <f>_xlfn.XLOOKUP(Table2[[#This Row],[Xlookup Region ID]],GEONames[GEOID],GEONames[GEO Name])</f>
        <v>EMEA</v>
      </c>
      <c r="H743" s="2" t="str">
        <f>"Q"&amp;ROUNDUP(MONTH(Table2[[#This Row],[Date]])/3,0)&amp;" "&amp;YEAR(Table2[[#This Row],[Date]])</f>
        <v>Q4 2024</v>
      </c>
      <c r="I743" s="2" t="str">
        <f>VLOOKUP(Table2[[#This Row],[Date]],Table7[],3)</f>
        <v>Q4 2024</v>
      </c>
    </row>
    <row r="744" spans="1:9" x14ac:dyDescent="0.25">
      <c r="A744" s="3" t="s">
        <v>20</v>
      </c>
      <c r="B744" s="3">
        <v>45657</v>
      </c>
      <c r="C744" s="6">
        <v>25485</v>
      </c>
      <c r="D744" s="2">
        <f>LEN(Table2[[#This Row],[CLID]])</f>
        <v>7</v>
      </c>
      <c r="E744" s="2" t="str">
        <f>_xlfn.XLOOKUP('Volume Data'!A:A,'Geo Data'!D:D,'Geo Data'!B:B)</f>
        <v>GEO1003</v>
      </c>
      <c r="F744" s="2" t="str">
        <f>INDEX(GeoByClient[GEOID],MATCH(Table2[[#This Row],[CLID]],GeoByClient[Right],0))</f>
        <v>GEO1003</v>
      </c>
      <c r="G744" s="2" t="str">
        <f>_xlfn.XLOOKUP(Table2[[#This Row],[Xlookup Region ID]],GEONames[GEOID],GEONames[GEO Name])</f>
        <v>EMEA</v>
      </c>
      <c r="H744" s="2" t="str">
        <f>"Q"&amp;ROUNDUP(MONTH(Table2[[#This Row],[Date]])/3,0)&amp;" "&amp;YEAR(Table2[[#This Row],[Date]])</f>
        <v>Q4 2024</v>
      </c>
      <c r="I744" s="2" t="str">
        <f>VLOOKUP(Table2[[#This Row],[Date]],Table7[],3)</f>
        <v>Q4 2024</v>
      </c>
    </row>
    <row r="745" spans="1:9" x14ac:dyDescent="0.25">
      <c r="A745" s="3" t="s">
        <v>20</v>
      </c>
      <c r="B745" s="3">
        <v>45838</v>
      </c>
      <c r="C745" s="6">
        <v>26509</v>
      </c>
      <c r="D745" s="2">
        <f>LEN(Table2[[#This Row],[CLID]])</f>
        <v>7</v>
      </c>
      <c r="E745" s="2" t="str">
        <f>_xlfn.XLOOKUP('Volume Data'!A:A,'Geo Data'!D:D,'Geo Data'!B:B)</f>
        <v>GEO1003</v>
      </c>
      <c r="F745" s="2" t="str">
        <f>INDEX(GeoByClient[GEOID],MATCH(Table2[[#This Row],[CLID]],GeoByClient[Right],0))</f>
        <v>GEO1003</v>
      </c>
      <c r="G745" s="2" t="str">
        <f>_xlfn.XLOOKUP(Table2[[#This Row],[Xlookup Region ID]],GEONames[GEOID],GEONames[GEO Name])</f>
        <v>EMEA</v>
      </c>
      <c r="H745" s="2" t="str">
        <f>"Q"&amp;ROUNDUP(MONTH(Table2[[#This Row],[Date]])/3,0)&amp;" "&amp;YEAR(Table2[[#This Row],[Date]])</f>
        <v>Q2 2025</v>
      </c>
      <c r="I745" s="2" t="str">
        <f>VLOOKUP(Table2[[#This Row],[Date]],Table7[],3)</f>
        <v>Q2 2025</v>
      </c>
    </row>
    <row r="746" spans="1:9" x14ac:dyDescent="0.25">
      <c r="A746" s="3" t="s">
        <v>20</v>
      </c>
      <c r="B746" s="3">
        <v>45808</v>
      </c>
      <c r="C746" s="6">
        <v>28176</v>
      </c>
      <c r="D746" s="2">
        <f>LEN(Table2[[#This Row],[CLID]])</f>
        <v>7</v>
      </c>
      <c r="E746" s="2" t="str">
        <f>_xlfn.XLOOKUP('Volume Data'!A:A,'Geo Data'!D:D,'Geo Data'!B:B)</f>
        <v>GEO1003</v>
      </c>
      <c r="F746" s="2" t="str">
        <f>INDEX(GeoByClient[GEOID],MATCH(Table2[[#This Row],[CLID]],GeoByClient[Right],0))</f>
        <v>GEO1003</v>
      </c>
      <c r="G746" s="2" t="str">
        <f>_xlfn.XLOOKUP(Table2[[#This Row],[Xlookup Region ID]],GEONames[GEOID],GEONames[GEO Name])</f>
        <v>EMEA</v>
      </c>
      <c r="H746" s="2" t="str">
        <f>"Q"&amp;ROUNDUP(MONTH(Table2[[#This Row],[Date]])/3,0)&amp;" "&amp;YEAR(Table2[[#This Row],[Date]])</f>
        <v>Q2 2025</v>
      </c>
      <c r="I746" s="2" t="str">
        <f>VLOOKUP(Table2[[#This Row],[Date]],Table7[],3)</f>
        <v>Q2 2025</v>
      </c>
    </row>
    <row r="747" spans="1:9" x14ac:dyDescent="0.25">
      <c r="A747" s="3" t="s">
        <v>20</v>
      </c>
      <c r="B747" s="3">
        <v>45777</v>
      </c>
      <c r="C747" s="6">
        <v>37182</v>
      </c>
      <c r="D747" s="2">
        <f>LEN(Table2[[#This Row],[CLID]])</f>
        <v>7</v>
      </c>
      <c r="E747" s="2" t="str">
        <f>_xlfn.XLOOKUP('Volume Data'!A:A,'Geo Data'!D:D,'Geo Data'!B:B)</f>
        <v>GEO1003</v>
      </c>
      <c r="F747" s="2" t="str">
        <f>INDEX(GeoByClient[GEOID],MATCH(Table2[[#This Row],[CLID]],GeoByClient[Right],0))</f>
        <v>GEO1003</v>
      </c>
      <c r="G747" s="2" t="str">
        <f>_xlfn.XLOOKUP(Table2[[#This Row],[Xlookup Region ID]],GEONames[GEOID],GEONames[GEO Name])</f>
        <v>EMEA</v>
      </c>
      <c r="H747" s="2" t="str">
        <f>"Q"&amp;ROUNDUP(MONTH(Table2[[#This Row],[Date]])/3,0)&amp;" "&amp;YEAR(Table2[[#This Row],[Date]])</f>
        <v>Q2 2025</v>
      </c>
      <c r="I747" s="2" t="str">
        <f>VLOOKUP(Table2[[#This Row],[Date]],Table7[],3)</f>
        <v>Q2 2025</v>
      </c>
    </row>
    <row r="748" spans="1:9" x14ac:dyDescent="0.25">
      <c r="A748" s="3" t="s">
        <v>20</v>
      </c>
      <c r="B748" s="3">
        <v>45747</v>
      </c>
      <c r="C748" s="6">
        <v>25741</v>
      </c>
      <c r="D748" s="2">
        <f>LEN(Table2[[#This Row],[CLID]])</f>
        <v>7</v>
      </c>
      <c r="E748" s="2" t="str">
        <f>_xlfn.XLOOKUP('Volume Data'!A:A,'Geo Data'!D:D,'Geo Data'!B:B)</f>
        <v>GEO1003</v>
      </c>
      <c r="F748" s="2" t="str">
        <f>INDEX(GeoByClient[GEOID],MATCH(Table2[[#This Row],[CLID]],GeoByClient[Right],0))</f>
        <v>GEO1003</v>
      </c>
      <c r="G748" s="2" t="str">
        <f>_xlfn.XLOOKUP(Table2[[#This Row],[Xlookup Region ID]],GEONames[GEOID],GEONames[GEO Name])</f>
        <v>EMEA</v>
      </c>
      <c r="H748" s="2" t="str">
        <f>"Q"&amp;ROUNDUP(MONTH(Table2[[#This Row],[Date]])/3,0)&amp;" "&amp;YEAR(Table2[[#This Row],[Date]])</f>
        <v>Q1 2025</v>
      </c>
      <c r="I748" s="2" t="str">
        <f>VLOOKUP(Table2[[#This Row],[Date]],Table7[],3)</f>
        <v>Q4 2024</v>
      </c>
    </row>
    <row r="749" spans="1:9" x14ac:dyDescent="0.25">
      <c r="A749" s="3" t="s">
        <v>20</v>
      </c>
      <c r="B749" s="3">
        <v>45716</v>
      </c>
      <c r="C749" s="6">
        <v>28605</v>
      </c>
      <c r="D749" s="2">
        <f>LEN(Table2[[#This Row],[CLID]])</f>
        <v>7</v>
      </c>
      <c r="E749" s="2" t="str">
        <f>_xlfn.XLOOKUP('Volume Data'!A:A,'Geo Data'!D:D,'Geo Data'!B:B)</f>
        <v>GEO1003</v>
      </c>
      <c r="F749" s="2" t="str">
        <f>INDEX(GeoByClient[GEOID],MATCH(Table2[[#This Row],[CLID]],GeoByClient[Right],0))</f>
        <v>GEO1003</v>
      </c>
      <c r="G749" s="2" t="str">
        <f>_xlfn.XLOOKUP(Table2[[#This Row],[Xlookup Region ID]],GEONames[GEOID],GEONames[GEO Name])</f>
        <v>EMEA</v>
      </c>
      <c r="H749" s="2" t="str">
        <f>"Q"&amp;ROUNDUP(MONTH(Table2[[#This Row],[Date]])/3,0)&amp;" "&amp;YEAR(Table2[[#This Row],[Date]])</f>
        <v>Q1 2025</v>
      </c>
      <c r="I749" s="2" t="str">
        <f>VLOOKUP(Table2[[#This Row],[Date]],Table7[],3)</f>
        <v>Q4 2024</v>
      </c>
    </row>
    <row r="750" spans="1:9" x14ac:dyDescent="0.25">
      <c r="A750" s="3" t="s">
        <v>20</v>
      </c>
      <c r="B750" s="3">
        <v>45688</v>
      </c>
      <c r="C750" s="6">
        <v>20218</v>
      </c>
      <c r="D750" s="2">
        <f>LEN(Table2[[#This Row],[CLID]])</f>
        <v>7</v>
      </c>
      <c r="E750" s="2" t="str">
        <f>_xlfn.XLOOKUP('Volume Data'!A:A,'Geo Data'!D:D,'Geo Data'!B:B)</f>
        <v>GEO1003</v>
      </c>
      <c r="F750" s="2" t="str">
        <f>INDEX(GeoByClient[GEOID],MATCH(Table2[[#This Row],[CLID]],GeoByClient[Right],0))</f>
        <v>GEO1003</v>
      </c>
      <c r="G750" s="2" t="str">
        <f>_xlfn.XLOOKUP(Table2[[#This Row],[Xlookup Region ID]],GEONames[GEOID],GEONames[GEO Name])</f>
        <v>EMEA</v>
      </c>
      <c r="H750" s="2" t="str">
        <f>"Q"&amp;ROUNDUP(MONTH(Table2[[#This Row],[Date]])/3,0)&amp;" "&amp;YEAR(Table2[[#This Row],[Date]])</f>
        <v>Q1 2025</v>
      </c>
      <c r="I750" s="2" t="str">
        <f>VLOOKUP(Table2[[#This Row],[Date]],Table7[],3)</f>
        <v>Q4 2024</v>
      </c>
    </row>
    <row r="751" spans="1:9" x14ac:dyDescent="0.25">
      <c r="A751" s="3" t="s">
        <v>32</v>
      </c>
      <c r="B751" s="3">
        <v>45322</v>
      </c>
      <c r="C751" s="6">
        <v>967</v>
      </c>
      <c r="D751" s="2">
        <f>LEN(Table2[[#This Row],[CLID]])</f>
        <v>7</v>
      </c>
      <c r="E751" s="2" t="str">
        <f>_xlfn.XLOOKUP('Volume Data'!A:A,'Geo Data'!D:D,'Geo Data'!B:B)</f>
        <v>GEO1003</v>
      </c>
      <c r="F751" s="2" t="str">
        <f>INDEX(GeoByClient[GEOID],MATCH(Table2[[#This Row],[CLID]],GeoByClient[Right],0))</f>
        <v>GEO1003</v>
      </c>
      <c r="G751" s="2" t="str">
        <f>_xlfn.XLOOKUP(Table2[[#This Row],[Xlookup Region ID]],GEONames[GEOID],GEONames[GEO Name])</f>
        <v>EMEA</v>
      </c>
      <c r="H751" s="2" t="str">
        <f>"Q"&amp;ROUNDUP(MONTH(Table2[[#This Row],[Date]])/3,0)&amp;" "&amp;YEAR(Table2[[#This Row],[Date]])</f>
        <v>Q1 2024</v>
      </c>
      <c r="I751" s="2" t="str">
        <f>VLOOKUP(Table2[[#This Row],[Date]],Table7[],3)</f>
        <v>Q1 2024</v>
      </c>
    </row>
    <row r="752" spans="1:9" x14ac:dyDescent="0.25">
      <c r="A752" s="3" t="s">
        <v>32</v>
      </c>
      <c r="B752" s="3">
        <v>45351</v>
      </c>
      <c r="C752" s="6">
        <v>1088</v>
      </c>
      <c r="D752" s="2">
        <f>LEN(Table2[[#This Row],[CLID]])</f>
        <v>7</v>
      </c>
      <c r="E752" s="2" t="str">
        <f>_xlfn.XLOOKUP('Volume Data'!A:A,'Geo Data'!D:D,'Geo Data'!B:B)</f>
        <v>GEO1003</v>
      </c>
      <c r="F752" s="2" t="str">
        <f>INDEX(GeoByClient[GEOID],MATCH(Table2[[#This Row],[CLID]],GeoByClient[Right],0))</f>
        <v>GEO1003</v>
      </c>
      <c r="G752" s="2" t="str">
        <f>_xlfn.XLOOKUP(Table2[[#This Row],[Xlookup Region ID]],GEONames[GEOID],GEONames[GEO Name])</f>
        <v>EMEA</v>
      </c>
      <c r="H752" s="2" t="str">
        <f>"Q"&amp;ROUNDUP(MONTH(Table2[[#This Row],[Date]])/3,0)&amp;" "&amp;YEAR(Table2[[#This Row],[Date]])</f>
        <v>Q1 2024</v>
      </c>
      <c r="I752" s="2" t="str">
        <f>VLOOKUP(Table2[[#This Row],[Date]],Table7[],3)</f>
        <v>Q1 2024</v>
      </c>
    </row>
    <row r="753" spans="1:9" x14ac:dyDescent="0.25">
      <c r="A753" s="3" t="s">
        <v>32</v>
      </c>
      <c r="B753" s="3">
        <v>45382</v>
      </c>
      <c r="C753" s="6">
        <v>1209</v>
      </c>
      <c r="D753" s="2">
        <f>LEN(Table2[[#This Row],[CLID]])</f>
        <v>7</v>
      </c>
      <c r="E753" s="2" t="str">
        <f>_xlfn.XLOOKUP('Volume Data'!A:A,'Geo Data'!D:D,'Geo Data'!B:B)</f>
        <v>GEO1003</v>
      </c>
      <c r="F753" s="2" t="str">
        <f>INDEX(GeoByClient[GEOID],MATCH(Table2[[#This Row],[CLID]],GeoByClient[Right],0))</f>
        <v>GEO1003</v>
      </c>
      <c r="G753" s="2" t="str">
        <f>_xlfn.XLOOKUP(Table2[[#This Row],[Xlookup Region ID]],GEONames[GEOID],GEONames[GEO Name])</f>
        <v>EMEA</v>
      </c>
      <c r="H753" s="2" t="str">
        <f>"Q"&amp;ROUNDUP(MONTH(Table2[[#This Row],[Date]])/3,0)&amp;" "&amp;YEAR(Table2[[#This Row],[Date]])</f>
        <v>Q1 2024</v>
      </c>
      <c r="I753" s="2" t="str">
        <f>VLOOKUP(Table2[[#This Row],[Date]],Table7[],3)</f>
        <v>Q1 2024</v>
      </c>
    </row>
    <row r="754" spans="1:9" x14ac:dyDescent="0.25">
      <c r="A754" s="3" t="s">
        <v>32</v>
      </c>
      <c r="B754" s="3">
        <v>45412</v>
      </c>
      <c r="C754" s="6">
        <v>1449</v>
      </c>
      <c r="D754" s="2">
        <f>LEN(Table2[[#This Row],[CLID]])</f>
        <v>7</v>
      </c>
      <c r="E754" s="2" t="str">
        <f>_xlfn.XLOOKUP('Volume Data'!A:A,'Geo Data'!D:D,'Geo Data'!B:B)</f>
        <v>GEO1003</v>
      </c>
      <c r="F754" s="2" t="str">
        <f>INDEX(GeoByClient[GEOID],MATCH(Table2[[#This Row],[CLID]],GeoByClient[Right],0))</f>
        <v>GEO1003</v>
      </c>
      <c r="G754" s="2" t="str">
        <f>_xlfn.XLOOKUP(Table2[[#This Row],[Xlookup Region ID]],GEONames[GEOID],GEONames[GEO Name])</f>
        <v>EMEA</v>
      </c>
      <c r="H754" s="2" t="str">
        <f>"Q"&amp;ROUNDUP(MONTH(Table2[[#This Row],[Date]])/3,0)&amp;" "&amp;YEAR(Table2[[#This Row],[Date]])</f>
        <v>Q2 2024</v>
      </c>
      <c r="I754" s="2" t="str">
        <f>VLOOKUP(Table2[[#This Row],[Date]],Table7[],3)</f>
        <v>Q2 2024</v>
      </c>
    </row>
    <row r="755" spans="1:9" x14ac:dyDescent="0.25">
      <c r="A755" s="3" t="s">
        <v>32</v>
      </c>
      <c r="B755" s="3">
        <v>45443</v>
      </c>
      <c r="C755" s="6">
        <v>1327</v>
      </c>
      <c r="D755" s="2">
        <f>LEN(Table2[[#This Row],[CLID]])</f>
        <v>7</v>
      </c>
      <c r="E755" s="2" t="str">
        <f>_xlfn.XLOOKUP('Volume Data'!A:A,'Geo Data'!D:D,'Geo Data'!B:B)</f>
        <v>GEO1003</v>
      </c>
      <c r="F755" s="2" t="str">
        <f>INDEX(GeoByClient[GEOID],MATCH(Table2[[#This Row],[CLID]],GeoByClient[Right],0))</f>
        <v>GEO1003</v>
      </c>
      <c r="G755" s="2" t="str">
        <f>_xlfn.XLOOKUP(Table2[[#This Row],[Xlookup Region ID]],GEONames[GEOID],GEONames[GEO Name])</f>
        <v>EMEA</v>
      </c>
      <c r="H755" s="2" t="str">
        <f>"Q"&amp;ROUNDUP(MONTH(Table2[[#This Row],[Date]])/3,0)&amp;" "&amp;YEAR(Table2[[#This Row],[Date]])</f>
        <v>Q2 2024</v>
      </c>
      <c r="I755" s="2" t="str">
        <f>VLOOKUP(Table2[[#This Row],[Date]],Table7[],3)</f>
        <v>Q2 2024</v>
      </c>
    </row>
    <row r="756" spans="1:9" x14ac:dyDescent="0.25">
      <c r="A756" s="3" t="s">
        <v>32</v>
      </c>
      <c r="B756" s="3">
        <v>45473</v>
      </c>
      <c r="C756" s="6">
        <v>964</v>
      </c>
      <c r="D756" s="2">
        <f>LEN(Table2[[#This Row],[CLID]])</f>
        <v>7</v>
      </c>
      <c r="E756" s="2" t="str">
        <f>_xlfn.XLOOKUP('Volume Data'!A:A,'Geo Data'!D:D,'Geo Data'!B:B)</f>
        <v>GEO1003</v>
      </c>
      <c r="F756" s="2" t="str">
        <f>INDEX(GeoByClient[GEOID],MATCH(Table2[[#This Row],[CLID]],GeoByClient[Right],0))</f>
        <v>GEO1003</v>
      </c>
      <c r="G756" s="2" t="str">
        <f>_xlfn.XLOOKUP(Table2[[#This Row],[Xlookup Region ID]],GEONames[GEOID],GEONames[GEO Name])</f>
        <v>EMEA</v>
      </c>
      <c r="H756" s="2" t="str">
        <f>"Q"&amp;ROUNDUP(MONTH(Table2[[#This Row],[Date]])/3,0)&amp;" "&amp;YEAR(Table2[[#This Row],[Date]])</f>
        <v>Q2 2024</v>
      </c>
      <c r="I756" s="2" t="str">
        <f>VLOOKUP(Table2[[#This Row],[Date]],Table7[],3)</f>
        <v>Q2 2024</v>
      </c>
    </row>
    <row r="757" spans="1:9" x14ac:dyDescent="0.25">
      <c r="A757" s="3" t="s">
        <v>32</v>
      </c>
      <c r="B757" s="3">
        <v>45504</v>
      </c>
      <c r="C757" s="6">
        <v>844</v>
      </c>
      <c r="D757" s="2">
        <f>LEN(Table2[[#This Row],[CLID]])</f>
        <v>7</v>
      </c>
      <c r="E757" s="2" t="str">
        <f>_xlfn.XLOOKUP('Volume Data'!A:A,'Geo Data'!D:D,'Geo Data'!B:B)</f>
        <v>GEO1003</v>
      </c>
      <c r="F757" s="2" t="str">
        <f>INDEX(GeoByClient[GEOID],MATCH(Table2[[#This Row],[CLID]],GeoByClient[Right],0))</f>
        <v>GEO1003</v>
      </c>
      <c r="G757" s="2" t="str">
        <f>_xlfn.XLOOKUP(Table2[[#This Row],[Xlookup Region ID]],GEONames[GEOID],GEONames[GEO Name])</f>
        <v>EMEA</v>
      </c>
      <c r="H757" s="2" t="str">
        <f>"Q"&amp;ROUNDUP(MONTH(Table2[[#This Row],[Date]])/3,0)&amp;" "&amp;YEAR(Table2[[#This Row],[Date]])</f>
        <v>Q3 2024</v>
      </c>
      <c r="I757" s="2" t="str">
        <f>VLOOKUP(Table2[[#This Row],[Date]],Table7[],3)</f>
        <v>Q3 2024</v>
      </c>
    </row>
    <row r="758" spans="1:9" x14ac:dyDescent="0.25">
      <c r="A758" s="3" t="s">
        <v>32</v>
      </c>
      <c r="B758" s="3">
        <v>45535</v>
      </c>
      <c r="C758" s="6">
        <v>728</v>
      </c>
      <c r="D758" s="2">
        <f>LEN(Table2[[#This Row],[CLID]])</f>
        <v>7</v>
      </c>
      <c r="E758" s="2" t="str">
        <f>_xlfn.XLOOKUP('Volume Data'!A:A,'Geo Data'!D:D,'Geo Data'!B:B)</f>
        <v>GEO1003</v>
      </c>
      <c r="F758" s="2" t="str">
        <f>INDEX(GeoByClient[GEOID],MATCH(Table2[[#This Row],[CLID]],GeoByClient[Right],0))</f>
        <v>GEO1003</v>
      </c>
      <c r="G758" s="2" t="str">
        <f>_xlfn.XLOOKUP(Table2[[#This Row],[Xlookup Region ID]],GEONames[GEOID],GEONames[GEO Name])</f>
        <v>EMEA</v>
      </c>
      <c r="H758" s="2" t="str">
        <f>"Q"&amp;ROUNDUP(MONTH(Table2[[#This Row],[Date]])/3,0)&amp;" "&amp;YEAR(Table2[[#This Row],[Date]])</f>
        <v>Q3 2024</v>
      </c>
      <c r="I758" s="2" t="str">
        <f>VLOOKUP(Table2[[#This Row],[Date]],Table7[],3)</f>
        <v>Q3 2024</v>
      </c>
    </row>
    <row r="759" spans="1:9" x14ac:dyDescent="0.25">
      <c r="A759" s="3" t="s">
        <v>32</v>
      </c>
      <c r="B759" s="3">
        <v>45565</v>
      </c>
      <c r="C759" s="6">
        <v>729</v>
      </c>
      <c r="D759" s="2">
        <f>LEN(Table2[[#This Row],[CLID]])</f>
        <v>7</v>
      </c>
      <c r="E759" s="2" t="str">
        <f>_xlfn.XLOOKUP('Volume Data'!A:A,'Geo Data'!D:D,'Geo Data'!B:B)</f>
        <v>GEO1003</v>
      </c>
      <c r="F759" s="2" t="str">
        <f>INDEX(GeoByClient[GEOID],MATCH(Table2[[#This Row],[CLID]],GeoByClient[Right],0))</f>
        <v>GEO1003</v>
      </c>
      <c r="G759" s="2" t="str">
        <f>_xlfn.XLOOKUP(Table2[[#This Row],[Xlookup Region ID]],GEONames[GEOID],GEONames[GEO Name])</f>
        <v>EMEA</v>
      </c>
      <c r="H759" s="2" t="str">
        <f>"Q"&amp;ROUNDUP(MONTH(Table2[[#This Row],[Date]])/3,0)&amp;" "&amp;YEAR(Table2[[#This Row],[Date]])</f>
        <v>Q3 2024</v>
      </c>
      <c r="I759" s="2" t="str">
        <f>VLOOKUP(Table2[[#This Row],[Date]],Table7[],3)</f>
        <v>Q3 2024</v>
      </c>
    </row>
    <row r="760" spans="1:9" x14ac:dyDescent="0.25">
      <c r="A760" s="3" t="s">
        <v>32</v>
      </c>
      <c r="B760" s="3">
        <v>45596</v>
      </c>
      <c r="C760" s="6">
        <v>849</v>
      </c>
      <c r="D760" s="2">
        <f>LEN(Table2[[#This Row],[CLID]])</f>
        <v>7</v>
      </c>
      <c r="E760" s="2" t="str">
        <f>_xlfn.XLOOKUP('Volume Data'!A:A,'Geo Data'!D:D,'Geo Data'!B:B)</f>
        <v>GEO1003</v>
      </c>
      <c r="F760" s="2" t="str">
        <f>INDEX(GeoByClient[GEOID],MATCH(Table2[[#This Row],[CLID]],GeoByClient[Right],0))</f>
        <v>GEO1003</v>
      </c>
      <c r="G760" s="2" t="str">
        <f>_xlfn.XLOOKUP(Table2[[#This Row],[Xlookup Region ID]],GEONames[GEOID],GEONames[GEO Name])</f>
        <v>EMEA</v>
      </c>
      <c r="H760" s="2" t="str">
        <f>"Q"&amp;ROUNDUP(MONTH(Table2[[#This Row],[Date]])/3,0)&amp;" "&amp;YEAR(Table2[[#This Row],[Date]])</f>
        <v>Q4 2024</v>
      </c>
      <c r="I760" s="2" t="str">
        <f>VLOOKUP(Table2[[#This Row],[Date]],Table7[],3)</f>
        <v>Q4 2024</v>
      </c>
    </row>
    <row r="761" spans="1:9" x14ac:dyDescent="0.25">
      <c r="A761" s="3" t="s">
        <v>32</v>
      </c>
      <c r="B761" s="3">
        <v>45626</v>
      </c>
      <c r="C761" s="6">
        <v>970</v>
      </c>
      <c r="D761" s="2">
        <f>LEN(Table2[[#This Row],[CLID]])</f>
        <v>7</v>
      </c>
      <c r="E761" s="2" t="str">
        <f>_xlfn.XLOOKUP('Volume Data'!A:A,'Geo Data'!D:D,'Geo Data'!B:B)</f>
        <v>GEO1003</v>
      </c>
      <c r="F761" s="2" t="str">
        <f>INDEX(GeoByClient[GEOID],MATCH(Table2[[#This Row],[CLID]],GeoByClient[Right],0))</f>
        <v>GEO1003</v>
      </c>
      <c r="G761" s="2" t="str">
        <f>_xlfn.XLOOKUP(Table2[[#This Row],[Xlookup Region ID]],GEONames[GEOID],GEONames[GEO Name])</f>
        <v>EMEA</v>
      </c>
      <c r="H761" s="2" t="str">
        <f>"Q"&amp;ROUNDUP(MONTH(Table2[[#This Row],[Date]])/3,0)&amp;" "&amp;YEAR(Table2[[#This Row],[Date]])</f>
        <v>Q4 2024</v>
      </c>
      <c r="I761" s="2" t="str">
        <f>VLOOKUP(Table2[[#This Row],[Date]],Table7[],3)</f>
        <v>Q4 2024</v>
      </c>
    </row>
    <row r="762" spans="1:9" x14ac:dyDescent="0.25">
      <c r="A762" s="3" t="s">
        <v>32</v>
      </c>
      <c r="B762" s="3">
        <v>45657</v>
      </c>
      <c r="C762" s="6">
        <v>965</v>
      </c>
      <c r="D762" s="2">
        <f>LEN(Table2[[#This Row],[CLID]])</f>
        <v>7</v>
      </c>
      <c r="E762" s="2" t="str">
        <f>_xlfn.XLOOKUP('Volume Data'!A:A,'Geo Data'!D:D,'Geo Data'!B:B)</f>
        <v>GEO1003</v>
      </c>
      <c r="F762" s="2" t="str">
        <f>INDEX(GeoByClient[GEOID],MATCH(Table2[[#This Row],[CLID]],GeoByClient[Right],0))</f>
        <v>GEO1003</v>
      </c>
      <c r="G762" s="2" t="str">
        <f>_xlfn.XLOOKUP(Table2[[#This Row],[Xlookup Region ID]],GEONames[GEOID],GEONames[GEO Name])</f>
        <v>EMEA</v>
      </c>
      <c r="H762" s="2" t="str">
        <f>"Q"&amp;ROUNDUP(MONTH(Table2[[#This Row],[Date]])/3,0)&amp;" "&amp;YEAR(Table2[[#This Row],[Date]])</f>
        <v>Q4 2024</v>
      </c>
      <c r="I762" s="2" t="str">
        <f>VLOOKUP(Table2[[#This Row],[Date]],Table7[],3)</f>
        <v>Q4 2024</v>
      </c>
    </row>
    <row r="763" spans="1:9" x14ac:dyDescent="0.25">
      <c r="A763" s="3" t="s">
        <v>32</v>
      </c>
      <c r="B763" s="3">
        <v>45838</v>
      </c>
      <c r="C763" s="6">
        <v>985</v>
      </c>
      <c r="D763" s="2">
        <f>LEN(Table2[[#This Row],[CLID]])</f>
        <v>7</v>
      </c>
      <c r="E763" s="2" t="str">
        <f>_xlfn.XLOOKUP('Volume Data'!A:A,'Geo Data'!D:D,'Geo Data'!B:B)</f>
        <v>GEO1003</v>
      </c>
      <c r="F763" s="2" t="str">
        <f>INDEX(GeoByClient[GEOID],MATCH(Table2[[#This Row],[CLID]],GeoByClient[Right],0))</f>
        <v>GEO1003</v>
      </c>
      <c r="G763" s="2" t="str">
        <f>_xlfn.XLOOKUP(Table2[[#This Row],[Xlookup Region ID]],GEONames[GEOID],GEONames[GEO Name])</f>
        <v>EMEA</v>
      </c>
      <c r="H763" s="2" t="str">
        <f>"Q"&amp;ROUNDUP(MONTH(Table2[[#This Row],[Date]])/3,0)&amp;" "&amp;YEAR(Table2[[#This Row],[Date]])</f>
        <v>Q2 2025</v>
      </c>
      <c r="I763" s="2" t="str">
        <f>VLOOKUP(Table2[[#This Row],[Date]],Table7[],3)</f>
        <v>Q2 2025</v>
      </c>
    </row>
    <row r="764" spans="1:9" x14ac:dyDescent="0.25">
      <c r="A764" s="3" t="s">
        <v>32</v>
      </c>
      <c r="B764" s="3">
        <v>45808</v>
      </c>
      <c r="C764" s="6">
        <v>1318</v>
      </c>
      <c r="D764" s="2">
        <f>LEN(Table2[[#This Row],[CLID]])</f>
        <v>7</v>
      </c>
      <c r="E764" s="2" t="str">
        <f>_xlfn.XLOOKUP('Volume Data'!A:A,'Geo Data'!D:D,'Geo Data'!B:B)</f>
        <v>GEO1003</v>
      </c>
      <c r="F764" s="2" t="str">
        <f>INDEX(GeoByClient[GEOID],MATCH(Table2[[#This Row],[CLID]],GeoByClient[Right],0))</f>
        <v>GEO1003</v>
      </c>
      <c r="G764" s="2" t="str">
        <f>_xlfn.XLOOKUP(Table2[[#This Row],[Xlookup Region ID]],GEONames[GEOID],GEONames[GEO Name])</f>
        <v>EMEA</v>
      </c>
      <c r="H764" s="2" t="str">
        <f>"Q"&amp;ROUNDUP(MONTH(Table2[[#This Row],[Date]])/3,0)&amp;" "&amp;YEAR(Table2[[#This Row],[Date]])</f>
        <v>Q2 2025</v>
      </c>
      <c r="I764" s="2" t="str">
        <f>VLOOKUP(Table2[[#This Row],[Date]],Table7[],3)</f>
        <v>Q2 2025</v>
      </c>
    </row>
    <row r="765" spans="1:9" x14ac:dyDescent="0.25">
      <c r="A765" s="3" t="s">
        <v>32</v>
      </c>
      <c r="B765" s="3">
        <v>45777</v>
      </c>
      <c r="C765" s="6">
        <v>1435</v>
      </c>
      <c r="D765" s="2">
        <f>LEN(Table2[[#This Row],[CLID]])</f>
        <v>7</v>
      </c>
      <c r="E765" s="2" t="str">
        <f>_xlfn.XLOOKUP('Volume Data'!A:A,'Geo Data'!D:D,'Geo Data'!B:B)</f>
        <v>GEO1003</v>
      </c>
      <c r="F765" s="2" t="str">
        <f>INDEX(GeoByClient[GEOID],MATCH(Table2[[#This Row],[CLID]],GeoByClient[Right],0))</f>
        <v>GEO1003</v>
      </c>
      <c r="G765" s="2" t="str">
        <f>_xlfn.XLOOKUP(Table2[[#This Row],[Xlookup Region ID]],GEONames[GEOID],GEONames[GEO Name])</f>
        <v>EMEA</v>
      </c>
      <c r="H765" s="2" t="str">
        <f>"Q"&amp;ROUNDUP(MONTH(Table2[[#This Row],[Date]])/3,0)&amp;" "&amp;YEAR(Table2[[#This Row],[Date]])</f>
        <v>Q2 2025</v>
      </c>
      <c r="I765" s="2" t="str">
        <f>VLOOKUP(Table2[[#This Row],[Date]],Table7[],3)</f>
        <v>Q2 2025</v>
      </c>
    </row>
    <row r="766" spans="1:9" x14ac:dyDescent="0.25">
      <c r="A766" s="3" t="s">
        <v>32</v>
      </c>
      <c r="B766" s="3">
        <v>45747</v>
      </c>
      <c r="C766" s="6">
        <v>1221</v>
      </c>
      <c r="D766" s="2">
        <f>LEN(Table2[[#This Row],[CLID]])</f>
        <v>7</v>
      </c>
      <c r="E766" s="2" t="str">
        <f>_xlfn.XLOOKUP('Volume Data'!A:A,'Geo Data'!D:D,'Geo Data'!B:B)</f>
        <v>GEO1003</v>
      </c>
      <c r="F766" s="2" t="str">
        <f>INDEX(GeoByClient[GEOID],MATCH(Table2[[#This Row],[CLID]],GeoByClient[Right],0))</f>
        <v>GEO1003</v>
      </c>
      <c r="G766" s="2" t="str">
        <f>_xlfn.XLOOKUP(Table2[[#This Row],[Xlookup Region ID]],GEONames[GEOID],GEONames[GEO Name])</f>
        <v>EMEA</v>
      </c>
      <c r="H766" s="2" t="str">
        <f>"Q"&amp;ROUNDUP(MONTH(Table2[[#This Row],[Date]])/3,0)&amp;" "&amp;YEAR(Table2[[#This Row],[Date]])</f>
        <v>Q1 2025</v>
      </c>
      <c r="I766" s="2" t="str">
        <f>VLOOKUP(Table2[[#This Row],[Date]],Table7[],3)</f>
        <v>Q4 2024</v>
      </c>
    </row>
    <row r="767" spans="1:9" x14ac:dyDescent="0.25">
      <c r="A767" s="3" t="s">
        <v>32</v>
      </c>
      <c r="B767" s="3">
        <v>45716</v>
      </c>
      <c r="C767" s="6">
        <v>1076</v>
      </c>
      <c r="D767" s="2">
        <f>LEN(Table2[[#This Row],[CLID]])</f>
        <v>7</v>
      </c>
      <c r="E767" s="2" t="str">
        <f>_xlfn.XLOOKUP('Volume Data'!A:A,'Geo Data'!D:D,'Geo Data'!B:B)</f>
        <v>GEO1003</v>
      </c>
      <c r="F767" s="2" t="str">
        <f>INDEX(GeoByClient[GEOID],MATCH(Table2[[#This Row],[CLID]],GeoByClient[Right],0))</f>
        <v>GEO1003</v>
      </c>
      <c r="G767" s="2" t="str">
        <f>_xlfn.XLOOKUP(Table2[[#This Row],[Xlookup Region ID]],GEONames[GEOID],GEONames[GEO Name])</f>
        <v>EMEA</v>
      </c>
      <c r="H767" s="2" t="str">
        <f>"Q"&amp;ROUNDUP(MONTH(Table2[[#This Row],[Date]])/3,0)&amp;" "&amp;YEAR(Table2[[#This Row],[Date]])</f>
        <v>Q1 2025</v>
      </c>
      <c r="I767" s="2" t="str">
        <f>VLOOKUP(Table2[[#This Row],[Date]],Table7[],3)</f>
        <v>Q4 2024</v>
      </c>
    </row>
    <row r="768" spans="1:9" x14ac:dyDescent="0.25">
      <c r="A768" s="3" t="s">
        <v>32</v>
      </c>
      <c r="B768" s="3">
        <v>45688</v>
      </c>
      <c r="C768" s="6">
        <v>998</v>
      </c>
      <c r="D768" s="2">
        <f>LEN(Table2[[#This Row],[CLID]])</f>
        <v>7</v>
      </c>
      <c r="E768" s="2" t="str">
        <f>_xlfn.XLOOKUP('Volume Data'!A:A,'Geo Data'!D:D,'Geo Data'!B:B)</f>
        <v>GEO1003</v>
      </c>
      <c r="F768" s="2" t="str">
        <f>INDEX(GeoByClient[GEOID],MATCH(Table2[[#This Row],[CLID]],GeoByClient[Right],0))</f>
        <v>GEO1003</v>
      </c>
      <c r="G768" s="2" t="str">
        <f>_xlfn.XLOOKUP(Table2[[#This Row],[Xlookup Region ID]],GEONames[GEOID],GEONames[GEO Name])</f>
        <v>EMEA</v>
      </c>
      <c r="H768" s="2" t="str">
        <f>"Q"&amp;ROUNDUP(MONTH(Table2[[#This Row],[Date]])/3,0)&amp;" "&amp;YEAR(Table2[[#This Row],[Date]])</f>
        <v>Q1 2025</v>
      </c>
      <c r="I768" s="2" t="str">
        <f>VLOOKUP(Table2[[#This Row],[Date]],Table7[],3)</f>
        <v>Q4 2024</v>
      </c>
    </row>
    <row r="769" spans="1:9" x14ac:dyDescent="0.25">
      <c r="A769" s="3" t="s">
        <v>4</v>
      </c>
      <c r="B769" s="3">
        <v>45322</v>
      </c>
      <c r="C769" s="6">
        <v>82</v>
      </c>
      <c r="D769" s="2">
        <f>LEN(Table2[[#This Row],[CLID]])</f>
        <v>7</v>
      </c>
      <c r="E769" s="2" t="str">
        <f>_xlfn.XLOOKUP('Volume Data'!A:A,'Geo Data'!D:D,'Geo Data'!B:B)</f>
        <v>GEO1003</v>
      </c>
      <c r="F769" s="2" t="str">
        <f>INDEX(GeoByClient[GEOID],MATCH(Table2[[#This Row],[CLID]],GeoByClient[Right],0))</f>
        <v>GEO1003</v>
      </c>
      <c r="G769" s="2" t="str">
        <f>_xlfn.XLOOKUP(Table2[[#This Row],[Xlookup Region ID]],GEONames[GEOID],GEONames[GEO Name])</f>
        <v>EMEA</v>
      </c>
      <c r="H769" s="2" t="str">
        <f>"Q"&amp;ROUNDUP(MONTH(Table2[[#This Row],[Date]])/3,0)&amp;" "&amp;YEAR(Table2[[#This Row],[Date]])</f>
        <v>Q1 2024</v>
      </c>
      <c r="I769" s="2" t="str">
        <f>VLOOKUP(Table2[[#This Row],[Date]],Table7[],3)</f>
        <v>Q1 2024</v>
      </c>
    </row>
    <row r="770" spans="1:9" x14ac:dyDescent="0.25">
      <c r="A770" s="3" t="s">
        <v>4</v>
      </c>
      <c r="B770" s="3">
        <v>45351</v>
      </c>
      <c r="C770" s="6">
        <v>101</v>
      </c>
      <c r="D770" s="2">
        <f>LEN(Table2[[#This Row],[CLID]])</f>
        <v>7</v>
      </c>
      <c r="E770" s="2" t="str">
        <f>_xlfn.XLOOKUP('Volume Data'!A:A,'Geo Data'!D:D,'Geo Data'!B:B)</f>
        <v>GEO1003</v>
      </c>
      <c r="F770" s="2" t="str">
        <f>INDEX(GeoByClient[GEOID],MATCH(Table2[[#This Row],[CLID]],GeoByClient[Right],0))</f>
        <v>GEO1003</v>
      </c>
      <c r="G770" s="2" t="str">
        <f>_xlfn.XLOOKUP(Table2[[#This Row],[Xlookup Region ID]],GEONames[GEOID],GEONames[GEO Name])</f>
        <v>EMEA</v>
      </c>
      <c r="H770" s="2" t="str">
        <f>"Q"&amp;ROUNDUP(MONTH(Table2[[#This Row],[Date]])/3,0)&amp;" "&amp;YEAR(Table2[[#This Row],[Date]])</f>
        <v>Q1 2024</v>
      </c>
      <c r="I770" s="2" t="str">
        <f>VLOOKUP(Table2[[#This Row],[Date]],Table7[],3)</f>
        <v>Q1 2024</v>
      </c>
    </row>
    <row r="771" spans="1:9" x14ac:dyDescent="0.25">
      <c r="A771" s="3" t="s">
        <v>4</v>
      </c>
      <c r="B771" s="3">
        <v>45382</v>
      </c>
      <c r="C771" s="6">
        <v>102</v>
      </c>
      <c r="D771" s="2">
        <f>LEN(Table2[[#This Row],[CLID]])</f>
        <v>7</v>
      </c>
      <c r="E771" s="2" t="str">
        <f>_xlfn.XLOOKUP('Volume Data'!A:A,'Geo Data'!D:D,'Geo Data'!B:B)</f>
        <v>GEO1003</v>
      </c>
      <c r="F771" s="2" t="str">
        <f>INDEX(GeoByClient[GEOID],MATCH(Table2[[#This Row],[CLID]],GeoByClient[Right],0))</f>
        <v>GEO1003</v>
      </c>
      <c r="G771" s="2" t="str">
        <f>_xlfn.XLOOKUP(Table2[[#This Row],[Xlookup Region ID]],GEONames[GEOID],GEONames[GEO Name])</f>
        <v>EMEA</v>
      </c>
      <c r="H771" s="2" t="str">
        <f>"Q"&amp;ROUNDUP(MONTH(Table2[[#This Row],[Date]])/3,0)&amp;" "&amp;YEAR(Table2[[#This Row],[Date]])</f>
        <v>Q1 2024</v>
      </c>
      <c r="I771" s="2" t="str">
        <f>VLOOKUP(Table2[[#This Row],[Date]],Table7[],3)</f>
        <v>Q1 2024</v>
      </c>
    </row>
    <row r="772" spans="1:9" x14ac:dyDescent="0.25">
      <c r="A772" s="3" t="s">
        <v>4</v>
      </c>
      <c r="B772" s="3">
        <v>45412</v>
      </c>
      <c r="C772" s="6">
        <v>126</v>
      </c>
      <c r="D772" s="2">
        <f>LEN(Table2[[#This Row],[CLID]])</f>
        <v>7</v>
      </c>
      <c r="E772" s="2" t="str">
        <f>_xlfn.XLOOKUP('Volume Data'!A:A,'Geo Data'!D:D,'Geo Data'!B:B)</f>
        <v>GEO1003</v>
      </c>
      <c r="F772" s="2" t="str">
        <f>INDEX(GeoByClient[GEOID],MATCH(Table2[[#This Row],[CLID]],GeoByClient[Right],0))</f>
        <v>GEO1003</v>
      </c>
      <c r="G772" s="2" t="str">
        <f>_xlfn.XLOOKUP(Table2[[#This Row],[Xlookup Region ID]],GEONames[GEOID],GEONames[GEO Name])</f>
        <v>EMEA</v>
      </c>
      <c r="H772" s="2" t="str">
        <f>"Q"&amp;ROUNDUP(MONTH(Table2[[#This Row],[Date]])/3,0)&amp;" "&amp;YEAR(Table2[[#This Row],[Date]])</f>
        <v>Q2 2024</v>
      </c>
      <c r="I772" s="2" t="str">
        <f>VLOOKUP(Table2[[#This Row],[Date]],Table7[],3)</f>
        <v>Q2 2024</v>
      </c>
    </row>
    <row r="773" spans="1:9" x14ac:dyDescent="0.25">
      <c r="A773" s="3" t="s">
        <v>4</v>
      </c>
      <c r="B773" s="3">
        <v>45443</v>
      </c>
      <c r="C773" s="6">
        <v>108</v>
      </c>
      <c r="D773" s="2">
        <f>LEN(Table2[[#This Row],[CLID]])</f>
        <v>7</v>
      </c>
      <c r="E773" s="2" t="str">
        <f>_xlfn.XLOOKUP('Volume Data'!A:A,'Geo Data'!D:D,'Geo Data'!B:B)</f>
        <v>GEO1003</v>
      </c>
      <c r="F773" s="2" t="str">
        <f>INDEX(GeoByClient[GEOID],MATCH(Table2[[#This Row],[CLID]],GeoByClient[Right],0))</f>
        <v>GEO1003</v>
      </c>
      <c r="G773" s="2" t="str">
        <f>_xlfn.XLOOKUP(Table2[[#This Row],[Xlookup Region ID]],GEONames[GEOID],GEONames[GEO Name])</f>
        <v>EMEA</v>
      </c>
      <c r="H773" s="2" t="str">
        <f>"Q"&amp;ROUNDUP(MONTH(Table2[[#This Row],[Date]])/3,0)&amp;" "&amp;YEAR(Table2[[#This Row],[Date]])</f>
        <v>Q2 2024</v>
      </c>
      <c r="I773" s="2" t="str">
        <f>VLOOKUP(Table2[[#This Row],[Date]],Table7[],3)</f>
        <v>Q2 2024</v>
      </c>
    </row>
    <row r="774" spans="1:9" x14ac:dyDescent="0.25">
      <c r="A774" s="3" t="s">
        <v>4</v>
      </c>
      <c r="B774" s="3">
        <v>45473</v>
      </c>
      <c r="C774" s="6">
        <v>88</v>
      </c>
      <c r="D774" s="2">
        <f>LEN(Table2[[#This Row],[CLID]])</f>
        <v>7</v>
      </c>
      <c r="E774" s="2" t="str">
        <f>_xlfn.XLOOKUP('Volume Data'!A:A,'Geo Data'!D:D,'Geo Data'!B:B)</f>
        <v>GEO1003</v>
      </c>
      <c r="F774" s="2" t="str">
        <f>INDEX(GeoByClient[GEOID],MATCH(Table2[[#This Row],[CLID]],GeoByClient[Right],0))</f>
        <v>GEO1003</v>
      </c>
      <c r="G774" s="2" t="str">
        <f>_xlfn.XLOOKUP(Table2[[#This Row],[Xlookup Region ID]],GEONames[GEOID],GEONames[GEO Name])</f>
        <v>EMEA</v>
      </c>
      <c r="H774" s="2" t="str">
        <f>"Q"&amp;ROUNDUP(MONTH(Table2[[#This Row],[Date]])/3,0)&amp;" "&amp;YEAR(Table2[[#This Row],[Date]])</f>
        <v>Q2 2024</v>
      </c>
      <c r="I774" s="2" t="str">
        <f>VLOOKUP(Table2[[#This Row],[Date]],Table7[],3)</f>
        <v>Q2 2024</v>
      </c>
    </row>
    <row r="775" spans="1:9" x14ac:dyDescent="0.25">
      <c r="A775" s="3" t="s">
        <v>4</v>
      </c>
      <c r="B775" s="3">
        <v>45504</v>
      </c>
      <c r="C775" s="6">
        <v>68</v>
      </c>
      <c r="D775" s="2">
        <f>LEN(Table2[[#This Row],[CLID]])</f>
        <v>7</v>
      </c>
      <c r="E775" s="2" t="str">
        <f>_xlfn.XLOOKUP('Volume Data'!A:A,'Geo Data'!D:D,'Geo Data'!B:B)</f>
        <v>GEO1003</v>
      </c>
      <c r="F775" s="2" t="str">
        <f>INDEX(GeoByClient[GEOID],MATCH(Table2[[#This Row],[CLID]],GeoByClient[Right],0))</f>
        <v>GEO1003</v>
      </c>
      <c r="G775" s="2" t="str">
        <f>_xlfn.XLOOKUP(Table2[[#This Row],[Xlookup Region ID]],GEONames[GEOID],GEONames[GEO Name])</f>
        <v>EMEA</v>
      </c>
      <c r="H775" s="2" t="str">
        <f>"Q"&amp;ROUNDUP(MONTH(Table2[[#This Row],[Date]])/3,0)&amp;" "&amp;YEAR(Table2[[#This Row],[Date]])</f>
        <v>Q3 2024</v>
      </c>
      <c r="I775" s="2" t="str">
        <f>VLOOKUP(Table2[[#This Row],[Date]],Table7[],3)</f>
        <v>Q3 2024</v>
      </c>
    </row>
    <row r="776" spans="1:9" x14ac:dyDescent="0.25">
      <c r="A776" s="3" t="s">
        <v>4</v>
      </c>
      <c r="B776" s="3">
        <v>45535</v>
      </c>
      <c r="C776" s="6">
        <v>70</v>
      </c>
      <c r="D776" s="2">
        <f>LEN(Table2[[#This Row],[CLID]])</f>
        <v>7</v>
      </c>
      <c r="E776" s="2" t="str">
        <f>_xlfn.XLOOKUP('Volume Data'!A:A,'Geo Data'!D:D,'Geo Data'!B:B)</f>
        <v>GEO1003</v>
      </c>
      <c r="F776" s="2" t="str">
        <f>INDEX(GeoByClient[GEOID],MATCH(Table2[[#This Row],[CLID]],GeoByClient[Right],0))</f>
        <v>GEO1003</v>
      </c>
      <c r="G776" s="2" t="str">
        <f>_xlfn.XLOOKUP(Table2[[#This Row],[Xlookup Region ID]],GEONames[GEOID],GEONames[GEO Name])</f>
        <v>EMEA</v>
      </c>
      <c r="H776" s="2" t="str">
        <f>"Q"&amp;ROUNDUP(MONTH(Table2[[#This Row],[Date]])/3,0)&amp;" "&amp;YEAR(Table2[[#This Row],[Date]])</f>
        <v>Q3 2024</v>
      </c>
      <c r="I776" s="2" t="str">
        <f>VLOOKUP(Table2[[#This Row],[Date]],Table7[],3)</f>
        <v>Q3 2024</v>
      </c>
    </row>
    <row r="777" spans="1:9" x14ac:dyDescent="0.25">
      <c r="A777" s="3" t="s">
        <v>4</v>
      </c>
      <c r="B777" s="3">
        <v>45565</v>
      </c>
      <c r="C777" s="6">
        <v>58</v>
      </c>
      <c r="D777" s="2">
        <f>LEN(Table2[[#This Row],[CLID]])</f>
        <v>7</v>
      </c>
      <c r="E777" s="2" t="str">
        <f>_xlfn.XLOOKUP('Volume Data'!A:A,'Geo Data'!D:D,'Geo Data'!B:B)</f>
        <v>GEO1003</v>
      </c>
      <c r="F777" s="2" t="str">
        <f>INDEX(GeoByClient[GEOID],MATCH(Table2[[#This Row],[CLID]],GeoByClient[Right],0))</f>
        <v>GEO1003</v>
      </c>
      <c r="G777" s="2" t="str">
        <f>_xlfn.XLOOKUP(Table2[[#This Row],[Xlookup Region ID]],GEONames[GEOID],GEONames[GEO Name])</f>
        <v>EMEA</v>
      </c>
      <c r="H777" s="2" t="str">
        <f>"Q"&amp;ROUNDUP(MONTH(Table2[[#This Row],[Date]])/3,0)&amp;" "&amp;YEAR(Table2[[#This Row],[Date]])</f>
        <v>Q3 2024</v>
      </c>
      <c r="I777" s="2" t="str">
        <f>VLOOKUP(Table2[[#This Row],[Date]],Table7[],3)</f>
        <v>Q3 2024</v>
      </c>
    </row>
    <row r="778" spans="1:9" x14ac:dyDescent="0.25">
      <c r="A778" s="3" t="s">
        <v>4</v>
      </c>
      <c r="B778" s="3">
        <v>45596</v>
      </c>
      <c r="C778" s="6">
        <v>76</v>
      </c>
      <c r="D778" s="2">
        <f>LEN(Table2[[#This Row],[CLID]])</f>
        <v>7</v>
      </c>
      <c r="E778" s="2" t="str">
        <f>_xlfn.XLOOKUP('Volume Data'!A:A,'Geo Data'!D:D,'Geo Data'!B:B)</f>
        <v>GEO1003</v>
      </c>
      <c r="F778" s="2" t="str">
        <f>INDEX(GeoByClient[GEOID],MATCH(Table2[[#This Row],[CLID]],GeoByClient[Right],0))</f>
        <v>GEO1003</v>
      </c>
      <c r="G778" s="2" t="str">
        <f>_xlfn.XLOOKUP(Table2[[#This Row],[Xlookup Region ID]],GEONames[GEOID],GEONames[GEO Name])</f>
        <v>EMEA</v>
      </c>
      <c r="H778" s="2" t="str">
        <f>"Q"&amp;ROUNDUP(MONTH(Table2[[#This Row],[Date]])/3,0)&amp;" "&amp;YEAR(Table2[[#This Row],[Date]])</f>
        <v>Q4 2024</v>
      </c>
      <c r="I778" s="2" t="str">
        <f>VLOOKUP(Table2[[#This Row],[Date]],Table7[],3)</f>
        <v>Q4 2024</v>
      </c>
    </row>
    <row r="779" spans="1:9" x14ac:dyDescent="0.25">
      <c r="A779" s="3" t="s">
        <v>4</v>
      </c>
      <c r="B779" s="3">
        <v>45626</v>
      </c>
      <c r="C779" s="6">
        <v>81</v>
      </c>
      <c r="D779" s="2">
        <f>LEN(Table2[[#This Row],[CLID]])</f>
        <v>7</v>
      </c>
      <c r="E779" s="2" t="str">
        <f>_xlfn.XLOOKUP('Volume Data'!A:A,'Geo Data'!D:D,'Geo Data'!B:B)</f>
        <v>GEO1003</v>
      </c>
      <c r="F779" s="2" t="str">
        <f>INDEX(GeoByClient[GEOID],MATCH(Table2[[#This Row],[CLID]],GeoByClient[Right],0))</f>
        <v>GEO1003</v>
      </c>
      <c r="G779" s="2" t="str">
        <f>_xlfn.XLOOKUP(Table2[[#This Row],[Xlookup Region ID]],GEONames[GEOID],GEONames[GEO Name])</f>
        <v>EMEA</v>
      </c>
      <c r="H779" s="2" t="str">
        <f>"Q"&amp;ROUNDUP(MONTH(Table2[[#This Row],[Date]])/3,0)&amp;" "&amp;YEAR(Table2[[#This Row],[Date]])</f>
        <v>Q4 2024</v>
      </c>
      <c r="I779" s="2" t="str">
        <f>VLOOKUP(Table2[[#This Row],[Date]],Table7[],3)</f>
        <v>Q4 2024</v>
      </c>
    </row>
    <row r="780" spans="1:9" x14ac:dyDescent="0.25">
      <c r="A780" s="3" t="s">
        <v>4</v>
      </c>
      <c r="B780" s="3">
        <v>45657</v>
      </c>
      <c r="C780" s="6">
        <v>88</v>
      </c>
      <c r="D780" s="2">
        <f>LEN(Table2[[#This Row],[CLID]])</f>
        <v>7</v>
      </c>
      <c r="E780" s="2" t="str">
        <f>_xlfn.XLOOKUP('Volume Data'!A:A,'Geo Data'!D:D,'Geo Data'!B:B)</f>
        <v>GEO1003</v>
      </c>
      <c r="F780" s="2" t="str">
        <f>INDEX(GeoByClient[GEOID],MATCH(Table2[[#This Row],[CLID]],GeoByClient[Right],0))</f>
        <v>GEO1003</v>
      </c>
      <c r="G780" s="2" t="str">
        <f>_xlfn.XLOOKUP(Table2[[#This Row],[Xlookup Region ID]],GEONames[GEOID],GEONames[GEO Name])</f>
        <v>EMEA</v>
      </c>
      <c r="H780" s="2" t="str">
        <f>"Q"&amp;ROUNDUP(MONTH(Table2[[#This Row],[Date]])/3,0)&amp;" "&amp;YEAR(Table2[[#This Row],[Date]])</f>
        <v>Q4 2024</v>
      </c>
      <c r="I780" s="2" t="str">
        <f>VLOOKUP(Table2[[#This Row],[Date]],Table7[],3)</f>
        <v>Q4 2024</v>
      </c>
    </row>
    <row r="781" spans="1:9" x14ac:dyDescent="0.25">
      <c r="A781" s="3" t="s">
        <v>4</v>
      </c>
      <c r="B781" s="3">
        <v>45838</v>
      </c>
      <c r="C781" s="6">
        <v>91</v>
      </c>
      <c r="D781" s="2">
        <f>LEN(Table2[[#This Row],[CLID]])</f>
        <v>7</v>
      </c>
      <c r="E781" s="2" t="str">
        <f>_xlfn.XLOOKUP('Volume Data'!A:A,'Geo Data'!D:D,'Geo Data'!B:B)</f>
        <v>GEO1003</v>
      </c>
      <c r="F781" s="2" t="str">
        <f>INDEX(GeoByClient[GEOID],MATCH(Table2[[#This Row],[CLID]],GeoByClient[Right],0))</f>
        <v>GEO1003</v>
      </c>
      <c r="G781" s="2" t="str">
        <f>_xlfn.XLOOKUP(Table2[[#This Row],[Xlookup Region ID]],GEONames[GEOID],GEONames[GEO Name])</f>
        <v>EMEA</v>
      </c>
      <c r="H781" s="2" t="str">
        <f>"Q"&amp;ROUNDUP(MONTH(Table2[[#This Row],[Date]])/3,0)&amp;" "&amp;YEAR(Table2[[#This Row],[Date]])</f>
        <v>Q2 2025</v>
      </c>
      <c r="I781" s="2" t="str">
        <f>VLOOKUP(Table2[[#This Row],[Date]],Table7[],3)</f>
        <v>Q2 2025</v>
      </c>
    </row>
    <row r="782" spans="1:9" x14ac:dyDescent="0.25">
      <c r="A782" s="3" t="s">
        <v>4</v>
      </c>
      <c r="B782" s="3">
        <v>45808</v>
      </c>
      <c r="C782" s="6">
        <v>109</v>
      </c>
      <c r="D782" s="2">
        <f>LEN(Table2[[#This Row],[CLID]])</f>
        <v>7</v>
      </c>
      <c r="E782" s="2" t="str">
        <f>_xlfn.XLOOKUP('Volume Data'!A:A,'Geo Data'!D:D,'Geo Data'!B:B)</f>
        <v>GEO1003</v>
      </c>
      <c r="F782" s="2" t="str">
        <f>INDEX(GeoByClient[GEOID],MATCH(Table2[[#This Row],[CLID]],GeoByClient[Right],0))</f>
        <v>GEO1003</v>
      </c>
      <c r="G782" s="2" t="str">
        <f>_xlfn.XLOOKUP(Table2[[#This Row],[Xlookup Region ID]],GEONames[GEOID],GEONames[GEO Name])</f>
        <v>EMEA</v>
      </c>
      <c r="H782" s="2" t="str">
        <f>"Q"&amp;ROUNDUP(MONTH(Table2[[#This Row],[Date]])/3,0)&amp;" "&amp;YEAR(Table2[[#This Row],[Date]])</f>
        <v>Q2 2025</v>
      </c>
      <c r="I782" s="2" t="str">
        <f>VLOOKUP(Table2[[#This Row],[Date]],Table7[],3)</f>
        <v>Q2 2025</v>
      </c>
    </row>
    <row r="783" spans="1:9" x14ac:dyDescent="0.25">
      <c r="A783" s="3" t="s">
        <v>4</v>
      </c>
      <c r="B783" s="3">
        <v>45777</v>
      </c>
      <c r="C783" s="6">
        <v>130</v>
      </c>
      <c r="D783" s="2">
        <f>LEN(Table2[[#This Row],[CLID]])</f>
        <v>7</v>
      </c>
      <c r="E783" s="2" t="str">
        <f>_xlfn.XLOOKUP('Volume Data'!A:A,'Geo Data'!D:D,'Geo Data'!B:B)</f>
        <v>GEO1003</v>
      </c>
      <c r="F783" s="2" t="str">
        <f>INDEX(GeoByClient[GEOID],MATCH(Table2[[#This Row],[CLID]],GeoByClient[Right],0))</f>
        <v>GEO1003</v>
      </c>
      <c r="G783" s="2" t="str">
        <f>_xlfn.XLOOKUP(Table2[[#This Row],[Xlookup Region ID]],GEONames[GEOID],GEONames[GEO Name])</f>
        <v>EMEA</v>
      </c>
      <c r="H783" s="2" t="str">
        <f>"Q"&amp;ROUNDUP(MONTH(Table2[[#This Row],[Date]])/3,0)&amp;" "&amp;YEAR(Table2[[#This Row],[Date]])</f>
        <v>Q2 2025</v>
      </c>
      <c r="I783" s="2" t="str">
        <f>VLOOKUP(Table2[[#This Row],[Date]],Table7[],3)</f>
        <v>Q2 2025</v>
      </c>
    </row>
    <row r="784" spans="1:9" x14ac:dyDescent="0.25">
      <c r="A784" s="3" t="s">
        <v>4</v>
      </c>
      <c r="B784" s="3">
        <v>45747</v>
      </c>
      <c r="C784" s="6">
        <v>105</v>
      </c>
      <c r="D784" s="2">
        <f>LEN(Table2[[#This Row],[CLID]])</f>
        <v>7</v>
      </c>
      <c r="E784" s="2" t="str">
        <f>_xlfn.XLOOKUP('Volume Data'!A:A,'Geo Data'!D:D,'Geo Data'!B:B)</f>
        <v>GEO1003</v>
      </c>
      <c r="F784" s="2" t="str">
        <f>INDEX(GeoByClient[GEOID],MATCH(Table2[[#This Row],[CLID]],GeoByClient[Right],0))</f>
        <v>GEO1003</v>
      </c>
      <c r="G784" s="2" t="str">
        <f>_xlfn.XLOOKUP(Table2[[#This Row],[Xlookup Region ID]],GEONames[GEOID],GEONames[GEO Name])</f>
        <v>EMEA</v>
      </c>
      <c r="H784" s="2" t="str">
        <f>"Q"&amp;ROUNDUP(MONTH(Table2[[#This Row],[Date]])/3,0)&amp;" "&amp;YEAR(Table2[[#This Row],[Date]])</f>
        <v>Q1 2025</v>
      </c>
      <c r="I784" s="2" t="str">
        <f>VLOOKUP(Table2[[#This Row],[Date]],Table7[],3)</f>
        <v>Q4 2024</v>
      </c>
    </row>
    <row r="785" spans="1:9" x14ac:dyDescent="0.25">
      <c r="A785" s="3" t="s">
        <v>4</v>
      </c>
      <c r="B785" s="3">
        <v>45716</v>
      </c>
      <c r="C785" s="6">
        <v>98</v>
      </c>
      <c r="D785" s="2">
        <f>LEN(Table2[[#This Row],[CLID]])</f>
        <v>7</v>
      </c>
      <c r="E785" s="2" t="str">
        <f>_xlfn.XLOOKUP('Volume Data'!A:A,'Geo Data'!D:D,'Geo Data'!B:B)</f>
        <v>GEO1003</v>
      </c>
      <c r="F785" s="2" t="str">
        <f>INDEX(GeoByClient[GEOID],MATCH(Table2[[#This Row],[CLID]],GeoByClient[Right],0))</f>
        <v>GEO1003</v>
      </c>
      <c r="G785" s="2" t="str">
        <f>_xlfn.XLOOKUP(Table2[[#This Row],[Xlookup Region ID]],GEONames[GEOID],GEONames[GEO Name])</f>
        <v>EMEA</v>
      </c>
      <c r="H785" s="2" t="str">
        <f>"Q"&amp;ROUNDUP(MONTH(Table2[[#This Row],[Date]])/3,0)&amp;" "&amp;YEAR(Table2[[#This Row],[Date]])</f>
        <v>Q1 2025</v>
      </c>
      <c r="I785" s="2" t="str">
        <f>VLOOKUP(Table2[[#This Row],[Date]],Table7[],3)</f>
        <v>Q4 2024</v>
      </c>
    </row>
    <row r="786" spans="1:9" x14ac:dyDescent="0.25">
      <c r="A786" s="3" t="s">
        <v>4</v>
      </c>
      <c r="B786" s="3">
        <v>45688</v>
      </c>
      <c r="C786" s="6">
        <v>77</v>
      </c>
      <c r="D786" s="2">
        <f>LEN(Table2[[#This Row],[CLID]])</f>
        <v>7</v>
      </c>
      <c r="E786" s="2" t="str">
        <f>_xlfn.XLOOKUP('Volume Data'!A:A,'Geo Data'!D:D,'Geo Data'!B:B)</f>
        <v>GEO1003</v>
      </c>
      <c r="F786" s="2" t="str">
        <f>INDEX(GeoByClient[GEOID],MATCH(Table2[[#This Row],[CLID]],GeoByClient[Right],0))</f>
        <v>GEO1003</v>
      </c>
      <c r="G786" s="2" t="str">
        <f>_xlfn.XLOOKUP(Table2[[#This Row],[Xlookup Region ID]],GEONames[GEOID],GEONames[GEO Name])</f>
        <v>EMEA</v>
      </c>
      <c r="H786" s="2" t="str">
        <f>"Q"&amp;ROUNDUP(MONTH(Table2[[#This Row],[Date]])/3,0)&amp;" "&amp;YEAR(Table2[[#This Row],[Date]])</f>
        <v>Q1 2025</v>
      </c>
      <c r="I786" s="2" t="str">
        <f>VLOOKUP(Table2[[#This Row],[Date]],Table7[],3)</f>
        <v>Q4 2024</v>
      </c>
    </row>
    <row r="787" spans="1:9" x14ac:dyDescent="0.25">
      <c r="A787" s="3" t="s">
        <v>19</v>
      </c>
      <c r="B787" s="3">
        <v>45322</v>
      </c>
      <c r="C787" s="6">
        <v>568</v>
      </c>
      <c r="D787" s="2">
        <f>LEN(Table2[[#This Row],[CLID]])</f>
        <v>7</v>
      </c>
      <c r="E787" s="2" t="str">
        <f>_xlfn.XLOOKUP('Volume Data'!A:A,'Geo Data'!D:D,'Geo Data'!B:B)</f>
        <v>GEO1001</v>
      </c>
      <c r="F787" s="2" t="str">
        <f>INDEX(GeoByClient[GEOID],MATCH(Table2[[#This Row],[CLID]],GeoByClient[Right],0))</f>
        <v>GEO1001</v>
      </c>
      <c r="G787" s="2" t="str">
        <f>_xlfn.XLOOKUP(Table2[[#This Row],[Xlookup Region ID]],GEONames[GEOID],GEONames[GEO Name])</f>
        <v>NAM</v>
      </c>
      <c r="H787" s="2" t="str">
        <f>"Q"&amp;ROUNDUP(MONTH(Table2[[#This Row],[Date]])/3,0)&amp;" "&amp;YEAR(Table2[[#This Row],[Date]])</f>
        <v>Q1 2024</v>
      </c>
      <c r="I787" s="2" t="str">
        <f>VLOOKUP(Table2[[#This Row],[Date]],Table7[],3)</f>
        <v>Q1 2024</v>
      </c>
    </row>
    <row r="788" spans="1:9" x14ac:dyDescent="0.25">
      <c r="A788" s="3" t="s">
        <v>19</v>
      </c>
      <c r="B788" s="3">
        <v>45351</v>
      </c>
      <c r="C788" s="6">
        <v>636</v>
      </c>
      <c r="D788" s="2">
        <f>LEN(Table2[[#This Row],[CLID]])</f>
        <v>7</v>
      </c>
      <c r="E788" s="2" t="str">
        <f>_xlfn.XLOOKUP('Volume Data'!A:A,'Geo Data'!D:D,'Geo Data'!B:B)</f>
        <v>GEO1001</v>
      </c>
      <c r="F788" s="2" t="str">
        <f>INDEX(GeoByClient[GEOID],MATCH(Table2[[#This Row],[CLID]],GeoByClient[Right],0))</f>
        <v>GEO1001</v>
      </c>
      <c r="G788" s="2" t="str">
        <f>_xlfn.XLOOKUP(Table2[[#This Row],[Xlookup Region ID]],GEONames[GEOID],GEONames[GEO Name])</f>
        <v>NAM</v>
      </c>
      <c r="H788" s="2" t="str">
        <f>"Q"&amp;ROUNDUP(MONTH(Table2[[#This Row],[Date]])/3,0)&amp;" "&amp;YEAR(Table2[[#This Row],[Date]])</f>
        <v>Q1 2024</v>
      </c>
      <c r="I788" s="2" t="str">
        <f>VLOOKUP(Table2[[#This Row],[Date]],Table7[],3)</f>
        <v>Q1 2024</v>
      </c>
    </row>
    <row r="789" spans="1:9" x14ac:dyDescent="0.25">
      <c r="A789" s="3" t="s">
        <v>19</v>
      </c>
      <c r="B789" s="3">
        <v>45382</v>
      </c>
      <c r="C789" s="6">
        <v>707</v>
      </c>
      <c r="D789" s="2">
        <f>LEN(Table2[[#This Row],[CLID]])</f>
        <v>7</v>
      </c>
      <c r="E789" s="2" t="str">
        <f>_xlfn.XLOOKUP('Volume Data'!A:A,'Geo Data'!D:D,'Geo Data'!B:B)</f>
        <v>GEO1001</v>
      </c>
      <c r="F789" s="2" t="str">
        <f>INDEX(GeoByClient[GEOID],MATCH(Table2[[#This Row],[CLID]],GeoByClient[Right],0))</f>
        <v>GEO1001</v>
      </c>
      <c r="G789" s="2" t="str">
        <f>_xlfn.XLOOKUP(Table2[[#This Row],[Xlookup Region ID]],GEONames[GEOID],GEONames[GEO Name])</f>
        <v>NAM</v>
      </c>
      <c r="H789" s="2" t="str">
        <f>"Q"&amp;ROUNDUP(MONTH(Table2[[#This Row],[Date]])/3,0)&amp;" "&amp;YEAR(Table2[[#This Row],[Date]])</f>
        <v>Q1 2024</v>
      </c>
      <c r="I789" s="2" t="str">
        <f>VLOOKUP(Table2[[#This Row],[Date]],Table7[],3)</f>
        <v>Q1 2024</v>
      </c>
    </row>
    <row r="790" spans="1:9" x14ac:dyDescent="0.25">
      <c r="A790" s="3" t="s">
        <v>19</v>
      </c>
      <c r="B790" s="3">
        <v>45412</v>
      </c>
      <c r="C790" s="6">
        <v>849</v>
      </c>
      <c r="D790" s="2">
        <f>LEN(Table2[[#This Row],[CLID]])</f>
        <v>7</v>
      </c>
      <c r="E790" s="2" t="str">
        <f>_xlfn.XLOOKUP('Volume Data'!A:A,'Geo Data'!D:D,'Geo Data'!B:B)</f>
        <v>GEO1001</v>
      </c>
      <c r="F790" s="2" t="str">
        <f>INDEX(GeoByClient[GEOID],MATCH(Table2[[#This Row],[CLID]],GeoByClient[Right],0))</f>
        <v>GEO1001</v>
      </c>
      <c r="G790" s="2" t="str">
        <f>_xlfn.XLOOKUP(Table2[[#This Row],[Xlookup Region ID]],GEONames[GEOID],GEONames[GEO Name])</f>
        <v>NAM</v>
      </c>
      <c r="H790" s="2" t="str">
        <f>"Q"&amp;ROUNDUP(MONTH(Table2[[#This Row],[Date]])/3,0)&amp;" "&amp;YEAR(Table2[[#This Row],[Date]])</f>
        <v>Q2 2024</v>
      </c>
      <c r="I790" s="2" t="str">
        <f>VLOOKUP(Table2[[#This Row],[Date]],Table7[],3)</f>
        <v>Q2 2024</v>
      </c>
    </row>
    <row r="791" spans="1:9" x14ac:dyDescent="0.25">
      <c r="A791" s="3" t="s">
        <v>19</v>
      </c>
      <c r="B791" s="3">
        <v>45443</v>
      </c>
      <c r="C791" s="6">
        <v>779</v>
      </c>
      <c r="D791" s="2">
        <f>LEN(Table2[[#This Row],[CLID]])</f>
        <v>7</v>
      </c>
      <c r="E791" s="2" t="str">
        <f>_xlfn.XLOOKUP('Volume Data'!A:A,'Geo Data'!D:D,'Geo Data'!B:B)</f>
        <v>GEO1001</v>
      </c>
      <c r="F791" s="2" t="str">
        <f>INDEX(GeoByClient[GEOID],MATCH(Table2[[#This Row],[CLID]],GeoByClient[Right],0))</f>
        <v>GEO1001</v>
      </c>
      <c r="G791" s="2" t="str">
        <f>_xlfn.XLOOKUP(Table2[[#This Row],[Xlookup Region ID]],GEONames[GEOID],GEONames[GEO Name])</f>
        <v>NAM</v>
      </c>
      <c r="H791" s="2" t="str">
        <f>"Q"&amp;ROUNDUP(MONTH(Table2[[#This Row],[Date]])/3,0)&amp;" "&amp;YEAR(Table2[[#This Row],[Date]])</f>
        <v>Q2 2024</v>
      </c>
      <c r="I791" s="2" t="str">
        <f>VLOOKUP(Table2[[#This Row],[Date]],Table7[],3)</f>
        <v>Q2 2024</v>
      </c>
    </row>
    <row r="792" spans="1:9" x14ac:dyDescent="0.25">
      <c r="A792" s="3" t="s">
        <v>19</v>
      </c>
      <c r="B792" s="3">
        <v>45473</v>
      </c>
      <c r="C792" s="6">
        <v>566</v>
      </c>
      <c r="D792" s="2">
        <f>LEN(Table2[[#This Row],[CLID]])</f>
        <v>7</v>
      </c>
      <c r="E792" s="2" t="str">
        <f>_xlfn.XLOOKUP('Volume Data'!A:A,'Geo Data'!D:D,'Geo Data'!B:B)</f>
        <v>GEO1001</v>
      </c>
      <c r="F792" s="2" t="str">
        <f>INDEX(GeoByClient[GEOID],MATCH(Table2[[#This Row],[CLID]],GeoByClient[Right],0))</f>
        <v>GEO1001</v>
      </c>
      <c r="G792" s="2" t="str">
        <f>_xlfn.XLOOKUP(Table2[[#This Row],[Xlookup Region ID]],GEONames[GEOID],GEONames[GEO Name])</f>
        <v>NAM</v>
      </c>
      <c r="H792" s="2" t="str">
        <f>"Q"&amp;ROUNDUP(MONTH(Table2[[#This Row],[Date]])/3,0)&amp;" "&amp;YEAR(Table2[[#This Row],[Date]])</f>
        <v>Q2 2024</v>
      </c>
      <c r="I792" s="2" t="str">
        <f>VLOOKUP(Table2[[#This Row],[Date]],Table7[],3)</f>
        <v>Q2 2024</v>
      </c>
    </row>
    <row r="793" spans="1:9" x14ac:dyDescent="0.25">
      <c r="A793" s="3" t="s">
        <v>19</v>
      </c>
      <c r="B793" s="3">
        <v>45504</v>
      </c>
      <c r="C793" s="6">
        <v>498</v>
      </c>
      <c r="D793" s="2">
        <f>LEN(Table2[[#This Row],[CLID]])</f>
        <v>7</v>
      </c>
      <c r="E793" s="2" t="str">
        <f>_xlfn.XLOOKUP('Volume Data'!A:A,'Geo Data'!D:D,'Geo Data'!B:B)</f>
        <v>GEO1001</v>
      </c>
      <c r="F793" s="2" t="str">
        <f>INDEX(GeoByClient[GEOID],MATCH(Table2[[#This Row],[CLID]],GeoByClient[Right],0))</f>
        <v>GEO1001</v>
      </c>
      <c r="G793" s="2" t="str">
        <f>_xlfn.XLOOKUP(Table2[[#This Row],[Xlookup Region ID]],GEONames[GEOID],GEONames[GEO Name])</f>
        <v>NAM</v>
      </c>
      <c r="H793" s="2" t="str">
        <f>"Q"&amp;ROUNDUP(MONTH(Table2[[#This Row],[Date]])/3,0)&amp;" "&amp;YEAR(Table2[[#This Row],[Date]])</f>
        <v>Q3 2024</v>
      </c>
      <c r="I793" s="2" t="str">
        <f>VLOOKUP(Table2[[#This Row],[Date]],Table7[],3)</f>
        <v>Q3 2024</v>
      </c>
    </row>
    <row r="794" spans="1:9" x14ac:dyDescent="0.25">
      <c r="A794" s="3" t="s">
        <v>19</v>
      </c>
      <c r="B794" s="3">
        <v>45535</v>
      </c>
      <c r="C794" s="6">
        <v>426</v>
      </c>
      <c r="D794" s="2">
        <f>LEN(Table2[[#This Row],[CLID]])</f>
        <v>7</v>
      </c>
      <c r="E794" s="2" t="str">
        <f>_xlfn.XLOOKUP('Volume Data'!A:A,'Geo Data'!D:D,'Geo Data'!B:B)</f>
        <v>GEO1001</v>
      </c>
      <c r="F794" s="2" t="str">
        <f>INDEX(GeoByClient[GEOID],MATCH(Table2[[#This Row],[CLID]],GeoByClient[Right],0))</f>
        <v>GEO1001</v>
      </c>
      <c r="G794" s="2" t="str">
        <f>_xlfn.XLOOKUP(Table2[[#This Row],[Xlookup Region ID]],GEONames[GEOID],GEONames[GEO Name])</f>
        <v>NAM</v>
      </c>
      <c r="H794" s="2" t="str">
        <f>"Q"&amp;ROUNDUP(MONTH(Table2[[#This Row],[Date]])/3,0)&amp;" "&amp;YEAR(Table2[[#This Row],[Date]])</f>
        <v>Q3 2024</v>
      </c>
      <c r="I794" s="2" t="str">
        <f>VLOOKUP(Table2[[#This Row],[Date]],Table7[],3)</f>
        <v>Q3 2024</v>
      </c>
    </row>
    <row r="795" spans="1:9" x14ac:dyDescent="0.25">
      <c r="A795" s="3" t="s">
        <v>19</v>
      </c>
      <c r="B795" s="3">
        <v>45565</v>
      </c>
      <c r="C795" s="6">
        <v>423</v>
      </c>
      <c r="D795" s="2">
        <f>LEN(Table2[[#This Row],[CLID]])</f>
        <v>7</v>
      </c>
      <c r="E795" s="2" t="str">
        <f>_xlfn.XLOOKUP('Volume Data'!A:A,'Geo Data'!D:D,'Geo Data'!B:B)</f>
        <v>GEO1001</v>
      </c>
      <c r="F795" s="2" t="str">
        <f>INDEX(GeoByClient[GEOID],MATCH(Table2[[#This Row],[CLID]],GeoByClient[Right],0))</f>
        <v>GEO1001</v>
      </c>
      <c r="G795" s="2" t="str">
        <f>_xlfn.XLOOKUP(Table2[[#This Row],[Xlookup Region ID]],GEONames[GEOID],GEONames[GEO Name])</f>
        <v>NAM</v>
      </c>
      <c r="H795" s="2" t="str">
        <f>"Q"&amp;ROUNDUP(MONTH(Table2[[#This Row],[Date]])/3,0)&amp;" "&amp;YEAR(Table2[[#This Row],[Date]])</f>
        <v>Q3 2024</v>
      </c>
      <c r="I795" s="2" t="str">
        <f>VLOOKUP(Table2[[#This Row],[Date]],Table7[],3)</f>
        <v>Q3 2024</v>
      </c>
    </row>
    <row r="796" spans="1:9" x14ac:dyDescent="0.25">
      <c r="A796" s="3" t="s">
        <v>19</v>
      </c>
      <c r="B796" s="3">
        <v>45596</v>
      </c>
      <c r="C796" s="6">
        <v>495</v>
      </c>
      <c r="D796" s="2">
        <f>LEN(Table2[[#This Row],[CLID]])</f>
        <v>7</v>
      </c>
      <c r="E796" s="2" t="str">
        <f>_xlfn.XLOOKUP('Volume Data'!A:A,'Geo Data'!D:D,'Geo Data'!B:B)</f>
        <v>GEO1001</v>
      </c>
      <c r="F796" s="2" t="str">
        <f>INDEX(GeoByClient[GEOID],MATCH(Table2[[#This Row],[CLID]],GeoByClient[Right],0))</f>
        <v>GEO1001</v>
      </c>
      <c r="G796" s="2" t="str">
        <f>_xlfn.XLOOKUP(Table2[[#This Row],[Xlookup Region ID]],GEONames[GEOID],GEONames[GEO Name])</f>
        <v>NAM</v>
      </c>
      <c r="H796" s="2" t="str">
        <f>"Q"&amp;ROUNDUP(MONTH(Table2[[#This Row],[Date]])/3,0)&amp;" "&amp;YEAR(Table2[[#This Row],[Date]])</f>
        <v>Q4 2024</v>
      </c>
      <c r="I796" s="2" t="str">
        <f>VLOOKUP(Table2[[#This Row],[Date]],Table7[],3)</f>
        <v>Q4 2024</v>
      </c>
    </row>
    <row r="797" spans="1:9" x14ac:dyDescent="0.25">
      <c r="A797" s="3" t="s">
        <v>19</v>
      </c>
      <c r="B797" s="3">
        <v>45626</v>
      </c>
      <c r="C797" s="6">
        <v>569</v>
      </c>
      <c r="D797" s="2">
        <f>LEN(Table2[[#This Row],[CLID]])</f>
        <v>7</v>
      </c>
      <c r="E797" s="2" t="str">
        <f>_xlfn.XLOOKUP('Volume Data'!A:A,'Geo Data'!D:D,'Geo Data'!B:B)</f>
        <v>GEO1001</v>
      </c>
      <c r="F797" s="2" t="str">
        <f>INDEX(GeoByClient[GEOID],MATCH(Table2[[#This Row],[CLID]],GeoByClient[Right],0))</f>
        <v>GEO1001</v>
      </c>
      <c r="G797" s="2" t="str">
        <f>_xlfn.XLOOKUP(Table2[[#This Row],[Xlookup Region ID]],GEONames[GEOID],GEONames[GEO Name])</f>
        <v>NAM</v>
      </c>
      <c r="H797" s="2" t="str">
        <f>"Q"&amp;ROUNDUP(MONTH(Table2[[#This Row],[Date]])/3,0)&amp;" "&amp;YEAR(Table2[[#This Row],[Date]])</f>
        <v>Q4 2024</v>
      </c>
      <c r="I797" s="2" t="str">
        <f>VLOOKUP(Table2[[#This Row],[Date]],Table7[],3)</f>
        <v>Q4 2024</v>
      </c>
    </row>
    <row r="798" spans="1:9" x14ac:dyDescent="0.25">
      <c r="A798" s="3" t="s">
        <v>19</v>
      </c>
      <c r="B798" s="3">
        <v>45657</v>
      </c>
      <c r="C798" s="6">
        <v>567</v>
      </c>
      <c r="D798" s="2">
        <f>LEN(Table2[[#This Row],[CLID]])</f>
        <v>7</v>
      </c>
      <c r="E798" s="2" t="str">
        <f>_xlfn.XLOOKUP('Volume Data'!A:A,'Geo Data'!D:D,'Geo Data'!B:B)</f>
        <v>GEO1001</v>
      </c>
      <c r="F798" s="2" t="str">
        <f>INDEX(GeoByClient[GEOID],MATCH(Table2[[#This Row],[CLID]],GeoByClient[Right],0))</f>
        <v>GEO1001</v>
      </c>
      <c r="G798" s="2" t="str">
        <f>_xlfn.XLOOKUP(Table2[[#This Row],[Xlookup Region ID]],GEONames[GEOID],GEONames[GEO Name])</f>
        <v>NAM</v>
      </c>
      <c r="H798" s="2" t="str">
        <f>"Q"&amp;ROUNDUP(MONTH(Table2[[#This Row],[Date]])/3,0)&amp;" "&amp;YEAR(Table2[[#This Row],[Date]])</f>
        <v>Q4 2024</v>
      </c>
      <c r="I798" s="2" t="str">
        <f>VLOOKUP(Table2[[#This Row],[Date]],Table7[],3)</f>
        <v>Q4 2024</v>
      </c>
    </row>
    <row r="799" spans="1:9" x14ac:dyDescent="0.25">
      <c r="A799" s="3" t="s">
        <v>19</v>
      </c>
      <c r="B799" s="3">
        <v>45838</v>
      </c>
      <c r="C799" s="6">
        <v>563</v>
      </c>
      <c r="D799" s="2">
        <f>LEN(Table2[[#This Row],[CLID]])</f>
        <v>7</v>
      </c>
      <c r="E799" s="2" t="str">
        <f>_xlfn.XLOOKUP('Volume Data'!A:A,'Geo Data'!D:D,'Geo Data'!B:B)</f>
        <v>GEO1001</v>
      </c>
      <c r="F799" s="2" t="str">
        <f>INDEX(GeoByClient[GEOID],MATCH(Table2[[#This Row],[CLID]],GeoByClient[Right],0))</f>
        <v>GEO1001</v>
      </c>
      <c r="G799" s="2" t="str">
        <f>_xlfn.XLOOKUP(Table2[[#This Row],[Xlookup Region ID]],GEONames[GEOID],GEONames[GEO Name])</f>
        <v>NAM</v>
      </c>
      <c r="H799" s="2" t="str">
        <f>"Q"&amp;ROUNDUP(MONTH(Table2[[#This Row],[Date]])/3,0)&amp;" "&amp;YEAR(Table2[[#This Row],[Date]])</f>
        <v>Q2 2025</v>
      </c>
      <c r="I799" s="2" t="str">
        <f>VLOOKUP(Table2[[#This Row],[Date]],Table7[],3)</f>
        <v>Q2 2025</v>
      </c>
    </row>
    <row r="800" spans="1:9" x14ac:dyDescent="0.25">
      <c r="A800" s="3" t="s">
        <v>19</v>
      </c>
      <c r="B800" s="3">
        <v>45808</v>
      </c>
      <c r="C800" s="6">
        <v>789</v>
      </c>
      <c r="D800" s="2">
        <f>LEN(Table2[[#This Row],[CLID]])</f>
        <v>7</v>
      </c>
      <c r="E800" s="2" t="str">
        <f>_xlfn.XLOOKUP('Volume Data'!A:A,'Geo Data'!D:D,'Geo Data'!B:B)</f>
        <v>GEO1001</v>
      </c>
      <c r="F800" s="2" t="str">
        <f>INDEX(GeoByClient[GEOID],MATCH(Table2[[#This Row],[CLID]],GeoByClient[Right],0))</f>
        <v>GEO1001</v>
      </c>
      <c r="G800" s="2" t="str">
        <f>_xlfn.XLOOKUP(Table2[[#This Row],[Xlookup Region ID]],GEONames[GEOID],GEONames[GEO Name])</f>
        <v>NAM</v>
      </c>
      <c r="H800" s="2" t="str">
        <f>"Q"&amp;ROUNDUP(MONTH(Table2[[#This Row],[Date]])/3,0)&amp;" "&amp;YEAR(Table2[[#This Row],[Date]])</f>
        <v>Q2 2025</v>
      </c>
      <c r="I800" s="2" t="str">
        <f>VLOOKUP(Table2[[#This Row],[Date]],Table7[],3)</f>
        <v>Q2 2025</v>
      </c>
    </row>
    <row r="801" spans="1:9" x14ac:dyDescent="0.25">
      <c r="A801" s="3" t="s">
        <v>19</v>
      </c>
      <c r="B801" s="3">
        <v>45777</v>
      </c>
      <c r="C801" s="6">
        <v>862</v>
      </c>
      <c r="D801" s="2">
        <f>LEN(Table2[[#This Row],[CLID]])</f>
        <v>7</v>
      </c>
      <c r="E801" s="2" t="str">
        <f>_xlfn.XLOOKUP('Volume Data'!A:A,'Geo Data'!D:D,'Geo Data'!B:B)</f>
        <v>GEO1001</v>
      </c>
      <c r="F801" s="2" t="str">
        <f>INDEX(GeoByClient[GEOID],MATCH(Table2[[#This Row],[CLID]],GeoByClient[Right],0))</f>
        <v>GEO1001</v>
      </c>
      <c r="G801" s="2" t="str">
        <f>_xlfn.XLOOKUP(Table2[[#This Row],[Xlookup Region ID]],GEONames[GEOID],GEONames[GEO Name])</f>
        <v>NAM</v>
      </c>
      <c r="H801" s="2" t="str">
        <f>"Q"&amp;ROUNDUP(MONTH(Table2[[#This Row],[Date]])/3,0)&amp;" "&amp;YEAR(Table2[[#This Row],[Date]])</f>
        <v>Q2 2025</v>
      </c>
      <c r="I801" s="2" t="str">
        <f>VLOOKUP(Table2[[#This Row],[Date]],Table7[],3)</f>
        <v>Q2 2025</v>
      </c>
    </row>
    <row r="802" spans="1:9" x14ac:dyDescent="0.25">
      <c r="A802" s="3" t="s">
        <v>19</v>
      </c>
      <c r="B802" s="3">
        <v>45747</v>
      </c>
      <c r="C802" s="6">
        <v>702</v>
      </c>
      <c r="D802" s="2">
        <f>LEN(Table2[[#This Row],[CLID]])</f>
        <v>7</v>
      </c>
      <c r="E802" s="2" t="str">
        <f>_xlfn.XLOOKUP('Volume Data'!A:A,'Geo Data'!D:D,'Geo Data'!B:B)</f>
        <v>GEO1001</v>
      </c>
      <c r="F802" s="2" t="str">
        <f>INDEX(GeoByClient[GEOID],MATCH(Table2[[#This Row],[CLID]],GeoByClient[Right],0))</f>
        <v>GEO1001</v>
      </c>
      <c r="G802" s="2" t="str">
        <f>_xlfn.XLOOKUP(Table2[[#This Row],[Xlookup Region ID]],GEONames[GEOID],GEONames[GEO Name])</f>
        <v>NAM</v>
      </c>
      <c r="H802" s="2" t="str">
        <f>"Q"&amp;ROUNDUP(MONTH(Table2[[#This Row],[Date]])/3,0)&amp;" "&amp;YEAR(Table2[[#This Row],[Date]])</f>
        <v>Q1 2025</v>
      </c>
      <c r="I802" s="2" t="str">
        <f>VLOOKUP(Table2[[#This Row],[Date]],Table7[],3)</f>
        <v>Q4 2024</v>
      </c>
    </row>
    <row r="803" spans="1:9" x14ac:dyDescent="0.25">
      <c r="A803" s="3" t="s">
        <v>19</v>
      </c>
      <c r="B803" s="3">
        <v>45716</v>
      </c>
      <c r="C803" s="6">
        <v>652</v>
      </c>
      <c r="D803" s="2">
        <f>LEN(Table2[[#This Row],[CLID]])</f>
        <v>7</v>
      </c>
      <c r="E803" s="2" t="str">
        <f>_xlfn.XLOOKUP('Volume Data'!A:A,'Geo Data'!D:D,'Geo Data'!B:B)</f>
        <v>GEO1001</v>
      </c>
      <c r="F803" s="2" t="str">
        <f>INDEX(GeoByClient[GEOID],MATCH(Table2[[#This Row],[CLID]],GeoByClient[Right],0))</f>
        <v>GEO1001</v>
      </c>
      <c r="G803" s="2" t="str">
        <f>_xlfn.XLOOKUP(Table2[[#This Row],[Xlookup Region ID]],GEONames[GEOID],GEONames[GEO Name])</f>
        <v>NAM</v>
      </c>
      <c r="H803" s="2" t="str">
        <f>"Q"&amp;ROUNDUP(MONTH(Table2[[#This Row],[Date]])/3,0)&amp;" "&amp;YEAR(Table2[[#This Row],[Date]])</f>
        <v>Q1 2025</v>
      </c>
      <c r="I803" s="2" t="str">
        <f>VLOOKUP(Table2[[#This Row],[Date]],Table7[],3)</f>
        <v>Q4 2024</v>
      </c>
    </row>
    <row r="804" spans="1:9" x14ac:dyDescent="0.25">
      <c r="A804" s="3" t="s">
        <v>19</v>
      </c>
      <c r="B804" s="3">
        <v>45688</v>
      </c>
      <c r="C804" s="6">
        <v>557</v>
      </c>
      <c r="D804" s="2">
        <f>LEN(Table2[[#This Row],[CLID]])</f>
        <v>7</v>
      </c>
      <c r="E804" s="2" t="str">
        <f>_xlfn.XLOOKUP('Volume Data'!A:A,'Geo Data'!D:D,'Geo Data'!B:B)</f>
        <v>GEO1001</v>
      </c>
      <c r="F804" s="2" t="str">
        <f>INDEX(GeoByClient[GEOID],MATCH(Table2[[#This Row],[CLID]],GeoByClient[Right],0))</f>
        <v>GEO1001</v>
      </c>
      <c r="G804" s="2" t="str">
        <f>_xlfn.XLOOKUP(Table2[[#This Row],[Xlookup Region ID]],GEONames[GEOID],GEONames[GEO Name])</f>
        <v>NAM</v>
      </c>
      <c r="H804" s="2" t="str">
        <f>"Q"&amp;ROUNDUP(MONTH(Table2[[#This Row],[Date]])/3,0)&amp;" "&amp;YEAR(Table2[[#This Row],[Date]])</f>
        <v>Q1 2025</v>
      </c>
      <c r="I804" s="2" t="str">
        <f>VLOOKUP(Table2[[#This Row],[Date]],Table7[],3)</f>
        <v>Q4 2024</v>
      </c>
    </row>
    <row r="805" spans="1:9" x14ac:dyDescent="0.25">
      <c r="A805" s="3" t="s">
        <v>29</v>
      </c>
      <c r="B805" s="3">
        <v>45322</v>
      </c>
      <c r="C805" s="6">
        <v>902</v>
      </c>
      <c r="D805" s="2">
        <f>LEN(Table2[[#This Row],[CLID]])</f>
        <v>7</v>
      </c>
      <c r="E805" s="2" t="str">
        <f>_xlfn.XLOOKUP('Volume Data'!A:A,'Geo Data'!D:D,'Geo Data'!B:B)</f>
        <v>GEO1002</v>
      </c>
      <c r="F805" s="2" t="str">
        <f>INDEX(GeoByClient[GEOID],MATCH(Table2[[#This Row],[CLID]],GeoByClient[Right],0))</f>
        <v>GEO1002</v>
      </c>
      <c r="G805" s="2" t="str">
        <f>_xlfn.XLOOKUP(Table2[[#This Row],[Xlookup Region ID]],GEONames[GEOID],GEONames[GEO Name])</f>
        <v>APAC</v>
      </c>
      <c r="H805" s="2" t="str">
        <f>"Q"&amp;ROUNDUP(MONTH(Table2[[#This Row],[Date]])/3,0)&amp;" "&amp;YEAR(Table2[[#This Row],[Date]])</f>
        <v>Q1 2024</v>
      </c>
      <c r="I805" s="2" t="str">
        <f>VLOOKUP(Table2[[#This Row],[Date]],Table7[],3)</f>
        <v>Q1 2024</v>
      </c>
    </row>
    <row r="806" spans="1:9" x14ac:dyDescent="0.25">
      <c r="A806" s="3" t="s">
        <v>29</v>
      </c>
      <c r="B806" s="3">
        <v>45351</v>
      </c>
      <c r="C806" s="6">
        <v>897</v>
      </c>
      <c r="D806" s="2">
        <f>LEN(Table2[[#This Row],[CLID]])</f>
        <v>7</v>
      </c>
      <c r="E806" s="2" t="str">
        <f>_xlfn.XLOOKUP('Volume Data'!A:A,'Geo Data'!D:D,'Geo Data'!B:B)</f>
        <v>GEO1002</v>
      </c>
      <c r="F806" s="2" t="str">
        <f>INDEX(GeoByClient[GEOID],MATCH(Table2[[#This Row],[CLID]],GeoByClient[Right],0))</f>
        <v>GEO1002</v>
      </c>
      <c r="G806" s="2" t="str">
        <f>_xlfn.XLOOKUP(Table2[[#This Row],[Xlookup Region ID]],GEONames[GEOID],GEONames[GEO Name])</f>
        <v>APAC</v>
      </c>
      <c r="H806" s="2" t="str">
        <f>"Q"&amp;ROUNDUP(MONTH(Table2[[#This Row],[Date]])/3,0)&amp;" "&amp;YEAR(Table2[[#This Row],[Date]])</f>
        <v>Q1 2024</v>
      </c>
      <c r="I806" s="2" t="str">
        <f>VLOOKUP(Table2[[#This Row],[Date]],Table7[],3)</f>
        <v>Q1 2024</v>
      </c>
    </row>
    <row r="807" spans="1:9" x14ac:dyDescent="0.25">
      <c r="A807" s="3" t="s">
        <v>29</v>
      </c>
      <c r="B807" s="3">
        <v>45382</v>
      </c>
      <c r="C807" s="6">
        <v>1112</v>
      </c>
      <c r="D807" s="2">
        <f>LEN(Table2[[#This Row],[CLID]])</f>
        <v>7</v>
      </c>
      <c r="E807" s="2" t="str">
        <f>_xlfn.XLOOKUP('Volume Data'!A:A,'Geo Data'!D:D,'Geo Data'!B:B)</f>
        <v>GEO1002</v>
      </c>
      <c r="F807" s="2" t="str">
        <f>INDEX(GeoByClient[GEOID],MATCH(Table2[[#This Row],[CLID]],GeoByClient[Right],0))</f>
        <v>GEO1002</v>
      </c>
      <c r="G807" s="2" t="str">
        <f>_xlfn.XLOOKUP(Table2[[#This Row],[Xlookup Region ID]],GEONames[GEOID],GEONames[GEO Name])</f>
        <v>APAC</v>
      </c>
      <c r="H807" s="2" t="str">
        <f>"Q"&amp;ROUNDUP(MONTH(Table2[[#This Row],[Date]])/3,0)&amp;" "&amp;YEAR(Table2[[#This Row],[Date]])</f>
        <v>Q1 2024</v>
      </c>
      <c r="I807" s="2" t="str">
        <f>VLOOKUP(Table2[[#This Row],[Date]],Table7[],3)</f>
        <v>Q1 2024</v>
      </c>
    </row>
    <row r="808" spans="1:9" x14ac:dyDescent="0.25">
      <c r="A808" s="3" t="s">
        <v>29</v>
      </c>
      <c r="B808" s="3">
        <v>45412</v>
      </c>
      <c r="C808" s="6">
        <v>1214</v>
      </c>
      <c r="D808" s="2">
        <f>LEN(Table2[[#This Row],[CLID]])</f>
        <v>7</v>
      </c>
      <c r="E808" s="2" t="str">
        <f>_xlfn.XLOOKUP('Volume Data'!A:A,'Geo Data'!D:D,'Geo Data'!B:B)</f>
        <v>GEO1002</v>
      </c>
      <c r="F808" s="2" t="str">
        <f>INDEX(GeoByClient[GEOID],MATCH(Table2[[#This Row],[CLID]],GeoByClient[Right],0))</f>
        <v>GEO1002</v>
      </c>
      <c r="G808" s="2" t="str">
        <f>_xlfn.XLOOKUP(Table2[[#This Row],[Xlookup Region ID]],GEONames[GEOID],GEONames[GEO Name])</f>
        <v>APAC</v>
      </c>
      <c r="H808" s="2" t="str">
        <f>"Q"&amp;ROUNDUP(MONTH(Table2[[#This Row],[Date]])/3,0)&amp;" "&amp;YEAR(Table2[[#This Row],[Date]])</f>
        <v>Q2 2024</v>
      </c>
      <c r="I808" s="2" t="str">
        <f>VLOOKUP(Table2[[#This Row],[Date]],Table7[],3)</f>
        <v>Q2 2024</v>
      </c>
    </row>
    <row r="809" spans="1:9" x14ac:dyDescent="0.25">
      <c r="A809" s="3" t="s">
        <v>29</v>
      </c>
      <c r="B809" s="3">
        <v>45443</v>
      </c>
      <c r="C809" s="6">
        <v>1219</v>
      </c>
      <c r="D809" s="2">
        <f>LEN(Table2[[#This Row],[CLID]])</f>
        <v>7</v>
      </c>
      <c r="E809" s="2" t="str">
        <f>_xlfn.XLOOKUP('Volume Data'!A:A,'Geo Data'!D:D,'Geo Data'!B:B)</f>
        <v>GEO1002</v>
      </c>
      <c r="F809" s="2" t="str">
        <f>INDEX(GeoByClient[GEOID],MATCH(Table2[[#This Row],[CLID]],GeoByClient[Right],0))</f>
        <v>GEO1002</v>
      </c>
      <c r="G809" s="2" t="str">
        <f>_xlfn.XLOOKUP(Table2[[#This Row],[Xlookup Region ID]],GEONames[GEOID],GEONames[GEO Name])</f>
        <v>APAC</v>
      </c>
      <c r="H809" s="2" t="str">
        <f>"Q"&amp;ROUNDUP(MONTH(Table2[[#This Row],[Date]])/3,0)&amp;" "&amp;YEAR(Table2[[#This Row],[Date]])</f>
        <v>Q2 2024</v>
      </c>
      <c r="I809" s="2" t="str">
        <f>VLOOKUP(Table2[[#This Row],[Date]],Table7[],3)</f>
        <v>Q2 2024</v>
      </c>
    </row>
    <row r="810" spans="1:9" x14ac:dyDescent="0.25">
      <c r="A810" s="3" t="s">
        <v>29</v>
      </c>
      <c r="B810" s="3">
        <v>45473</v>
      </c>
      <c r="C810" s="6">
        <v>795</v>
      </c>
      <c r="D810" s="2">
        <f>LEN(Table2[[#This Row],[CLID]])</f>
        <v>7</v>
      </c>
      <c r="E810" s="2" t="str">
        <f>_xlfn.XLOOKUP('Volume Data'!A:A,'Geo Data'!D:D,'Geo Data'!B:B)</f>
        <v>GEO1002</v>
      </c>
      <c r="F810" s="2" t="str">
        <f>INDEX(GeoByClient[GEOID],MATCH(Table2[[#This Row],[CLID]],GeoByClient[Right],0))</f>
        <v>GEO1002</v>
      </c>
      <c r="G810" s="2" t="str">
        <f>_xlfn.XLOOKUP(Table2[[#This Row],[Xlookup Region ID]],GEONames[GEOID],GEONames[GEO Name])</f>
        <v>APAC</v>
      </c>
      <c r="H810" s="2" t="str">
        <f>"Q"&amp;ROUNDUP(MONTH(Table2[[#This Row],[Date]])/3,0)&amp;" "&amp;YEAR(Table2[[#This Row],[Date]])</f>
        <v>Q2 2024</v>
      </c>
      <c r="I810" s="2" t="str">
        <f>VLOOKUP(Table2[[#This Row],[Date]],Table7[],3)</f>
        <v>Q2 2024</v>
      </c>
    </row>
    <row r="811" spans="1:9" x14ac:dyDescent="0.25">
      <c r="A811" s="3" t="s">
        <v>29</v>
      </c>
      <c r="B811" s="3">
        <v>45504</v>
      </c>
      <c r="C811" s="6">
        <v>794</v>
      </c>
      <c r="D811" s="2">
        <f>LEN(Table2[[#This Row],[CLID]])</f>
        <v>7</v>
      </c>
      <c r="E811" s="2" t="str">
        <f>_xlfn.XLOOKUP('Volume Data'!A:A,'Geo Data'!D:D,'Geo Data'!B:B)</f>
        <v>GEO1002</v>
      </c>
      <c r="F811" s="2" t="str">
        <f>INDEX(GeoByClient[GEOID],MATCH(Table2[[#This Row],[CLID]],GeoByClient[Right],0))</f>
        <v>GEO1002</v>
      </c>
      <c r="G811" s="2" t="str">
        <f>_xlfn.XLOOKUP(Table2[[#This Row],[Xlookup Region ID]],GEONames[GEOID],GEONames[GEO Name])</f>
        <v>APAC</v>
      </c>
      <c r="H811" s="2" t="str">
        <f>"Q"&amp;ROUNDUP(MONTH(Table2[[#This Row],[Date]])/3,0)&amp;" "&amp;YEAR(Table2[[#This Row],[Date]])</f>
        <v>Q3 2024</v>
      </c>
      <c r="I811" s="2" t="str">
        <f>VLOOKUP(Table2[[#This Row],[Date]],Table7[],3)</f>
        <v>Q3 2024</v>
      </c>
    </row>
    <row r="812" spans="1:9" x14ac:dyDescent="0.25">
      <c r="A812" s="3" t="s">
        <v>29</v>
      </c>
      <c r="B812" s="3">
        <v>45535</v>
      </c>
      <c r="C812" s="6">
        <v>581</v>
      </c>
      <c r="D812" s="2">
        <f>LEN(Table2[[#This Row],[CLID]])</f>
        <v>7</v>
      </c>
      <c r="E812" s="2" t="str">
        <f>_xlfn.XLOOKUP('Volume Data'!A:A,'Geo Data'!D:D,'Geo Data'!B:B)</f>
        <v>GEO1002</v>
      </c>
      <c r="F812" s="2" t="str">
        <f>INDEX(GeoByClient[GEOID],MATCH(Table2[[#This Row],[CLID]],GeoByClient[Right],0))</f>
        <v>GEO1002</v>
      </c>
      <c r="G812" s="2" t="str">
        <f>_xlfn.XLOOKUP(Table2[[#This Row],[Xlookup Region ID]],GEONames[GEOID],GEONames[GEO Name])</f>
        <v>APAC</v>
      </c>
      <c r="H812" s="2" t="str">
        <f>"Q"&amp;ROUNDUP(MONTH(Table2[[#This Row],[Date]])/3,0)&amp;" "&amp;YEAR(Table2[[#This Row],[Date]])</f>
        <v>Q3 2024</v>
      </c>
      <c r="I812" s="2" t="str">
        <f>VLOOKUP(Table2[[#This Row],[Date]],Table7[],3)</f>
        <v>Q3 2024</v>
      </c>
    </row>
    <row r="813" spans="1:9" x14ac:dyDescent="0.25">
      <c r="A813" s="3" t="s">
        <v>29</v>
      </c>
      <c r="B813" s="3">
        <v>45565</v>
      </c>
      <c r="C813" s="6">
        <v>690</v>
      </c>
      <c r="D813" s="2">
        <f>LEN(Table2[[#This Row],[CLID]])</f>
        <v>7</v>
      </c>
      <c r="E813" s="2" t="str">
        <f>_xlfn.XLOOKUP('Volume Data'!A:A,'Geo Data'!D:D,'Geo Data'!B:B)</f>
        <v>GEO1002</v>
      </c>
      <c r="F813" s="2" t="str">
        <f>INDEX(GeoByClient[GEOID],MATCH(Table2[[#This Row],[CLID]],GeoByClient[Right],0))</f>
        <v>GEO1002</v>
      </c>
      <c r="G813" s="2" t="str">
        <f>_xlfn.XLOOKUP(Table2[[#This Row],[Xlookup Region ID]],GEONames[GEOID],GEONames[GEO Name])</f>
        <v>APAC</v>
      </c>
      <c r="H813" s="2" t="str">
        <f>"Q"&amp;ROUNDUP(MONTH(Table2[[#This Row],[Date]])/3,0)&amp;" "&amp;YEAR(Table2[[#This Row],[Date]])</f>
        <v>Q3 2024</v>
      </c>
      <c r="I813" s="2" t="str">
        <f>VLOOKUP(Table2[[#This Row],[Date]],Table7[],3)</f>
        <v>Q3 2024</v>
      </c>
    </row>
    <row r="814" spans="1:9" x14ac:dyDescent="0.25">
      <c r="A814" s="3" t="s">
        <v>29</v>
      </c>
      <c r="B814" s="3">
        <v>45596</v>
      </c>
      <c r="C814" s="6">
        <v>690</v>
      </c>
      <c r="D814" s="2">
        <f>LEN(Table2[[#This Row],[CLID]])</f>
        <v>7</v>
      </c>
      <c r="E814" s="2" t="str">
        <f>_xlfn.XLOOKUP('Volume Data'!A:A,'Geo Data'!D:D,'Geo Data'!B:B)</f>
        <v>GEO1002</v>
      </c>
      <c r="F814" s="2" t="str">
        <f>INDEX(GeoByClient[GEOID],MATCH(Table2[[#This Row],[CLID]],GeoByClient[Right],0))</f>
        <v>GEO1002</v>
      </c>
      <c r="G814" s="2" t="str">
        <f>_xlfn.XLOOKUP(Table2[[#This Row],[Xlookup Region ID]],GEONames[GEOID],GEONames[GEO Name])</f>
        <v>APAC</v>
      </c>
      <c r="H814" s="2" t="str">
        <f>"Q"&amp;ROUNDUP(MONTH(Table2[[#This Row],[Date]])/3,0)&amp;" "&amp;YEAR(Table2[[#This Row],[Date]])</f>
        <v>Q4 2024</v>
      </c>
      <c r="I814" s="2" t="str">
        <f>VLOOKUP(Table2[[#This Row],[Date]],Table7[],3)</f>
        <v>Q4 2024</v>
      </c>
    </row>
    <row r="815" spans="1:9" x14ac:dyDescent="0.25">
      <c r="A815" s="3" t="s">
        <v>29</v>
      </c>
      <c r="B815" s="3">
        <v>45626</v>
      </c>
      <c r="C815" s="6">
        <v>899</v>
      </c>
      <c r="D815" s="2">
        <f>LEN(Table2[[#This Row],[CLID]])</f>
        <v>7</v>
      </c>
      <c r="E815" s="2" t="str">
        <f>_xlfn.XLOOKUP('Volume Data'!A:A,'Geo Data'!D:D,'Geo Data'!B:B)</f>
        <v>GEO1002</v>
      </c>
      <c r="F815" s="2" t="str">
        <f>INDEX(GeoByClient[GEOID],MATCH(Table2[[#This Row],[CLID]],GeoByClient[Right],0))</f>
        <v>GEO1002</v>
      </c>
      <c r="G815" s="2" t="str">
        <f>_xlfn.XLOOKUP(Table2[[#This Row],[Xlookup Region ID]],GEONames[GEOID],GEONames[GEO Name])</f>
        <v>APAC</v>
      </c>
      <c r="H815" s="2" t="str">
        <f>"Q"&amp;ROUNDUP(MONTH(Table2[[#This Row],[Date]])/3,0)&amp;" "&amp;YEAR(Table2[[#This Row],[Date]])</f>
        <v>Q4 2024</v>
      </c>
      <c r="I815" s="2" t="str">
        <f>VLOOKUP(Table2[[#This Row],[Date]],Table7[],3)</f>
        <v>Q4 2024</v>
      </c>
    </row>
    <row r="816" spans="1:9" x14ac:dyDescent="0.25">
      <c r="A816" s="3" t="s">
        <v>29</v>
      </c>
      <c r="B816" s="3">
        <v>45657</v>
      </c>
      <c r="C816" s="6">
        <v>793</v>
      </c>
      <c r="D816" s="2">
        <f>LEN(Table2[[#This Row],[CLID]])</f>
        <v>7</v>
      </c>
      <c r="E816" s="2" t="str">
        <f>_xlfn.XLOOKUP('Volume Data'!A:A,'Geo Data'!D:D,'Geo Data'!B:B)</f>
        <v>GEO1002</v>
      </c>
      <c r="F816" s="2" t="str">
        <f>INDEX(GeoByClient[GEOID],MATCH(Table2[[#This Row],[CLID]],GeoByClient[Right],0))</f>
        <v>GEO1002</v>
      </c>
      <c r="G816" s="2" t="str">
        <f>_xlfn.XLOOKUP(Table2[[#This Row],[Xlookup Region ID]],GEONames[GEOID],GEONames[GEO Name])</f>
        <v>APAC</v>
      </c>
      <c r="H816" s="2" t="str">
        <f>"Q"&amp;ROUNDUP(MONTH(Table2[[#This Row],[Date]])/3,0)&amp;" "&amp;YEAR(Table2[[#This Row],[Date]])</f>
        <v>Q4 2024</v>
      </c>
      <c r="I816" s="2" t="str">
        <f>VLOOKUP(Table2[[#This Row],[Date]],Table7[],3)</f>
        <v>Q4 2024</v>
      </c>
    </row>
    <row r="817" spans="1:9" x14ac:dyDescent="0.25">
      <c r="A817" s="3" t="s">
        <v>29</v>
      </c>
      <c r="B817" s="3">
        <v>45838</v>
      </c>
      <c r="C817" s="6">
        <v>820</v>
      </c>
      <c r="D817" s="2">
        <f>LEN(Table2[[#This Row],[CLID]])</f>
        <v>7</v>
      </c>
      <c r="E817" s="2" t="str">
        <f>_xlfn.XLOOKUP('Volume Data'!A:A,'Geo Data'!D:D,'Geo Data'!B:B)</f>
        <v>GEO1002</v>
      </c>
      <c r="F817" s="2" t="str">
        <f>INDEX(GeoByClient[GEOID],MATCH(Table2[[#This Row],[CLID]],GeoByClient[Right],0))</f>
        <v>GEO1002</v>
      </c>
      <c r="G817" s="2" t="str">
        <f>_xlfn.XLOOKUP(Table2[[#This Row],[Xlookup Region ID]],GEONames[GEOID],GEONames[GEO Name])</f>
        <v>APAC</v>
      </c>
      <c r="H817" s="2" t="str">
        <f>"Q"&amp;ROUNDUP(MONTH(Table2[[#This Row],[Date]])/3,0)&amp;" "&amp;YEAR(Table2[[#This Row],[Date]])</f>
        <v>Q2 2025</v>
      </c>
      <c r="I817" s="2" t="str">
        <f>VLOOKUP(Table2[[#This Row],[Date]],Table7[],3)</f>
        <v>Q2 2025</v>
      </c>
    </row>
    <row r="818" spans="1:9" x14ac:dyDescent="0.25">
      <c r="A818" s="3" t="s">
        <v>29</v>
      </c>
      <c r="B818" s="3">
        <v>45808</v>
      </c>
      <c r="C818" s="6">
        <v>1231</v>
      </c>
      <c r="D818" s="2">
        <f>LEN(Table2[[#This Row],[CLID]])</f>
        <v>7</v>
      </c>
      <c r="E818" s="2" t="str">
        <f>_xlfn.XLOOKUP('Volume Data'!A:A,'Geo Data'!D:D,'Geo Data'!B:B)</f>
        <v>GEO1002</v>
      </c>
      <c r="F818" s="2" t="str">
        <f>INDEX(GeoByClient[GEOID],MATCH(Table2[[#This Row],[CLID]],GeoByClient[Right],0))</f>
        <v>GEO1002</v>
      </c>
      <c r="G818" s="2" t="str">
        <f>_xlfn.XLOOKUP(Table2[[#This Row],[Xlookup Region ID]],GEONames[GEOID],GEONames[GEO Name])</f>
        <v>APAC</v>
      </c>
      <c r="H818" s="2" t="str">
        <f>"Q"&amp;ROUNDUP(MONTH(Table2[[#This Row],[Date]])/3,0)&amp;" "&amp;YEAR(Table2[[#This Row],[Date]])</f>
        <v>Q2 2025</v>
      </c>
      <c r="I818" s="2" t="str">
        <f>VLOOKUP(Table2[[#This Row],[Date]],Table7[],3)</f>
        <v>Q2 2025</v>
      </c>
    </row>
    <row r="819" spans="1:9" x14ac:dyDescent="0.25">
      <c r="A819" s="3" t="s">
        <v>29</v>
      </c>
      <c r="B819" s="3">
        <v>45777</v>
      </c>
      <c r="C819" s="6">
        <v>1204</v>
      </c>
      <c r="D819" s="2">
        <f>LEN(Table2[[#This Row],[CLID]])</f>
        <v>7</v>
      </c>
      <c r="E819" s="2" t="str">
        <f>_xlfn.XLOOKUP('Volume Data'!A:A,'Geo Data'!D:D,'Geo Data'!B:B)</f>
        <v>GEO1002</v>
      </c>
      <c r="F819" s="2" t="str">
        <f>INDEX(GeoByClient[GEOID],MATCH(Table2[[#This Row],[CLID]],GeoByClient[Right],0))</f>
        <v>GEO1002</v>
      </c>
      <c r="G819" s="2" t="str">
        <f>_xlfn.XLOOKUP(Table2[[#This Row],[Xlookup Region ID]],GEONames[GEOID],GEONames[GEO Name])</f>
        <v>APAC</v>
      </c>
      <c r="H819" s="2" t="str">
        <f>"Q"&amp;ROUNDUP(MONTH(Table2[[#This Row],[Date]])/3,0)&amp;" "&amp;YEAR(Table2[[#This Row],[Date]])</f>
        <v>Q2 2025</v>
      </c>
      <c r="I819" s="2" t="str">
        <f>VLOOKUP(Table2[[#This Row],[Date]],Table7[],3)</f>
        <v>Q2 2025</v>
      </c>
    </row>
    <row r="820" spans="1:9" x14ac:dyDescent="0.25">
      <c r="A820" s="3" t="s">
        <v>29</v>
      </c>
      <c r="B820" s="3">
        <v>45747</v>
      </c>
      <c r="C820" s="6">
        <v>1120</v>
      </c>
      <c r="D820" s="2">
        <f>LEN(Table2[[#This Row],[CLID]])</f>
        <v>7</v>
      </c>
      <c r="E820" s="2" t="str">
        <f>_xlfn.XLOOKUP('Volume Data'!A:A,'Geo Data'!D:D,'Geo Data'!B:B)</f>
        <v>GEO1002</v>
      </c>
      <c r="F820" s="2" t="str">
        <f>INDEX(GeoByClient[GEOID],MATCH(Table2[[#This Row],[CLID]],GeoByClient[Right],0))</f>
        <v>GEO1002</v>
      </c>
      <c r="G820" s="2" t="str">
        <f>_xlfn.XLOOKUP(Table2[[#This Row],[Xlookup Region ID]],GEONames[GEOID],GEONames[GEO Name])</f>
        <v>APAC</v>
      </c>
      <c r="H820" s="2" t="str">
        <f>"Q"&amp;ROUNDUP(MONTH(Table2[[#This Row],[Date]])/3,0)&amp;" "&amp;YEAR(Table2[[#This Row],[Date]])</f>
        <v>Q1 2025</v>
      </c>
      <c r="I820" s="2" t="str">
        <f>VLOOKUP(Table2[[#This Row],[Date]],Table7[],3)</f>
        <v>Q4 2024</v>
      </c>
    </row>
    <row r="821" spans="1:9" x14ac:dyDescent="0.25">
      <c r="A821" s="3" t="s">
        <v>29</v>
      </c>
      <c r="B821" s="3">
        <v>45716</v>
      </c>
      <c r="C821" s="6">
        <v>945</v>
      </c>
      <c r="D821" s="2">
        <f>LEN(Table2[[#This Row],[CLID]])</f>
        <v>7</v>
      </c>
      <c r="E821" s="2" t="str">
        <f>_xlfn.XLOOKUP('Volume Data'!A:A,'Geo Data'!D:D,'Geo Data'!B:B)</f>
        <v>GEO1002</v>
      </c>
      <c r="F821" s="2" t="str">
        <f>INDEX(GeoByClient[GEOID],MATCH(Table2[[#This Row],[CLID]],GeoByClient[Right],0))</f>
        <v>GEO1002</v>
      </c>
      <c r="G821" s="2" t="str">
        <f>_xlfn.XLOOKUP(Table2[[#This Row],[Xlookup Region ID]],GEONames[GEOID],GEONames[GEO Name])</f>
        <v>APAC</v>
      </c>
      <c r="H821" s="2" t="str">
        <f>"Q"&amp;ROUNDUP(MONTH(Table2[[#This Row],[Date]])/3,0)&amp;" "&amp;YEAR(Table2[[#This Row],[Date]])</f>
        <v>Q1 2025</v>
      </c>
      <c r="I821" s="2" t="str">
        <f>VLOOKUP(Table2[[#This Row],[Date]],Table7[],3)</f>
        <v>Q4 2024</v>
      </c>
    </row>
    <row r="822" spans="1:9" x14ac:dyDescent="0.25">
      <c r="A822" s="3" t="s">
        <v>29</v>
      </c>
      <c r="B822" s="3">
        <v>45688</v>
      </c>
      <c r="C822" s="6">
        <v>936</v>
      </c>
      <c r="D822" s="2">
        <f>LEN(Table2[[#This Row],[CLID]])</f>
        <v>7</v>
      </c>
      <c r="E822" s="2" t="str">
        <f>_xlfn.XLOOKUP('Volume Data'!A:A,'Geo Data'!D:D,'Geo Data'!B:B)</f>
        <v>GEO1002</v>
      </c>
      <c r="F822" s="2" t="str">
        <f>INDEX(GeoByClient[GEOID],MATCH(Table2[[#This Row],[CLID]],GeoByClient[Right],0))</f>
        <v>GEO1002</v>
      </c>
      <c r="G822" s="2" t="str">
        <f>_xlfn.XLOOKUP(Table2[[#This Row],[Xlookup Region ID]],GEONames[GEOID],GEONames[GEO Name])</f>
        <v>APAC</v>
      </c>
      <c r="H822" s="2" t="str">
        <f>"Q"&amp;ROUNDUP(MONTH(Table2[[#This Row],[Date]])/3,0)&amp;" "&amp;YEAR(Table2[[#This Row],[Date]])</f>
        <v>Q1 2025</v>
      </c>
      <c r="I822" s="2" t="str">
        <f>VLOOKUP(Table2[[#This Row],[Date]],Table7[],3)</f>
        <v>Q4 2024</v>
      </c>
    </row>
    <row r="823" spans="1:9" x14ac:dyDescent="0.25">
      <c r="A823" s="3" t="s">
        <v>39</v>
      </c>
      <c r="B823" s="3">
        <v>45322</v>
      </c>
      <c r="C823" s="6">
        <v>1244</v>
      </c>
      <c r="D823" s="2">
        <f>LEN(Table2[[#This Row],[CLID]])</f>
        <v>7</v>
      </c>
      <c r="E823" s="2" t="str">
        <f>_xlfn.XLOOKUP('Volume Data'!A:A,'Geo Data'!D:D,'Geo Data'!B:B)</f>
        <v>GEO1002</v>
      </c>
      <c r="F823" s="2" t="str">
        <f>INDEX(GeoByClient[GEOID],MATCH(Table2[[#This Row],[CLID]],GeoByClient[Right],0))</f>
        <v>GEO1002</v>
      </c>
      <c r="G823" s="2" t="str">
        <f>_xlfn.XLOOKUP(Table2[[#This Row],[Xlookup Region ID]],GEONames[GEOID],GEONames[GEO Name])</f>
        <v>APAC</v>
      </c>
      <c r="H823" s="2" t="str">
        <f>"Q"&amp;ROUNDUP(MONTH(Table2[[#This Row],[Date]])/3,0)&amp;" "&amp;YEAR(Table2[[#This Row],[Date]])</f>
        <v>Q1 2024</v>
      </c>
      <c r="I823" s="2" t="str">
        <f>VLOOKUP(Table2[[#This Row],[Date]],Table7[],3)</f>
        <v>Q1 2024</v>
      </c>
    </row>
    <row r="824" spans="1:9" x14ac:dyDescent="0.25">
      <c r="A824" s="3" t="s">
        <v>39</v>
      </c>
      <c r="B824" s="3">
        <v>45351</v>
      </c>
      <c r="C824" s="6">
        <v>1240</v>
      </c>
      <c r="D824" s="2">
        <f>LEN(Table2[[#This Row],[CLID]])</f>
        <v>7</v>
      </c>
      <c r="E824" s="2" t="str">
        <f>_xlfn.XLOOKUP('Volume Data'!A:A,'Geo Data'!D:D,'Geo Data'!B:B)</f>
        <v>GEO1002</v>
      </c>
      <c r="F824" s="2" t="str">
        <f>INDEX(GeoByClient[GEOID],MATCH(Table2[[#This Row],[CLID]],GeoByClient[Right],0))</f>
        <v>GEO1002</v>
      </c>
      <c r="G824" s="2" t="str">
        <f>_xlfn.XLOOKUP(Table2[[#This Row],[Xlookup Region ID]],GEONames[GEOID],GEONames[GEO Name])</f>
        <v>APAC</v>
      </c>
      <c r="H824" s="2" t="str">
        <f>"Q"&amp;ROUNDUP(MONTH(Table2[[#This Row],[Date]])/3,0)&amp;" "&amp;YEAR(Table2[[#This Row],[Date]])</f>
        <v>Q1 2024</v>
      </c>
      <c r="I824" s="2" t="str">
        <f>VLOOKUP(Table2[[#This Row],[Date]],Table7[],3)</f>
        <v>Q1 2024</v>
      </c>
    </row>
    <row r="825" spans="1:9" x14ac:dyDescent="0.25">
      <c r="A825" s="3" t="s">
        <v>39</v>
      </c>
      <c r="B825" s="3">
        <v>45382</v>
      </c>
      <c r="C825" s="6">
        <v>1534</v>
      </c>
      <c r="D825" s="2">
        <f>LEN(Table2[[#This Row],[CLID]])</f>
        <v>7</v>
      </c>
      <c r="E825" s="2" t="str">
        <f>_xlfn.XLOOKUP('Volume Data'!A:A,'Geo Data'!D:D,'Geo Data'!B:B)</f>
        <v>GEO1002</v>
      </c>
      <c r="F825" s="2" t="str">
        <f>INDEX(GeoByClient[GEOID],MATCH(Table2[[#This Row],[CLID]],GeoByClient[Right],0))</f>
        <v>GEO1002</v>
      </c>
      <c r="G825" s="2" t="str">
        <f>_xlfn.XLOOKUP(Table2[[#This Row],[Xlookup Region ID]],GEONames[GEOID],GEONames[GEO Name])</f>
        <v>APAC</v>
      </c>
      <c r="H825" s="2" t="str">
        <f>"Q"&amp;ROUNDUP(MONTH(Table2[[#This Row],[Date]])/3,0)&amp;" "&amp;YEAR(Table2[[#This Row],[Date]])</f>
        <v>Q1 2024</v>
      </c>
      <c r="I825" s="2" t="str">
        <f>VLOOKUP(Table2[[#This Row],[Date]],Table7[],3)</f>
        <v>Q1 2024</v>
      </c>
    </row>
    <row r="826" spans="1:9" x14ac:dyDescent="0.25">
      <c r="A826" s="3" t="s">
        <v>39</v>
      </c>
      <c r="B826" s="3">
        <v>45412</v>
      </c>
      <c r="C826" s="6">
        <v>1675</v>
      </c>
      <c r="D826" s="2">
        <f>LEN(Table2[[#This Row],[CLID]])</f>
        <v>7</v>
      </c>
      <c r="E826" s="2" t="str">
        <f>_xlfn.XLOOKUP('Volume Data'!A:A,'Geo Data'!D:D,'Geo Data'!B:B)</f>
        <v>GEO1002</v>
      </c>
      <c r="F826" s="2" t="str">
        <f>INDEX(GeoByClient[GEOID],MATCH(Table2[[#This Row],[CLID]],GeoByClient[Right],0))</f>
        <v>GEO1002</v>
      </c>
      <c r="G826" s="2" t="str">
        <f>_xlfn.XLOOKUP(Table2[[#This Row],[Xlookup Region ID]],GEONames[GEOID],GEONames[GEO Name])</f>
        <v>APAC</v>
      </c>
      <c r="H826" s="2" t="str">
        <f>"Q"&amp;ROUNDUP(MONTH(Table2[[#This Row],[Date]])/3,0)&amp;" "&amp;YEAR(Table2[[#This Row],[Date]])</f>
        <v>Q2 2024</v>
      </c>
      <c r="I826" s="2" t="str">
        <f>VLOOKUP(Table2[[#This Row],[Date]],Table7[],3)</f>
        <v>Q2 2024</v>
      </c>
    </row>
    <row r="827" spans="1:9" x14ac:dyDescent="0.25">
      <c r="A827" s="3" t="s">
        <v>39</v>
      </c>
      <c r="B827" s="3">
        <v>45443</v>
      </c>
      <c r="C827" s="6">
        <v>1680</v>
      </c>
      <c r="D827" s="2">
        <f>LEN(Table2[[#This Row],[CLID]])</f>
        <v>7</v>
      </c>
      <c r="E827" s="2" t="str">
        <f>_xlfn.XLOOKUP('Volume Data'!A:A,'Geo Data'!D:D,'Geo Data'!B:B)</f>
        <v>GEO1002</v>
      </c>
      <c r="F827" s="2" t="str">
        <f>INDEX(GeoByClient[GEOID],MATCH(Table2[[#This Row],[CLID]],GeoByClient[Right],0))</f>
        <v>GEO1002</v>
      </c>
      <c r="G827" s="2" t="str">
        <f>_xlfn.XLOOKUP(Table2[[#This Row],[Xlookup Region ID]],GEONames[GEOID],GEONames[GEO Name])</f>
        <v>APAC</v>
      </c>
      <c r="H827" s="2" t="str">
        <f>"Q"&amp;ROUNDUP(MONTH(Table2[[#This Row],[Date]])/3,0)&amp;" "&amp;YEAR(Table2[[#This Row],[Date]])</f>
        <v>Q2 2024</v>
      </c>
      <c r="I827" s="2" t="str">
        <f>VLOOKUP(Table2[[#This Row],[Date]],Table7[],3)</f>
        <v>Q2 2024</v>
      </c>
    </row>
    <row r="828" spans="1:9" x14ac:dyDescent="0.25">
      <c r="A828" s="3" t="s">
        <v>39</v>
      </c>
      <c r="B828" s="3">
        <v>45473</v>
      </c>
      <c r="C828" s="6">
        <v>1094</v>
      </c>
      <c r="D828" s="2">
        <f>LEN(Table2[[#This Row],[CLID]])</f>
        <v>7</v>
      </c>
      <c r="E828" s="2" t="str">
        <f>_xlfn.XLOOKUP('Volume Data'!A:A,'Geo Data'!D:D,'Geo Data'!B:B)</f>
        <v>GEO1002</v>
      </c>
      <c r="F828" s="2" t="str">
        <f>INDEX(GeoByClient[GEOID],MATCH(Table2[[#This Row],[CLID]],GeoByClient[Right],0))</f>
        <v>GEO1002</v>
      </c>
      <c r="G828" s="2" t="str">
        <f>_xlfn.XLOOKUP(Table2[[#This Row],[Xlookup Region ID]],GEONames[GEOID],GEONames[GEO Name])</f>
        <v>APAC</v>
      </c>
      <c r="H828" s="2" t="str">
        <f>"Q"&amp;ROUNDUP(MONTH(Table2[[#This Row],[Date]])/3,0)&amp;" "&amp;YEAR(Table2[[#This Row],[Date]])</f>
        <v>Q2 2024</v>
      </c>
      <c r="I828" s="2" t="str">
        <f>VLOOKUP(Table2[[#This Row],[Date]],Table7[],3)</f>
        <v>Q2 2024</v>
      </c>
    </row>
    <row r="829" spans="1:9" x14ac:dyDescent="0.25">
      <c r="A829" s="3" t="s">
        <v>39</v>
      </c>
      <c r="B829" s="3">
        <v>45504</v>
      </c>
      <c r="C829" s="6">
        <v>1095</v>
      </c>
      <c r="D829" s="2">
        <f>LEN(Table2[[#This Row],[CLID]])</f>
        <v>7</v>
      </c>
      <c r="E829" s="2" t="str">
        <f>_xlfn.XLOOKUP('Volume Data'!A:A,'Geo Data'!D:D,'Geo Data'!B:B)</f>
        <v>GEO1002</v>
      </c>
      <c r="F829" s="2" t="str">
        <f>INDEX(GeoByClient[GEOID],MATCH(Table2[[#This Row],[CLID]],GeoByClient[Right],0))</f>
        <v>GEO1002</v>
      </c>
      <c r="G829" s="2" t="str">
        <f>_xlfn.XLOOKUP(Table2[[#This Row],[Xlookup Region ID]],GEONames[GEOID],GEONames[GEO Name])</f>
        <v>APAC</v>
      </c>
      <c r="H829" s="2" t="str">
        <f>"Q"&amp;ROUNDUP(MONTH(Table2[[#This Row],[Date]])/3,0)&amp;" "&amp;YEAR(Table2[[#This Row],[Date]])</f>
        <v>Q3 2024</v>
      </c>
      <c r="I829" s="2" t="str">
        <f>VLOOKUP(Table2[[#This Row],[Date]],Table7[],3)</f>
        <v>Q3 2024</v>
      </c>
    </row>
    <row r="830" spans="1:9" x14ac:dyDescent="0.25">
      <c r="A830" s="3" t="s">
        <v>39</v>
      </c>
      <c r="B830" s="3">
        <v>45535</v>
      </c>
      <c r="C830" s="6">
        <v>807</v>
      </c>
      <c r="D830" s="2">
        <f>LEN(Table2[[#This Row],[CLID]])</f>
        <v>7</v>
      </c>
      <c r="E830" s="2" t="str">
        <f>_xlfn.XLOOKUP('Volume Data'!A:A,'Geo Data'!D:D,'Geo Data'!B:B)</f>
        <v>GEO1002</v>
      </c>
      <c r="F830" s="2" t="str">
        <f>INDEX(GeoByClient[GEOID],MATCH(Table2[[#This Row],[CLID]],GeoByClient[Right],0))</f>
        <v>GEO1002</v>
      </c>
      <c r="G830" s="2" t="str">
        <f>_xlfn.XLOOKUP(Table2[[#This Row],[Xlookup Region ID]],GEONames[GEOID],GEONames[GEO Name])</f>
        <v>APAC</v>
      </c>
      <c r="H830" s="2" t="str">
        <f>"Q"&amp;ROUNDUP(MONTH(Table2[[#This Row],[Date]])/3,0)&amp;" "&amp;YEAR(Table2[[#This Row],[Date]])</f>
        <v>Q3 2024</v>
      </c>
      <c r="I830" s="2" t="str">
        <f>VLOOKUP(Table2[[#This Row],[Date]],Table7[],3)</f>
        <v>Q3 2024</v>
      </c>
    </row>
    <row r="831" spans="1:9" x14ac:dyDescent="0.25">
      <c r="A831" s="3" t="s">
        <v>39</v>
      </c>
      <c r="B831" s="3">
        <v>45565</v>
      </c>
      <c r="C831" s="6">
        <v>950</v>
      </c>
      <c r="D831" s="2">
        <f>LEN(Table2[[#This Row],[CLID]])</f>
        <v>7</v>
      </c>
      <c r="E831" s="2" t="str">
        <f>_xlfn.XLOOKUP('Volume Data'!A:A,'Geo Data'!D:D,'Geo Data'!B:B)</f>
        <v>GEO1002</v>
      </c>
      <c r="F831" s="2" t="str">
        <f>INDEX(GeoByClient[GEOID],MATCH(Table2[[#This Row],[CLID]],GeoByClient[Right],0))</f>
        <v>GEO1002</v>
      </c>
      <c r="G831" s="2" t="str">
        <f>_xlfn.XLOOKUP(Table2[[#This Row],[Xlookup Region ID]],GEONames[GEOID],GEONames[GEO Name])</f>
        <v>APAC</v>
      </c>
      <c r="H831" s="2" t="str">
        <f>"Q"&amp;ROUNDUP(MONTH(Table2[[#This Row],[Date]])/3,0)&amp;" "&amp;YEAR(Table2[[#This Row],[Date]])</f>
        <v>Q3 2024</v>
      </c>
      <c r="I831" s="2" t="str">
        <f>VLOOKUP(Table2[[#This Row],[Date]],Table7[],3)</f>
        <v>Q3 2024</v>
      </c>
    </row>
    <row r="832" spans="1:9" x14ac:dyDescent="0.25">
      <c r="A832" s="3" t="s">
        <v>39</v>
      </c>
      <c r="B832" s="3">
        <v>45596</v>
      </c>
      <c r="C832" s="6">
        <v>947</v>
      </c>
      <c r="D832" s="2">
        <f>LEN(Table2[[#This Row],[CLID]])</f>
        <v>7</v>
      </c>
      <c r="E832" s="2" t="str">
        <f>_xlfn.XLOOKUP('Volume Data'!A:A,'Geo Data'!D:D,'Geo Data'!B:B)</f>
        <v>GEO1002</v>
      </c>
      <c r="F832" s="2" t="str">
        <f>INDEX(GeoByClient[GEOID],MATCH(Table2[[#This Row],[CLID]],GeoByClient[Right],0))</f>
        <v>GEO1002</v>
      </c>
      <c r="G832" s="2" t="str">
        <f>_xlfn.XLOOKUP(Table2[[#This Row],[Xlookup Region ID]],GEONames[GEOID],GEONames[GEO Name])</f>
        <v>APAC</v>
      </c>
      <c r="H832" s="2" t="str">
        <f>"Q"&amp;ROUNDUP(MONTH(Table2[[#This Row],[Date]])/3,0)&amp;" "&amp;YEAR(Table2[[#This Row],[Date]])</f>
        <v>Q4 2024</v>
      </c>
      <c r="I832" s="2" t="str">
        <f>VLOOKUP(Table2[[#This Row],[Date]],Table7[],3)</f>
        <v>Q4 2024</v>
      </c>
    </row>
    <row r="833" spans="1:9" x14ac:dyDescent="0.25">
      <c r="A833" s="3" t="s">
        <v>39</v>
      </c>
      <c r="B833" s="3">
        <v>45626</v>
      </c>
      <c r="C833" s="6">
        <v>1239</v>
      </c>
      <c r="D833" s="2">
        <f>LEN(Table2[[#This Row],[CLID]])</f>
        <v>7</v>
      </c>
      <c r="E833" s="2" t="str">
        <f>_xlfn.XLOOKUP('Volume Data'!A:A,'Geo Data'!D:D,'Geo Data'!B:B)</f>
        <v>GEO1002</v>
      </c>
      <c r="F833" s="2" t="str">
        <f>INDEX(GeoByClient[GEOID],MATCH(Table2[[#This Row],[CLID]],GeoByClient[Right],0))</f>
        <v>GEO1002</v>
      </c>
      <c r="G833" s="2" t="str">
        <f>_xlfn.XLOOKUP(Table2[[#This Row],[Xlookup Region ID]],GEONames[GEOID],GEONames[GEO Name])</f>
        <v>APAC</v>
      </c>
      <c r="H833" s="2" t="str">
        <f>"Q"&amp;ROUNDUP(MONTH(Table2[[#This Row],[Date]])/3,0)&amp;" "&amp;YEAR(Table2[[#This Row],[Date]])</f>
        <v>Q4 2024</v>
      </c>
      <c r="I833" s="2" t="str">
        <f>VLOOKUP(Table2[[#This Row],[Date]],Table7[],3)</f>
        <v>Q4 2024</v>
      </c>
    </row>
    <row r="834" spans="1:9" x14ac:dyDescent="0.25">
      <c r="A834" s="3" t="s">
        <v>39</v>
      </c>
      <c r="B834" s="3">
        <v>45657</v>
      </c>
      <c r="C834" s="6">
        <v>1092</v>
      </c>
      <c r="D834" s="2">
        <f>LEN(Table2[[#This Row],[CLID]])</f>
        <v>7</v>
      </c>
      <c r="E834" s="2" t="str">
        <f>_xlfn.XLOOKUP('Volume Data'!A:A,'Geo Data'!D:D,'Geo Data'!B:B)</f>
        <v>GEO1002</v>
      </c>
      <c r="F834" s="2" t="str">
        <f>INDEX(GeoByClient[GEOID],MATCH(Table2[[#This Row],[CLID]],GeoByClient[Right],0))</f>
        <v>GEO1002</v>
      </c>
      <c r="G834" s="2" t="str">
        <f>_xlfn.XLOOKUP(Table2[[#This Row],[Xlookup Region ID]],GEONames[GEOID],GEONames[GEO Name])</f>
        <v>APAC</v>
      </c>
      <c r="H834" s="2" t="str">
        <f>"Q"&amp;ROUNDUP(MONTH(Table2[[#This Row],[Date]])/3,0)&amp;" "&amp;YEAR(Table2[[#This Row],[Date]])</f>
        <v>Q4 2024</v>
      </c>
      <c r="I834" s="2" t="str">
        <f>VLOOKUP(Table2[[#This Row],[Date]],Table7[],3)</f>
        <v>Q4 2024</v>
      </c>
    </row>
    <row r="835" spans="1:9" x14ac:dyDescent="0.25">
      <c r="A835" s="3" t="s">
        <v>39</v>
      </c>
      <c r="B835" s="3">
        <v>45838</v>
      </c>
      <c r="C835" s="6">
        <v>1153</v>
      </c>
      <c r="D835" s="2">
        <f>LEN(Table2[[#This Row],[CLID]])</f>
        <v>7</v>
      </c>
      <c r="E835" s="2" t="str">
        <f>_xlfn.XLOOKUP('Volume Data'!A:A,'Geo Data'!D:D,'Geo Data'!B:B)</f>
        <v>GEO1002</v>
      </c>
      <c r="F835" s="2" t="str">
        <f>INDEX(GeoByClient[GEOID],MATCH(Table2[[#This Row],[CLID]],GeoByClient[Right],0))</f>
        <v>GEO1002</v>
      </c>
      <c r="G835" s="2" t="str">
        <f>_xlfn.XLOOKUP(Table2[[#This Row],[Xlookup Region ID]],GEONames[GEOID],GEONames[GEO Name])</f>
        <v>APAC</v>
      </c>
      <c r="H835" s="2" t="str">
        <f>"Q"&amp;ROUNDUP(MONTH(Table2[[#This Row],[Date]])/3,0)&amp;" "&amp;YEAR(Table2[[#This Row],[Date]])</f>
        <v>Q2 2025</v>
      </c>
      <c r="I835" s="2" t="str">
        <f>VLOOKUP(Table2[[#This Row],[Date]],Table7[],3)</f>
        <v>Q2 2025</v>
      </c>
    </row>
    <row r="836" spans="1:9" x14ac:dyDescent="0.25">
      <c r="A836" s="3" t="s">
        <v>39</v>
      </c>
      <c r="B836" s="3">
        <v>45808</v>
      </c>
      <c r="C836" s="6">
        <v>1659</v>
      </c>
      <c r="D836" s="2">
        <f>LEN(Table2[[#This Row],[CLID]])</f>
        <v>7</v>
      </c>
      <c r="E836" s="2" t="str">
        <f>_xlfn.XLOOKUP('Volume Data'!A:A,'Geo Data'!D:D,'Geo Data'!B:B)</f>
        <v>GEO1002</v>
      </c>
      <c r="F836" s="2" t="str">
        <f>INDEX(GeoByClient[GEOID],MATCH(Table2[[#This Row],[CLID]],GeoByClient[Right],0))</f>
        <v>GEO1002</v>
      </c>
      <c r="G836" s="2" t="str">
        <f>_xlfn.XLOOKUP(Table2[[#This Row],[Xlookup Region ID]],GEONames[GEOID],GEONames[GEO Name])</f>
        <v>APAC</v>
      </c>
      <c r="H836" s="2" t="str">
        <f>"Q"&amp;ROUNDUP(MONTH(Table2[[#This Row],[Date]])/3,0)&amp;" "&amp;YEAR(Table2[[#This Row],[Date]])</f>
        <v>Q2 2025</v>
      </c>
      <c r="I836" s="2" t="str">
        <f>VLOOKUP(Table2[[#This Row],[Date]],Table7[],3)</f>
        <v>Q2 2025</v>
      </c>
    </row>
    <row r="837" spans="1:9" x14ac:dyDescent="0.25">
      <c r="A837" s="3" t="s">
        <v>39</v>
      </c>
      <c r="B837" s="3">
        <v>45777</v>
      </c>
      <c r="C837" s="6">
        <v>1710</v>
      </c>
      <c r="D837" s="2">
        <f>LEN(Table2[[#This Row],[CLID]])</f>
        <v>7</v>
      </c>
      <c r="E837" s="2" t="str">
        <f>_xlfn.XLOOKUP('Volume Data'!A:A,'Geo Data'!D:D,'Geo Data'!B:B)</f>
        <v>GEO1002</v>
      </c>
      <c r="F837" s="2" t="str">
        <f>INDEX(GeoByClient[GEOID],MATCH(Table2[[#This Row],[CLID]],GeoByClient[Right],0))</f>
        <v>GEO1002</v>
      </c>
      <c r="G837" s="2" t="str">
        <f>_xlfn.XLOOKUP(Table2[[#This Row],[Xlookup Region ID]],GEONames[GEOID],GEONames[GEO Name])</f>
        <v>APAC</v>
      </c>
      <c r="H837" s="2" t="str">
        <f>"Q"&amp;ROUNDUP(MONTH(Table2[[#This Row],[Date]])/3,0)&amp;" "&amp;YEAR(Table2[[#This Row],[Date]])</f>
        <v>Q2 2025</v>
      </c>
      <c r="I837" s="2" t="str">
        <f>VLOOKUP(Table2[[#This Row],[Date]],Table7[],3)</f>
        <v>Q2 2025</v>
      </c>
    </row>
    <row r="838" spans="1:9" x14ac:dyDescent="0.25">
      <c r="A838" s="3" t="s">
        <v>39</v>
      </c>
      <c r="B838" s="3">
        <v>45747</v>
      </c>
      <c r="C838" s="6">
        <v>1546</v>
      </c>
      <c r="D838" s="2">
        <f>LEN(Table2[[#This Row],[CLID]])</f>
        <v>7</v>
      </c>
      <c r="E838" s="2" t="str">
        <f>_xlfn.XLOOKUP('Volume Data'!A:A,'Geo Data'!D:D,'Geo Data'!B:B)</f>
        <v>GEO1002</v>
      </c>
      <c r="F838" s="2" t="str">
        <f>INDEX(GeoByClient[GEOID],MATCH(Table2[[#This Row],[CLID]],GeoByClient[Right],0))</f>
        <v>GEO1002</v>
      </c>
      <c r="G838" s="2" t="str">
        <f>_xlfn.XLOOKUP(Table2[[#This Row],[Xlookup Region ID]],GEONames[GEOID],GEONames[GEO Name])</f>
        <v>APAC</v>
      </c>
      <c r="H838" s="2" t="str">
        <f>"Q"&amp;ROUNDUP(MONTH(Table2[[#This Row],[Date]])/3,0)&amp;" "&amp;YEAR(Table2[[#This Row],[Date]])</f>
        <v>Q1 2025</v>
      </c>
      <c r="I838" s="2" t="str">
        <f>VLOOKUP(Table2[[#This Row],[Date]],Table7[],3)</f>
        <v>Q4 2024</v>
      </c>
    </row>
    <row r="839" spans="1:9" x14ac:dyDescent="0.25">
      <c r="A839" s="3" t="s">
        <v>39</v>
      </c>
      <c r="B839" s="3">
        <v>45716</v>
      </c>
      <c r="C839" s="6">
        <v>1289</v>
      </c>
      <c r="D839" s="2">
        <f>LEN(Table2[[#This Row],[CLID]])</f>
        <v>7</v>
      </c>
      <c r="E839" s="2" t="str">
        <f>_xlfn.XLOOKUP('Volume Data'!A:A,'Geo Data'!D:D,'Geo Data'!B:B)</f>
        <v>GEO1002</v>
      </c>
      <c r="F839" s="2" t="str">
        <f>INDEX(GeoByClient[GEOID],MATCH(Table2[[#This Row],[CLID]],GeoByClient[Right],0))</f>
        <v>GEO1002</v>
      </c>
      <c r="G839" s="2" t="str">
        <f>_xlfn.XLOOKUP(Table2[[#This Row],[Xlookup Region ID]],GEONames[GEOID],GEONames[GEO Name])</f>
        <v>APAC</v>
      </c>
      <c r="H839" s="2" t="str">
        <f>"Q"&amp;ROUNDUP(MONTH(Table2[[#This Row],[Date]])/3,0)&amp;" "&amp;YEAR(Table2[[#This Row],[Date]])</f>
        <v>Q1 2025</v>
      </c>
      <c r="I839" s="2" t="str">
        <f>VLOOKUP(Table2[[#This Row],[Date]],Table7[],3)</f>
        <v>Q4 2024</v>
      </c>
    </row>
    <row r="840" spans="1:9" x14ac:dyDescent="0.25">
      <c r="A840" s="3" t="s">
        <v>39</v>
      </c>
      <c r="B840" s="3">
        <v>45688</v>
      </c>
      <c r="C840" s="6">
        <v>1236</v>
      </c>
      <c r="D840" s="2">
        <f>LEN(Table2[[#This Row],[CLID]])</f>
        <v>7</v>
      </c>
      <c r="E840" s="2" t="str">
        <f>_xlfn.XLOOKUP('Volume Data'!A:A,'Geo Data'!D:D,'Geo Data'!B:B)</f>
        <v>GEO1002</v>
      </c>
      <c r="F840" s="2" t="str">
        <f>INDEX(GeoByClient[GEOID],MATCH(Table2[[#This Row],[CLID]],GeoByClient[Right],0))</f>
        <v>GEO1002</v>
      </c>
      <c r="G840" s="2" t="str">
        <f>_xlfn.XLOOKUP(Table2[[#This Row],[Xlookup Region ID]],GEONames[GEOID],GEONames[GEO Name])</f>
        <v>APAC</v>
      </c>
      <c r="H840" s="2" t="str">
        <f>"Q"&amp;ROUNDUP(MONTH(Table2[[#This Row],[Date]])/3,0)&amp;" "&amp;YEAR(Table2[[#This Row],[Date]])</f>
        <v>Q1 2025</v>
      </c>
      <c r="I840" s="2" t="str">
        <f>VLOOKUP(Table2[[#This Row],[Date]],Table7[],3)</f>
        <v>Q4 2024</v>
      </c>
    </row>
    <row r="841" spans="1:9" x14ac:dyDescent="0.25">
      <c r="A841" s="3" t="s">
        <v>47</v>
      </c>
      <c r="B841" s="3">
        <v>45322</v>
      </c>
      <c r="C841" s="6">
        <v>1362</v>
      </c>
      <c r="D841" s="2">
        <f>LEN(Table2[[#This Row],[CLID]])</f>
        <v>7</v>
      </c>
      <c r="E841" s="2" t="str">
        <f>_xlfn.XLOOKUP('Volume Data'!A:A,'Geo Data'!D:D,'Geo Data'!B:B)</f>
        <v>GEO1001</v>
      </c>
      <c r="F841" s="2" t="str">
        <f>INDEX(GeoByClient[GEOID],MATCH(Table2[[#This Row],[CLID]],GeoByClient[Right],0))</f>
        <v>GEO1001</v>
      </c>
      <c r="G841" s="2" t="str">
        <f>_xlfn.XLOOKUP(Table2[[#This Row],[Xlookup Region ID]],GEONames[GEOID],GEONames[GEO Name])</f>
        <v>NAM</v>
      </c>
      <c r="H841" s="2" t="str">
        <f>"Q"&amp;ROUNDUP(MONTH(Table2[[#This Row],[Date]])/3,0)&amp;" "&amp;YEAR(Table2[[#This Row],[Date]])</f>
        <v>Q1 2024</v>
      </c>
      <c r="I841" s="2" t="str">
        <f>VLOOKUP(Table2[[#This Row],[Date]],Table7[],3)</f>
        <v>Q1 2024</v>
      </c>
    </row>
    <row r="842" spans="1:9" x14ac:dyDescent="0.25">
      <c r="A842" s="3" t="s">
        <v>47</v>
      </c>
      <c r="B842" s="3">
        <v>45351</v>
      </c>
      <c r="C842" s="6">
        <v>1719</v>
      </c>
      <c r="D842" s="2">
        <f>LEN(Table2[[#This Row],[CLID]])</f>
        <v>7</v>
      </c>
      <c r="E842" s="2" t="str">
        <f>_xlfn.XLOOKUP('Volume Data'!A:A,'Geo Data'!D:D,'Geo Data'!B:B)</f>
        <v>GEO1001</v>
      </c>
      <c r="F842" s="2" t="str">
        <f>INDEX(GeoByClient[GEOID],MATCH(Table2[[#This Row],[CLID]],GeoByClient[Right],0))</f>
        <v>GEO1001</v>
      </c>
      <c r="G842" s="2" t="str">
        <f>_xlfn.XLOOKUP(Table2[[#This Row],[Xlookup Region ID]],GEONames[GEOID],GEONames[GEO Name])</f>
        <v>NAM</v>
      </c>
      <c r="H842" s="2" t="str">
        <f>"Q"&amp;ROUNDUP(MONTH(Table2[[#This Row],[Date]])/3,0)&amp;" "&amp;YEAR(Table2[[#This Row],[Date]])</f>
        <v>Q1 2024</v>
      </c>
      <c r="I842" s="2" t="str">
        <f>VLOOKUP(Table2[[#This Row],[Date]],Table7[],3)</f>
        <v>Q1 2024</v>
      </c>
    </row>
    <row r="843" spans="1:9" x14ac:dyDescent="0.25">
      <c r="A843" s="3" t="s">
        <v>47</v>
      </c>
      <c r="B843" s="3">
        <v>45382</v>
      </c>
      <c r="C843" s="6">
        <v>1717</v>
      </c>
      <c r="D843" s="2">
        <f>LEN(Table2[[#This Row],[CLID]])</f>
        <v>7</v>
      </c>
      <c r="E843" s="2" t="str">
        <f>_xlfn.XLOOKUP('Volume Data'!A:A,'Geo Data'!D:D,'Geo Data'!B:B)</f>
        <v>GEO1001</v>
      </c>
      <c r="F843" s="2" t="str">
        <f>INDEX(GeoByClient[GEOID],MATCH(Table2[[#This Row],[CLID]],GeoByClient[Right],0))</f>
        <v>GEO1001</v>
      </c>
      <c r="G843" s="2" t="str">
        <f>_xlfn.XLOOKUP(Table2[[#This Row],[Xlookup Region ID]],GEONames[GEOID],GEONames[GEO Name])</f>
        <v>NAM</v>
      </c>
      <c r="H843" s="2" t="str">
        <f>"Q"&amp;ROUNDUP(MONTH(Table2[[#This Row],[Date]])/3,0)&amp;" "&amp;YEAR(Table2[[#This Row],[Date]])</f>
        <v>Q1 2024</v>
      </c>
      <c r="I843" s="2" t="str">
        <f>VLOOKUP(Table2[[#This Row],[Date]],Table7[],3)</f>
        <v>Q1 2024</v>
      </c>
    </row>
    <row r="844" spans="1:9" x14ac:dyDescent="0.25">
      <c r="A844" s="3" t="s">
        <v>47</v>
      </c>
      <c r="B844" s="3">
        <v>45412</v>
      </c>
      <c r="C844" s="6">
        <v>2259</v>
      </c>
      <c r="D844" s="2">
        <f>LEN(Table2[[#This Row],[CLID]])</f>
        <v>7</v>
      </c>
      <c r="E844" s="2" t="str">
        <f>_xlfn.XLOOKUP('Volume Data'!A:A,'Geo Data'!D:D,'Geo Data'!B:B)</f>
        <v>GEO1001</v>
      </c>
      <c r="F844" s="2" t="str">
        <f>INDEX(GeoByClient[GEOID],MATCH(Table2[[#This Row],[CLID]],GeoByClient[Right],0))</f>
        <v>GEO1001</v>
      </c>
      <c r="G844" s="2" t="str">
        <f>_xlfn.XLOOKUP(Table2[[#This Row],[Xlookup Region ID]],GEONames[GEOID],GEONames[GEO Name])</f>
        <v>NAM</v>
      </c>
      <c r="H844" s="2" t="str">
        <f>"Q"&amp;ROUNDUP(MONTH(Table2[[#This Row],[Date]])/3,0)&amp;" "&amp;YEAR(Table2[[#This Row],[Date]])</f>
        <v>Q2 2024</v>
      </c>
      <c r="I844" s="2" t="str">
        <f>VLOOKUP(Table2[[#This Row],[Date]],Table7[],3)</f>
        <v>Q2 2024</v>
      </c>
    </row>
    <row r="845" spans="1:9" x14ac:dyDescent="0.25">
      <c r="A845" s="3" t="s">
        <v>47</v>
      </c>
      <c r="B845" s="3">
        <v>45443</v>
      </c>
      <c r="C845" s="6">
        <v>1898</v>
      </c>
      <c r="D845" s="2">
        <f>LEN(Table2[[#This Row],[CLID]])</f>
        <v>7</v>
      </c>
      <c r="E845" s="2" t="str">
        <f>_xlfn.XLOOKUP('Volume Data'!A:A,'Geo Data'!D:D,'Geo Data'!B:B)</f>
        <v>GEO1001</v>
      </c>
      <c r="F845" s="2" t="str">
        <f>INDEX(GeoByClient[GEOID],MATCH(Table2[[#This Row],[CLID]],GeoByClient[Right],0))</f>
        <v>GEO1001</v>
      </c>
      <c r="G845" s="2" t="str">
        <f>_xlfn.XLOOKUP(Table2[[#This Row],[Xlookup Region ID]],GEONames[GEOID],GEONames[GEO Name])</f>
        <v>NAM</v>
      </c>
      <c r="H845" s="2" t="str">
        <f>"Q"&amp;ROUNDUP(MONTH(Table2[[#This Row],[Date]])/3,0)&amp;" "&amp;YEAR(Table2[[#This Row],[Date]])</f>
        <v>Q2 2024</v>
      </c>
      <c r="I845" s="2" t="str">
        <f>VLOOKUP(Table2[[#This Row],[Date]],Table7[],3)</f>
        <v>Q2 2024</v>
      </c>
    </row>
    <row r="846" spans="1:9" x14ac:dyDescent="0.25">
      <c r="A846" s="3" t="s">
        <v>47</v>
      </c>
      <c r="B846" s="3">
        <v>45473</v>
      </c>
      <c r="C846" s="6">
        <v>1539</v>
      </c>
      <c r="D846" s="2">
        <f>LEN(Table2[[#This Row],[CLID]])</f>
        <v>7</v>
      </c>
      <c r="E846" s="2" t="str">
        <f>_xlfn.XLOOKUP('Volume Data'!A:A,'Geo Data'!D:D,'Geo Data'!B:B)</f>
        <v>GEO1001</v>
      </c>
      <c r="F846" s="2" t="str">
        <f>INDEX(GeoByClient[GEOID],MATCH(Table2[[#This Row],[CLID]],GeoByClient[Right],0))</f>
        <v>GEO1001</v>
      </c>
      <c r="G846" s="2" t="str">
        <f>_xlfn.XLOOKUP(Table2[[#This Row],[Xlookup Region ID]],GEONames[GEOID],GEONames[GEO Name])</f>
        <v>NAM</v>
      </c>
      <c r="H846" s="2" t="str">
        <f>"Q"&amp;ROUNDUP(MONTH(Table2[[#This Row],[Date]])/3,0)&amp;" "&amp;YEAR(Table2[[#This Row],[Date]])</f>
        <v>Q2 2024</v>
      </c>
      <c r="I846" s="2" t="str">
        <f>VLOOKUP(Table2[[#This Row],[Date]],Table7[],3)</f>
        <v>Q2 2024</v>
      </c>
    </row>
    <row r="847" spans="1:9" x14ac:dyDescent="0.25">
      <c r="A847" s="3" t="s">
        <v>47</v>
      </c>
      <c r="B847" s="3">
        <v>45504</v>
      </c>
      <c r="C847" s="6">
        <v>1180</v>
      </c>
      <c r="D847" s="2">
        <f>LEN(Table2[[#This Row],[CLID]])</f>
        <v>7</v>
      </c>
      <c r="E847" s="2" t="str">
        <f>_xlfn.XLOOKUP('Volume Data'!A:A,'Geo Data'!D:D,'Geo Data'!B:B)</f>
        <v>GEO1001</v>
      </c>
      <c r="F847" s="2" t="str">
        <f>INDEX(GeoByClient[GEOID],MATCH(Table2[[#This Row],[CLID]],GeoByClient[Right],0))</f>
        <v>GEO1001</v>
      </c>
      <c r="G847" s="2" t="str">
        <f>_xlfn.XLOOKUP(Table2[[#This Row],[Xlookup Region ID]],GEONames[GEOID],GEONames[GEO Name])</f>
        <v>NAM</v>
      </c>
      <c r="H847" s="2" t="str">
        <f>"Q"&amp;ROUNDUP(MONTH(Table2[[#This Row],[Date]])/3,0)&amp;" "&amp;YEAR(Table2[[#This Row],[Date]])</f>
        <v>Q3 2024</v>
      </c>
      <c r="I847" s="2" t="str">
        <f>VLOOKUP(Table2[[#This Row],[Date]],Table7[],3)</f>
        <v>Q3 2024</v>
      </c>
    </row>
    <row r="848" spans="1:9" x14ac:dyDescent="0.25">
      <c r="A848" s="3" t="s">
        <v>47</v>
      </c>
      <c r="B848" s="3">
        <v>45535</v>
      </c>
      <c r="C848" s="6">
        <v>1175</v>
      </c>
      <c r="D848" s="2">
        <f>LEN(Table2[[#This Row],[CLID]])</f>
        <v>7</v>
      </c>
      <c r="E848" s="2" t="str">
        <f>_xlfn.XLOOKUP('Volume Data'!A:A,'Geo Data'!D:D,'Geo Data'!B:B)</f>
        <v>GEO1001</v>
      </c>
      <c r="F848" s="2" t="str">
        <f>INDEX(GeoByClient[GEOID],MATCH(Table2[[#This Row],[CLID]],GeoByClient[Right],0))</f>
        <v>GEO1001</v>
      </c>
      <c r="G848" s="2" t="str">
        <f>_xlfn.XLOOKUP(Table2[[#This Row],[Xlookup Region ID]],GEONames[GEOID],GEONames[GEO Name])</f>
        <v>NAM</v>
      </c>
      <c r="H848" s="2" t="str">
        <f>"Q"&amp;ROUNDUP(MONTH(Table2[[#This Row],[Date]])/3,0)&amp;" "&amp;YEAR(Table2[[#This Row],[Date]])</f>
        <v>Q3 2024</v>
      </c>
      <c r="I848" s="2" t="str">
        <f>VLOOKUP(Table2[[#This Row],[Date]],Table7[],3)</f>
        <v>Q3 2024</v>
      </c>
    </row>
    <row r="849" spans="1:9" x14ac:dyDescent="0.25">
      <c r="A849" s="3" t="s">
        <v>47</v>
      </c>
      <c r="B849" s="3">
        <v>45565</v>
      </c>
      <c r="C849" s="6">
        <v>999</v>
      </c>
      <c r="D849" s="2">
        <f>LEN(Table2[[#This Row],[CLID]])</f>
        <v>7</v>
      </c>
      <c r="E849" s="2" t="str">
        <f>_xlfn.XLOOKUP('Volume Data'!A:A,'Geo Data'!D:D,'Geo Data'!B:B)</f>
        <v>GEO1001</v>
      </c>
      <c r="F849" s="2" t="str">
        <f>INDEX(GeoByClient[GEOID],MATCH(Table2[[#This Row],[CLID]],GeoByClient[Right],0))</f>
        <v>GEO1001</v>
      </c>
      <c r="G849" s="2" t="str">
        <f>_xlfn.XLOOKUP(Table2[[#This Row],[Xlookup Region ID]],GEONames[GEOID],GEONames[GEO Name])</f>
        <v>NAM</v>
      </c>
      <c r="H849" s="2" t="str">
        <f>"Q"&amp;ROUNDUP(MONTH(Table2[[#This Row],[Date]])/3,0)&amp;" "&amp;YEAR(Table2[[#This Row],[Date]])</f>
        <v>Q3 2024</v>
      </c>
      <c r="I849" s="2" t="str">
        <f>VLOOKUP(Table2[[#This Row],[Date]],Table7[],3)</f>
        <v>Q3 2024</v>
      </c>
    </row>
    <row r="850" spans="1:9" x14ac:dyDescent="0.25">
      <c r="A850" s="3" t="s">
        <v>47</v>
      </c>
      <c r="B850" s="3">
        <v>45596</v>
      </c>
      <c r="C850" s="6">
        <v>1361</v>
      </c>
      <c r="D850" s="2">
        <f>LEN(Table2[[#This Row],[CLID]])</f>
        <v>7</v>
      </c>
      <c r="E850" s="2" t="str">
        <f>_xlfn.XLOOKUP('Volume Data'!A:A,'Geo Data'!D:D,'Geo Data'!B:B)</f>
        <v>GEO1001</v>
      </c>
      <c r="F850" s="2" t="str">
        <f>INDEX(GeoByClient[GEOID],MATCH(Table2[[#This Row],[CLID]],GeoByClient[Right],0))</f>
        <v>GEO1001</v>
      </c>
      <c r="G850" s="2" t="str">
        <f>_xlfn.XLOOKUP(Table2[[#This Row],[Xlookup Region ID]],GEONames[GEOID],GEONames[GEO Name])</f>
        <v>NAM</v>
      </c>
      <c r="H850" s="2" t="str">
        <f>"Q"&amp;ROUNDUP(MONTH(Table2[[#This Row],[Date]])/3,0)&amp;" "&amp;YEAR(Table2[[#This Row],[Date]])</f>
        <v>Q4 2024</v>
      </c>
      <c r="I850" s="2" t="str">
        <f>VLOOKUP(Table2[[#This Row],[Date]],Table7[],3)</f>
        <v>Q4 2024</v>
      </c>
    </row>
    <row r="851" spans="1:9" x14ac:dyDescent="0.25">
      <c r="A851" s="3" t="s">
        <v>47</v>
      </c>
      <c r="B851" s="3">
        <v>45626</v>
      </c>
      <c r="C851" s="6">
        <v>1358</v>
      </c>
      <c r="D851" s="2">
        <f>LEN(Table2[[#This Row],[CLID]])</f>
        <v>7</v>
      </c>
      <c r="E851" s="2" t="str">
        <f>_xlfn.XLOOKUP('Volume Data'!A:A,'Geo Data'!D:D,'Geo Data'!B:B)</f>
        <v>GEO1001</v>
      </c>
      <c r="F851" s="2" t="str">
        <f>INDEX(GeoByClient[GEOID],MATCH(Table2[[#This Row],[CLID]],GeoByClient[Right],0))</f>
        <v>GEO1001</v>
      </c>
      <c r="G851" s="2" t="str">
        <f>_xlfn.XLOOKUP(Table2[[#This Row],[Xlookup Region ID]],GEONames[GEOID],GEONames[GEO Name])</f>
        <v>NAM</v>
      </c>
      <c r="H851" s="2" t="str">
        <f>"Q"&amp;ROUNDUP(MONTH(Table2[[#This Row],[Date]])/3,0)&amp;" "&amp;YEAR(Table2[[#This Row],[Date]])</f>
        <v>Q4 2024</v>
      </c>
      <c r="I851" s="2" t="str">
        <f>VLOOKUP(Table2[[#This Row],[Date]],Table7[],3)</f>
        <v>Q4 2024</v>
      </c>
    </row>
    <row r="852" spans="1:9" x14ac:dyDescent="0.25">
      <c r="A852" s="3" t="s">
        <v>47</v>
      </c>
      <c r="B852" s="3">
        <v>45657</v>
      </c>
      <c r="C852" s="6">
        <v>1542</v>
      </c>
      <c r="D852" s="2">
        <f>LEN(Table2[[#This Row],[CLID]])</f>
        <v>7</v>
      </c>
      <c r="E852" s="2" t="str">
        <f>_xlfn.XLOOKUP('Volume Data'!A:A,'Geo Data'!D:D,'Geo Data'!B:B)</f>
        <v>GEO1001</v>
      </c>
      <c r="F852" s="2" t="str">
        <f>INDEX(GeoByClient[GEOID],MATCH(Table2[[#This Row],[CLID]],GeoByClient[Right],0))</f>
        <v>GEO1001</v>
      </c>
      <c r="G852" s="2" t="str">
        <f>_xlfn.XLOOKUP(Table2[[#This Row],[Xlookup Region ID]],GEONames[GEOID],GEONames[GEO Name])</f>
        <v>NAM</v>
      </c>
      <c r="H852" s="2" t="str">
        <f>"Q"&amp;ROUNDUP(MONTH(Table2[[#This Row],[Date]])/3,0)&amp;" "&amp;YEAR(Table2[[#This Row],[Date]])</f>
        <v>Q4 2024</v>
      </c>
      <c r="I852" s="2" t="str">
        <f>VLOOKUP(Table2[[#This Row],[Date]],Table7[],3)</f>
        <v>Q4 2024</v>
      </c>
    </row>
    <row r="853" spans="1:9" x14ac:dyDescent="0.25">
      <c r="A853" s="3" t="s">
        <v>47</v>
      </c>
      <c r="B853" s="3">
        <v>45838</v>
      </c>
      <c r="C853" s="6">
        <v>1553</v>
      </c>
      <c r="D853" s="2">
        <f>LEN(Table2[[#This Row],[CLID]])</f>
        <v>7</v>
      </c>
      <c r="E853" s="2" t="str">
        <f>_xlfn.XLOOKUP('Volume Data'!A:A,'Geo Data'!D:D,'Geo Data'!B:B)</f>
        <v>GEO1001</v>
      </c>
      <c r="F853" s="2" t="str">
        <f>INDEX(GeoByClient[GEOID],MATCH(Table2[[#This Row],[CLID]],GeoByClient[Right],0))</f>
        <v>GEO1001</v>
      </c>
      <c r="G853" s="2" t="str">
        <f>_xlfn.XLOOKUP(Table2[[#This Row],[Xlookup Region ID]],GEONames[GEOID],GEONames[GEO Name])</f>
        <v>NAM</v>
      </c>
      <c r="H853" s="2" t="str">
        <f>"Q"&amp;ROUNDUP(MONTH(Table2[[#This Row],[Date]])/3,0)&amp;" "&amp;YEAR(Table2[[#This Row],[Date]])</f>
        <v>Q2 2025</v>
      </c>
      <c r="I853" s="2" t="str">
        <f>VLOOKUP(Table2[[#This Row],[Date]],Table7[],3)</f>
        <v>Q2 2025</v>
      </c>
    </row>
    <row r="854" spans="1:9" x14ac:dyDescent="0.25">
      <c r="A854" s="3" t="s">
        <v>47</v>
      </c>
      <c r="B854" s="3">
        <v>45808</v>
      </c>
      <c r="C854" s="6">
        <v>1998</v>
      </c>
      <c r="D854" s="2">
        <f>LEN(Table2[[#This Row],[CLID]])</f>
        <v>7</v>
      </c>
      <c r="E854" s="2" t="str">
        <f>_xlfn.XLOOKUP('Volume Data'!A:A,'Geo Data'!D:D,'Geo Data'!B:B)</f>
        <v>GEO1001</v>
      </c>
      <c r="F854" s="2" t="str">
        <f>INDEX(GeoByClient[GEOID],MATCH(Table2[[#This Row],[CLID]],GeoByClient[Right],0))</f>
        <v>GEO1001</v>
      </c>
      <c r="G854" s="2" t="str">
        <f>_xlfn.XLOOKUP(Table2[[#This Row],[Xlookup Region ID]],GEONames[GEOID],GEONames[GEO Name])</f>
        <v>NAM</v>
      </c>
      <c r="H854" s="2" t="str">
        <f>"Q"&amp;ROUNDUP(MONTH(Table2[[#This Row],[Date]])/3,0)&amp;" "&amp;YEAR(Table2[[#This Row],[Date]])</f>
        <v>Q2 2025</v>
      </c>
      <c r="I854" s="2" t="str">
        <f>VLOOKUP(Table2[[#This Row],[Date]],Table7[],3)</f>
        <v>Q2 2025</v>
      </c>
    </row>
    <row r="855" spans="1:9" x14ac:dyDescent="0.25">
      <c r="A855" s="3" t="s">
        <v>47</v>
      </c>
      <c r="B855" s="3">
        <v>45777</v>
      </c>
      <c r="C855" s="6">
        <v>2309</v>
      </c>
      <c r="D855" s="2">
        <f>LEN(Table2[[#This Row],[CLID]])</f>
        <v>7</v>
      </c>
      <c r="E855" s="2" t="str">
        <f>_xlfn.XLOOKUP('Volume Data'!A:A,'Geo Data'!D:D,'Geo Data'!B:B)</f>
        <v>GEO1001</v>
      </c>
      <c r="F855" s="2" t="str">
        <f>INDEX(GeoByClient[GEOID],MATCH(Table2[[#This Row],[CLID]],GeoByClient[Right],0))</f>
        <v>GEO1001</v>
      </c>
      <c r="G855" s="2" t="str">
        <f>_xlfn.XLOOKUP(Table2[[#This Row],[Xlookup Region ID]],GEONames[GEOID],GEONames[GEO Name])</f>
        <v>NAM</v>
      </c>
      <c r="H855" s="2" t="str">
        <f>"Q"&amp;ROUNDUP(MONTH(Table2[[#This Row],[Date]])/3,0)&amp;" "&amp;YEAR(Table2[[#This Row],[Date]])</f>
        <v>Q2 2025</v>
      </c>
      <c r="I855" s="2" t="str">
        <f>VLOOKUP(Table2[[#This Row],[Date]],Table7[],3)</f>
        <v>Q2 2025</v>
      </c>
    </row>
    <row r="856" spans="1:9" x14ac:dyDescent="0.25">
      <c r="A856" s="3" t="s">
        <v>47</v>
      </c>
      <c r="B856" s="3">
        <v>45747</v>
      </c>
      <c r="C856" s="6">
        <v>1701</v>
      </c>
      <c r="D856" s="2">
        <f>LEN(Table2[[#This Row],[CLID]])</f>
        <v>7</v>
      </c>
      <c r="E856" s="2" t="str">
        <f>_xlfn.XLOOKUP('Volume Data'!A:A,'Geo Data'!D:D,'Geo Data'!B:B)</f>
        <v>GEO1001</v>
      </c>
      <c r="F856" s="2" t="str">
        <f>INDEX(GeoByClient[GEOID],MATCH(Table2[[#This Row],[CLID]],GeoByClient[Right],0))</f>
        <v>GEO1001</v>
      </c>
      <c r="G856" s="2" t="str">
        <f>_xlfn.XLOOKUP(Table2[[#This Row],[Xlookup Region ID]],GEONames[GEOID],GEONames[GEO Name])</f>
        <v>NAM</v>
      </c>
      <c r="H856" s="2" t="str">
        <f>"Q"&amp;ROUNDUP(MONTH(Table2[[#This Row],[Date]])/3,0)&amp;" "&amp;YEAR(Table2[[#This Row],[Date]])</f>
        <v>Q1 2025</v>
      </c>
      <c r="I856" s="2" t="str">
        <f>VLOOKUP(Table2[[#This Row],[Date]],Table7[],3)</f>
        <v>Q4 2024</v>
      </c>
    </row>
    <row r="857" spans="1:9" x14ac:dyDescent="0.25">
      <c r="A857" s="3" t="s">
        <v>47</v>
      </c>
      <c r="B857" s="3">
        <v>45716</v>
      </c>
      <c r="C857" s="6">
        <v>1790</v>
      </c>
      <c r="D857" s="2">
        <f>LEN(Table2[[#This Row],[CLID]])</f>
        <v>7</v>
      </c>
      <c r="E857" s="2" t="str">
        <f>_xlfn.XLOOKUP('Volume Data'!A:A,'Geo Data'!D:D,'Geo Data'!B:B)</f>
        <v>GEO1001</v>
      </c>
      <c r="F857" s="2" t="str">
        <f>INDEX(GeoByClient[GEOID],MATCH(Table2[[#This Row],[CLID]],GeoByClient[Right],0))</f>
        <v>GEO1001</v>
      </c>
      <c r="G857" s="2" t="str">
        <f>_xlfn.XLOOKUP(Table2[[#This Row],[Xlookup Region ID]],GEONames[GEOID],GEONames[GEO Name])</f>
        <v>NAM</v>
      </c>
      <c r="H857" s="2" t="str">
        <f>"Q"&amp;ROUNDUP(MONTH(Table2[[#This Row],[Date]])/3,0)&amp;" "&amp;YEAR(Table2[[#This Row],[Date]])</f>
        <v>Q1 2025</v>
      </c>
      <c r="I857" s="2" t="str">
        <f>VLOOKUP(Table2[[#This Row],[Date]],Table7[],3)</f>
        <v>Q4 2024</v>
      </c>
    </row>
    <row r="858" spans="1:9" x14ac:dyDescent="0.25">
      <c r="A858" s="3" t="s">
        <v>47</v>
      </c>
      <c r="B858" s="3">
        <v>45688</v>
      </c>
      <c r="C858" s="6">
        <v>1353</v>
      </c>
      <c r="D858" s="2">
        <f>LEN(Table2[[#This Row],[CLID]])</f>
        <v>7</v>
      </c>
      <c r="E858" s="2" t="str">
        <f>_xlfn.XLOOKUP('Volume Data'!A:A,'Geo Data'!D:D,'Geo Data'!B:B)</f>
        <v>GEO1001</v>
      </c>
      <c r="F858" s="2" t="str">
        <f>INDEX(GeoByClient[GEOID],MATCH(Table2[[#This Row],[CLID]],GeoByClient[Right],0))</f>
        <v>GEO1001</v>
      </c>
      <c r="G858" s="2" t="str">
        <f>_xlfn.XLOOKUP(Table2[[#This Row],[Xlookup Region ID]],GEONames[GEOID],GEONames[GEO Name])</f>
        <v>NAM</v>
      </c>
      <c r="H858" s="2" t="str">
        <f>"Q"&amp;ROUNDUP(MONTH(Table2[[#This Row],[Date]])/3,0)&amp;" "&amp;YEAR(Table2[[#This Row],[Date]])</f>
        <v>Q1 2025</v>
      </c>
      <c r="I858" s="2" t="str">
        <f>VLOOKUP(Table2[[#This Row],[Date]],Table7[],3)</f>
        <v>Q4 2024</v>
      </c>
    </row>
    <row r="859" spans="1:9" x14ac:dyDescent="0.25">
      <c r="A859" s="3" t="s">
        <v>1</v>
      </c>
      <c r="B859" s="3">
        <v>45322</v>
      </c>
      <c r="C859" s="6">
        <v>28034</v>
      </c>
      <c r="D859" s="2">
        <f>LEN(Table2[[#This Row],[CLID]])</f>
        <v>7</v>
      </c>
      <c r="E859" s="2" t="str">
        <f>_xlfn.XLOOKUP('Volume Data'!A:A,'Geo Data'!D:D,'Geo Data'!B:B)</f>
        <v>GEO1001</v>
      </c>
      <c r="F859" s="2" t="str">
        <f>INDEX(GeoByClient[GEOID],MATCH(Table2[[#This Row],[CLID]],GeoByClient[Right],0))</f>
        <v>GEO1001</v>
      </c>
      <c r="G859" s="2" t="str">
        <f>_xlfn.XLOOKUP(Table2[[#This Row],[Xlookup Region ID]],GEONames[GEOID],GEONames[GEO Name])</f>
        <v>NAM</v>
      </c>
      <c r="H859" s="2" t="str">
        <f>"Q"&amp;ROUNDUP(MONTH(Table2[[#This Row],[Date]])/3,0)&amp;" "&amp;YEAR(Table2[[#This Row],[Date]])</f>
        <v>Q1 2024</v>
      </c>
      <c r="I859" s="2" t="str">
        <f>VLOOKUP(Table2[[#This Row],[Date]],Table7[],3)</f>
        <v>Q1 2024</v>
      </c>
    </row>
    <row r="860" spans="1:9" x14ac:dyDescent="0.25">
      <c r="A860" s="3" t="s">
        <v>1</v>
      </c>
      <c r="B860" s="3">
        <v>45351</v>
      </c>
      <c r="C860" s="6">
        <v>24922</v>
      </c>
      <c r="D860" s="2">
        <f>LEN(Table2[[#This Row],[CLID]])</f>
        <v>7</v>
      </c>
      <c r="E860" s="2" t="str">
        <f>_xlfn.XLOOKUP('Volume Data'!A:A,'Geo Data'!D:D,'Geo Data'!B:B)</f>
        <v>GEO1001</v>
      </c>
      <c r="F860" s="2" t="str">
        <f>INDEX(GeoByClient[GEOID],MATCH(Table2[[#This Row],[CLID]],GeoByClient[Right],0))</f>
        <v>GEO1001</v>
      </c>
      <c r="G860" s="2" t="str">
        <f>_xlfn.XLOOKUP(Table2[[#This Row],[Xlookup Region ID]],GEONames[GEOID],GEONames[GEO Name])</f>
        <v>NAM</v>
      </c>
      <c r="H860" s="2" t="str">
        <f>"Q"&amp;ROUNDUP(MONTH(Table2[[#This Row],[Date]])/3,0)&amp;" "&amp;YEAR(Table2[[#This Row],[Date]])</f>
        <v>Q1 2024</v>
      </c>
      <c r="I860" s="2" t="str">
        <f>VLOOKUP(Table2[[#This Row],[Date]],Table7[],3)</f>
        <v>Q1 2024</v>
      </c>
    </row>
    <row r="861" spans="1:9" x14ac:dyDescent="0.25">
      <c r="A861" s="3" t="s">
        <v>1</v>
      </c>
      <c r="B861" s="3">
        <v>45382</v>
      </c>
      <c r="C861" s="6">
        <v>34268</v>
      </c>
      <c r="D861" s="2">
        <f>LEN(Table2[[#This Row],[CLID]])</f>
        <v>7</v>
      </c>
      <c r="E861" s="2" t="str">
        <f>_xlfn.XLOOKUP('Volume Data'!A:A,'Geo Data'!D:D,'Geo Data'!B:B)</f>
        <v>GEO1001</v>
      </c>
      <c r="F861" s="2" t="str">
        <f>INDEX(GeoByClient[GEOID],MATCH(Table2[[#This Row],[CLID]],GeoByClient[Right],0))</f>
        <v>GEO1001</v>
      </c>
      <c r="G861" s="2" t="str">
        <f>_xlfn.XLOOKUP(Table2[[#This Row],[Xlookup Region ID]],GEONames[GEOID],GEONames[GEO Name])</f>
        <v>NAM</v>
      </c>
      <c r="H861" s="2" t="str">
        <f>"Q"&amp;ROUNDUP(MONTH(Table2[[#This Row],[Date]])/3,0)&amp;" "&amp;YEAR(Table2[[#This Row],[Date]])</f>
        <v>Q1 2024</v>
      </c>
      <c r="I861" s="2" t="str">
        <f>VLOOKUP(Table2[[#This Row],[Date]],Table7[],3)</f>
        <v>Q1 2024</v>
      </c>
    </row>
    <row r="862" spans="1:9" x14ac:dyDescent="0.25">
      <c r="A862" s="3" t="s">
        <v>1</v>
      </c>
      <c r="B862" s="3">
        <v>45412</v>
      </c>
      <c r="C862" s="6">
        <v>34268</v>
      </c>
      <c r="D862" s="2">
        <f>LEN(Table2[[#This Row],[CLID]])</f>
        <v>7</v>
      </c>
      <c r="E862" s="2" t="str">
        <f>_xlfn.XLOOKUP('Volume Data'!A:A,'Geo Data'!D:D,'Geo Data'!B:B)</f>
        <v>GEO1001</v>
      </c>
      <c r="F862" s="2" t="str">
        <f>INDEX(GeoByClient[GEOID],MATCH(Table2[[#This Row],[CLID]],GeoByClient[Right],0))</f>
        <v>GEO1001</v>
      </c>
      <c r="G862" s="2" t="str">
        <f>_xlfn.XLOOKUP(Table2[[#This Row],[Xlookup Region ID]],GEONames[GEOID],GEONames[GEO Name])</f>
        <v>NAM</v>
      </c>
      <c r="H862" s="2" t="str">
        <f>"Q"&amp;ROUNDUP(MONTH(Table2[[#This Row],[Date]])/3,0)&amp;" "&amp;YEAR(Table2[[#This Row],[Date]])</f>
        <v>Q2 2024</v>
      </c>
      <c r="I862" s="2" t="str">
        <f>VLOOKUP(Table2[[#This Row],[Date]],Table7[],3)</f>
        <v>Q2 2024</v>
      </c>
    </row>
    <row r="863" spans="1:9" x14ac:dyDescent="0.25">
      <c r="A863" s="3" t="s">
        <v>1</v>
      </c>
      <c r="B863" s="3">
        <v>45443</v>
      </c>
      <c r="C863" s="6">
        <v>37380</v>
      </c>
      <c r="D863" s="2">
        <f>LEN(Table2[[#This Row],[CLID]])</f>
        <v>7</v>
      </c>
      <c r="E863" s="2" t="str">
        <f>_xlfn.XLOOKUP('Volume Data'!A:A,'Geo Data'!D:D,'Geo Data'!B:B)</f>
        <v>GEO1001</v>
      </c>
      <c r="F863" s="2" t="str">
        <f>INDEX(GeoByClient[GEOID],MATCH(Table2[[#This Row],[CLID]],GeoByClient[Right],0))</f>
        <v>GEO1001</v>
      </c>
      <c r="G863" s="2" t="str">
        <f>_xlfn.XLOOKUP(Table2[[#This Row],[Xlookup Region ID]],GEONames[GEOID],GEONames[GEO Name])</f>
        <v>NAM</v>
      </c>
      <c r="H863" s="2" t="str">
        <f>"Q"&amp;ROUNDUP(MONTH(Table2[[#This Row],[Date]])/3,0)&amp;" "&amp;YEAR(Table2[[#This Row],[Date]])</f>
        <v>Q2 2024</v>
      </c>
      <c r="I863" s="2" t="str">
        <f>VLOOKUP(Table2[[#This Row],[Date]],Table7[],3)</f>
        <v>Q2 2024</v>
      </c>
    </row>
    <row r="864" spans="1:9" x14ac:dyDescent="0.25">
      <c r="A864" s="3" t="s">
        <v>1</v>
      </c>
      <c r="B864" s="3">
        <v>45473</v>
      </c>
      <c r="C864" s="6">
        <v>21809</v>
      </c>
      <c r="D864" s="2">
        <f>LEN(Table2[[#This Row],[CLID]])</f>
        <v>7</v>
      </c>
      <c r="E864" s="2" t="str">
        <f>_xlfn.XLOOKUP('Volume Data'!A:A,'Geo Data'!D:D,'Geo Data'!B:B)</f>
        <v>GEO1001</v>
      </c>
      <c r="F864" s="2" t="str">
        <f>INDEX(GeoByClient[GEOID],MATCH(Table2[[#This Row],[CLID]],GeoByClient[Right],0))</f>
        <v>GEO1001</v>
      </c>
      <c r="G864" s="2" t="str">
        <f>_xlfn.XLOOKUP(Table2[[#This Row],[Xlookup Region ID]],GEONames[GEOID],GEONames[GEO Name])</f>
        <v>NAM</v>
      </c>
      <c r="H864" s="2" t="str">
        <f>"Q"&amp;ROUNDUP(MONTH(Table2[[#This Row],[Date]])/3,0)&amp;" "&amp;YEAR(Table2[[#This Row],[Date]])</f>
        <v>Q2 2024</v>
      </c>
      <c r="I864" s="2" t="str">
        <f>VLOOKUP(Table2[[#This Row],[Date]],Table7[],3)</f>
        <v>Q2 2024</v>
      </c>
    </row>
    <row r="865" spans="1:9" x14ac:dyDescent="0.25">
      <c r="A865" s="3" t="s">
        <v>1</v>
      </c>
      <c r="B865" s="3">
        <v>45504</v>
      </c>
      <c r="C865" s="6">
        <v>24920</v>
      </c>
      <c r="D865" s="2">
        <f>LEN(Table2[[#This Row],[CLID]])</f>
        <v>7</v>
      </c>
      <c r="E865" s="2" t="str">
        <f>_xlfn.XLOOKUP('Volume Data'!A:A,'Geo Data'!D:D,'Geo Data'!B:B)</f>
        <v>GEO1001</v>
      </c>
      <c r="F865" s="2" t="str">
        <f>INDEX(GeoByClient[GEOID],MATCH(Table2[[#This Row],[CLID]],GeoByClient[Right],0))</f>
        <v>GEO1001</v>
      </c>
      <c r="G865" s="2" t="str">
        <f>_xlfn.XLOOKUP(Table2[[#This Row],[Xlookup Region ID]],GEONames[GEOID],GEONames[GEO Name])</f>
        <v>NAM</v>
      </c>
      <c r="H865" s="2" t="str">
        <f>"Q"&amp;ROUNDUP(MONTH(Table2[[#This Row],[Date]])/3,0)&amp;" "&amp;YEAR(Table2[[#This Row],[Date]])</f>
        <v>Q3 2024</v>
      </c>
      <c r="I865" s="2" t="str">
        <f>VLOOKUP(Table2[[#This Row],[Date]],Table7[],3)</f>
        <v>Q3 2024</v>
      </c>
    </row>
    <row r="866" spans="1:9" x14ac:dyDescent="0.25">
      <c r="A866" s="3" t="s">
        <v>1</v>
      </c>
      <c r="B866" s="3">
        <v>45535</v>
      </c>
      <c r="C866" s="6">
        <v>15576</v>
      </c>
      <c r="D866" s="2">
        <f>LEN(Table2[[#This Row],[CLID]])</f>
        <v>7</v>
      </c>
      <c r="E866" s="2" t="str">
        <f>_xlfn.XLOOKUP('Volume Data'!A:A,'Geo Data'!D:D,'Geo Data'!B:B)</f>
        <v>GEO1001</v>
      </c>
      <c r="F866" s="2" t="str">
        <f>INDEX(GeoByClient[GEOID],MATCH(Table2[[#This Row],[CLID]],GeoByClient[Right],0))</f>
        <v>GEO1001</v>
      </c>
      <c r="G866" s="2" t="str">
        <f>_xlfn.XLOOKUP(Table2[[#This Row],[Xlookup Region ID]],GEONames[GEOID],GEONames[GEO Name])</f>
        <v>NAM</v>
      </c>
      <c r="H866" s="2" t="str">
        <f>"Q"&amp;ROUNDUP(MONTH(Table2[[#This Row],[Date]])/3,0)&amp;" "&amp;YEAR(Table2[[#This Row],[Date]])</f>
        <v>Q3 2024</v>
      </c>
      <c r="I866" s="2" t="str">
        <f>VLOOKUP(Table2[[#This Row],[Date]],Table7[],3)</f>
        <v>Q3 2024</v>
      </c>
    </row>
    <row r="867" spans="1:9" x14ac:dyDescent="0.25">
      <c r="A867" s="3" t="s">
        <v>1</v>
      </c>
      <c r="B867" s="3">
        <v>45565</v>
      </c>
      <c r="C867" s="6">
        <v>21809</v>
      </c>
      <c r="D867" s="2">
        <f>LEN(Table2[[#This Row],[CLID]])</f>
        <v>7</v>
      </c>
      <c r="E867" s="2" t="str">
        <f>_xlfn.XLOOKUP('Volume Data'!A:A,'Geo Data'!D:D,'Geo Data'!B:B)</f>
        <v>GEO1001</v>
      </c>
      <c r="F867" s="2" t="str">
        <f>INDEX(GeoByClient[GEOID],MATCH(Table2[[#This Row],[CLID]],GeoByClient[Right],0))</f>
        <v>GEO1001</v>
      </c>
      <c r="G867" s="2" t="str">
        <f>_xlfn.XLOOKUP(Table2[[#This Row],[Xlookup Region ID]],GEONames[GEOID],GEONames[GEO Name])</f>
        <v>NAM</v>
      </c>
      <c r="H867" s="2" t="str">
        <f>"Q"&amp;ROUNDUP(MONTH(Table2[[#This Row],[Date]])/3,0)&amp;" "&amp;YEAR(Table2[[#This Row],[Date]])</f>
        <v>Q3 2024</v>
      </c>
      <c r="I867" s="2" t="str">
        <f>VLOOKUP(Table2[[#This Row],[Date]],Table7[],3)</f>
        <v>Q3 2024</v>
      </c>
    </row>
    <row r="868" spans="1:9" x14ac:dyDescent="0.25">
      <c r="A868" s="3" t="s">
        <v>1</v>
      </c>
      <c r="B868" s="3">
        <v>45596</v>
      </c>
      <c r="C868" s="6">
        <v>18694</v>
      </c>
      <c r="D868" s="2">
        <f>LEN(Table2[[#This Row],[CLID]])</f>
        <v>7</v>
      </c>
      <c r="E868" s="2" t="str">
        <f>_xlfn.XLOOKUP('Volume Data'!A:A,'Geo Data'!D:D,'Geo Data'!B:B)</f>
        <v>GEO1001</v>
      </c>
      <c r="F868" s="2" t="str">
        <f>INDEX(GeoByClient[GEOID],MATCH(Table2[[#This Row],[CLID]],GeoByClient[Right],0))</f>
        <v>GEO1001</v>
      </c>
      <c r="G868" s="2" t="str">
        <f>_xlfn.XLOOKUP(Table2[[#This Row],[Xlookup Region ID]],GEONames[GEOID],GEONames[GEO Name])</f>
        <v>NAM</v>
      </c>
      <c r="H868" s="2" t="str">
        <f>"Q"&amp;ROUNDUP(MONTH(Table2[[#This Row],[Date]])/3,0)&amp;" "&amp;YEAR(Table2[[#This Row],[Date]])</f>
        <v>Q4 2024</v>
      </c>
      <c r="I868" s="2" t="str">
        <f>VLOOKUP(Table2[[#This Row],[Date]],Table7[],3)</f>
        <v>Q4 2024</v>
      </c>
    </row>
    <row r="869" spans="1:9" x14ac:dyDescent="0.25">
      <c r="A869" s="3" t="s">
        <v>1</v>
      </c>
      <c r="B869" s="3">
        <v>45626</v>
      </c>
      <c r="C869" s="6">
        <v>28037</v>
      </c>
      <c r="D869" s="2">
        <f>LEN(Table2[[#This Row],[CLID]])</f>
        <v>7</v>
      </c>
      <c r="E869" s="2" t="str">
        <f>_xlfn.XLOOKUP('Volume Data'!A:A,'Geo Data'!D:D,'Geo Data'!B:B)</f>
        <v>GEO1001</v>
      </c>
      <c r="F869" s="2" t="str">
        <f>INDEX(GeoByClient[GEOID],MATCH(Table2[[#This Row],[CLID]],GeoByClient[Right],0))</f>
        <v>GEO1001</v>
      </c>
      <c r="G869" s="2" t="str">
        <f>_xlfn.XLOOKUP(Table2[[#This Row],[Xlookup Region ID]],GEONames[GEOID],GEONames[GEO Name])</f>
        <v>NAM</v>
      </c>
      <c r="H869" s="2" t="str">
        <f>"Q"&amp;ROUNDUP(MONTH(Table2[[#This Row],[Date]])/3,0)&amp;" "&amp;YEAR(Table2[[#This Row],[Date]])</f>
        <v>Q4 2024</v>
      </c>
      <c r="I869" s="2" t="str">
        <f>VLOOKUP(Table2[[#This Row],[Date]],Table7[],3)</f>
        <v>Q4 2024</v>
      </c>
    </row>
    <row r="870" spans="1:9" x14ac:dyDescent="0.25">
      <c r="A870" s="3" t="s">
        <v>1</v>
      </c>
      <c r="B870" s="3">
        <v>45657</v>
      </c>
      <c r="C870" s="6">
        <v>21809</v>
      </c>
      <c r="D870" s="2">
        <f>LEN(Table2[[#This Row],[CLID]])</f>
        <v>7</v>
      </c>
      <c r="E870" s="2" t="str">
        <f>_xlfn.XLOOKUP('Volume Data'!A:A,'Geo Data'!D:D,'Geo Data'!B:B)</f>
        <v>GEO1001</v>
      </c>
      <c r="F870" s="2" t="str">
        <f>INDEX(GeoByClient[GEOID],MATCH(Table2[[#This Row],[CLID]],GeoByClient[Right],0))</f>
        <v>GEO1001</v>
      </c>
      <c r="G870" s="2" t="str">
        <f>_xlfn.XLOOKUP(Table2[[#This Row],[Xlookup Region ID]],GEONames[GEOID],GEONames[GEO Name])</f>
        <v>NAM</v>
      </c>
      <c r="H870" s="2" t="str">
        <f>"Q"&amp;ROUNDUP(MONTH(Table2[[#This Row],[Date]])/3,0)&amp;" "&amp;YEAR(Table2[[#This Row],[Date]])</f>
        <v>Q4 2024</v>
      </c>
      <c r="I870" s="2" t="str">
        <f>VLOOKUP(Table2[[#This Row],[Date]],Table7[],3)</f>
        <v>Q4 2024</v>
      </c>
    </row>
    <row r="871" spans="1:9" x14ac:dyDescent="0.25">
      <c r="A871" s="3" t="s">
        <v>1</v>
      </c>
      <c r="B871" s="3">
        <v>45838</v>
      </c>
      <c r="C871" s="6">
        <v>22463</v>
      </c>
      <c r="D871" s="2">
        <f>LEN(Table2[[#This Row],[CLID]])</f>
        <v>7</v>
      </c>
      <c r="E871" s="2" t="str">
        <f>_xlfn.XLOOKUP('Volume Data'!A:A,'Geo Data'!D:D,'Geo Data'!B:B)</f>
        <v>GEO1001</v>
      </c>
      <c r="F871" s="2" t="str">
        <f>INDEX(GeoByClient[GEOID],MATCH(Table2[[#This Row],[CLID]],GeoByClient[Right],0))</f>
        <v>GEO1001</v>
      </c>
      <c r="G871" s="2" t="str">
        <f>_xlfn.XLOOKUP(Table2[[#This Row],[Xlookup Region ID]],GEONames[GEOID],GEONames[GEO Name])</f>
        <v>NAM</v>
      </c>
      <c r="H871" s="2" t="str">
        <f>"Q"&amp;ROUNDUP(MONTH(Table2[[#This Row],[Date]])/3,0)&amp;" "&amp;YEAR(Table2[[#This Row],[Date]])</f>
        <v>Q2 2025</v>
      </c>
      <c r="I871" s="2" t="str">
        <f>VLOOKUP(Table2[[#This Row],[Date]],Table7[],3)</f>
        <v>Q2 2025</v>
      </c>
    </row>
    <row r="872" spans="1:9" x14ac:dyDescent="0.25">
      <c r="A872" s="3" t="s">
        <v>1</v>
      </c>
      <c r="B872" s="3">
        <v>45808</v>
      </c>
      <c r="C872" s="6">
        <v>38501</v>
      </c>
      <c r="D872" s="2">
        <f>LEN(Table2[[#This Row],[CLID]])</f>
        <v>7</v>
      </c>
      <c r="E872" s="2" t="str">
        <f>_xlfn.XLOOKUP('Volume Data'!A:A,'Geo Data'!D:D,'Geo Data'!B:B)</f>
        <v>GEO1001</v>
      </c>
      <c r="F872" s="2" t="str">
        <f>INDEX(GeoByClient[GEOID],MATCH(Table2[[#This Row],[CLID]],GeoByClient[Right],0))</f>
        <v>GEO1001</v>
      </c>
      <c r="G872" s="2" t="str">
        <f>_xlfn.XLOOKUP(Table2[[#This Row],[Xlookup Region ID]],GEONames[GEOID],GEONames[GEO Name])</f>
        <v>NAM</v>
      </c>
      <c r="H872" s="2" t="str">
        <f>"Q"&amp;ROUNDUP(MONTH(Table2[[#This Row],[Date]])/3,0)&amp;" "&amp;YEAR(Table2[[#This Row],[Date]])</f>
        <v>Q2 2025</v>
      </c>
      <c r="I872" s="2" t="str">
        <f>VLOOKUP(Table2[[#This Row],[Date]],Table7[],3)</f>
        <v>Q2 2025</v>
      </c>
    </row>
    <row r="873" spans="1:9" x14ac:dyDescent="0.25">
      <c r="A873" s="3" t="s">
        <v>1</v>
      </c>
      <c r="B873" s="3">
        <v>45777</v>
      </c>
      <c r="C873" s="6">
        <v>33923</v>
      </c>
      <c r="D873" s="2">
        <f>LEN(Table2[[#This Row],[CLID]])</f>
        <v>7</v>
      </c>
      <c r="E873" s="2" t="str">
        <f>_xlfn.XLOOKUP('Volume Data'!A:A,'Geo Data'!D:D,'Geo Data'!B:B)</f>
        <v>GEO1001</v>
      </c>
      <c r="F873" s="2" t="str">
        <f>INDEX(GeoByClient[GEOID],MATCH(Table2[[#This Row],[CLID]],GeoByClient[Right],0))</f>
        <v>GEO1001</v>
      </c>
      <c r="G873" s="2" t="str">
        <f>_xlfn.XLOOKUP(Table2[[#This Row],[Xlookup Region ID]],GEONames[GEOID],GEONames[GEO Name])</f>
        <v>NAM</v>
      </c>
      <c r="H873" s="2" t="str">
        <f>"Q"&amp;ROUNDUP(MONTH(Table2[[#This Row],[Date]])/3,0)&amp;" "&amp;YEAR(Table2[[#This Row],[Date]])</f>
        <v>Q2 2025</v>
      </c>
      <c r="I873" s="2" t="str">
        <f>VLOOKUP(Table2[[#This Row],[Date]],Table7[],3)</f>
        <v>Q2 2025</v>
      </c>
    </row>
    <row r="874" spans="1:9" x14ac:dyDescent="0.25">
      <c r="A874" s="3" t="s">
        <v>1</v>
      </c>
      <c r="B874" s="3">
        <v>45747</v>
      </c>
      <c r="C874" s="6">
        <v>35291</v>
      </c>
      <c r="D874" s="2">
        <f>LEN(Table2[[#This Row],[CLID]])</f>
        <v>7</v>
      </c>
      <c r="E874" s="2" t="str">
        <f>_xlfn.XLOOKUP('Volume Data'!A:A,'Geo Data'!D:D,'Geo Data'!B:B)</f>
        <v>GEO1001</v>
      </c>
      <c r="F874" s="2" t="str">
        <f>INDEX(GeoByClient[GEOID],MATCH(Table2[[#This Row],[CLID]],GeoByClient[Right],0))</f>
        <v>GEO1001</v>
      </c>
      <c r="G874" s="2" t="str">
        <f>_xlfn.XLOOKUP(Table2[[#This Row],[Xlookup Region ID]],GEONames[GEOID],GEONames[GEO Name])</f>
        <v>NAM</v>
      </c>
      <c r="H874" s="2" t="str">
        <f>"Q"&amp;ROUNDUP(MONTH(Table2[[#This Row],[Date]])/3,0)&amp;" "&amp;YEAR(Table2[[#This Row],[Date]])</f>
        <v>Q1 2025</v>
      </c>
      <c r="I874" s="2" t="str">
        <f>VLOOKUP(Table2[[#This Row],[Date]],Table7[],3)</f>
        <v>Q4 2024</v>
      </c>
    </row>
    <row r="875" spans="1:9" x14ac:dyDescent="0.25">
      <c r="A875" s="3" t="s">
        <v>1</v>
      </c>
      <c r="B875" s="3">
        <v>45716</v>
      </c>
      <c r="C875" s="6">
        <v>24798</v>
      </c>
      <c r="D875" s="2">
        <f>LEN(Table2[[#This Row],[CLID]])</f>
        <v>7</v>
      </c>
      <c r="E875" s="2" t="str">
        <f>_xlfn.XLOOKUP('Volume Data'!A:A,'Geo Data'!D:D,'Geo Data'!B:B)</f>
        <v>GEO1001</v>
      </c>
      <c r="F875" s="2" t="str">
        <f>INDEX(GeoByClient[GEOID],MATCH(Table2[[#This Row],[CLID]],GeoByClient[Right],0))</f>
        <v>GEO1001</v>
      </c>
      <c r="G875" s="2" t="str">
        <f>_xlfn.XLOOKUP(Table2[[#This Row],[Xlookup Region ID]],GEONames[GEOID],GEONames[GEO Name])</f>
        <v>NAM</v>
      </c>
      <c r="H875" s="2" t="str">
        <f>"Q"&amp;ROUNDUP(MONTH(Table2[[#This Row],[Date]])/3,0)&amp;" "&amp;YEAR(Table2[[#This Row],[Date]])</f>
        <v>Q1 2025</v>
      </c>
      <c r="I875" s="2" t="str">
        <f>VLOOKUP(Table2[[#This Row],[Date]],Table7[],3)</f>
        <v>Q4 2024</v>
      </c>
    </row>
    <row r="876" spans="1:9" x14ac:dyDescent="0.25">
      <c r="A876" s="3" t="s">
        <v>1</v>
      </c>
      <c r="B876" s="3">
        <v>45688</v>
      </c>
      <c r="C876" s="6">
        <v>29157</v>
      </c>
      <c r="D876" s="2">
        <f>LEN(Table2[[#This Row],[CLID]])</f>
        <v>7</v>
      </c>
      <c r="E876" s="2" t="str">
        <f>_xlfn.XLOOKUP('Volume Data'!A:A,'Geo Data'!D:D,'Geo Data'!B:B)</f>
        <v>GEO1001</v>
      </c>
      <c r="F876" s="2" t="str">
        <f>INDEX(GeoByClient[GEOID],MATCH(Table2[[#This Row],[CLID]],GeoByClient[Right],0))</f>
        <v>GEO1001</v>
      </c>
      <c r="G876" s="2" t="str">
        <f>_xlfn.XLOOKUP(Table2[[#This Row],[Xlookup Region ID]],GEONames[GEOID],GEONames[GEO Name])</f>
        <v>NAM</v>
      </c>
      <c r="H876" s="2" t="str">
        <f>"Q"&amp;ROUNDUP(MONTH(Table2[[#This Row],[Date]])/3,0)&amp;" "&amp;YEAR(Table2[[#This Row],[Date]])</f>
        <v>Q1 2025</v>
      </c>
      <c r="I876" s="2" t="str">
        <f>VLOOKUP(Table2[[#This Row],[Date]],Table7[],3)</f>
        <v>Q4 2024</v>
      </c>
    </row>
    <row r="877" spans="1:9" x14ac:dyDescent="0.25">
      <c r="A877" s="3" t="s">
        <v>5</v>
      </c>
      <c r="B877" s="3">
        <v>45322</v>
      </c>
      <c r="C877" s="6">
        <v>142</v>
      </c>
      <c r="D877" s="2">
        <f>LEN(Table2[[#This Row],[CLID]])</f>
        <v>7</v>
      </c>
      <c r="E877" s="2" t="str">
        <f>_xlfn.XLOOKUP('Volume Data'!A:A,'Geo Data'!D:D,'Geo Data'!B:B)</f>
        <v>GEO1002</v>
      </c>
      <c r="F877" s="2" t="str">
        <f>INDEX(GeoByClient[GEOID],MATCH(Table2[[#This Row],[CLID]],GeoByClient[Right],0))</f>
        <v>GEO1002</v>
      </c>
      <c r="G877" s="2" t="str">
        <f>_xlfn.XLOOKUP(Table2[[#This Row],[Xlookup Region ID]],GEONames[GEOID],GEONames[GEO Name])</f>
        <v>APAC</v>
      </c>
      <c r="H877" s="2" t="str">
        <f>"Q"&amp;ROUNDUP(MONTH(Table2[[#This Row],[Date]])/3,0)&amp;" "&amp;YEAR(Table2[[#This Row],[Date]])</f>
        <v>Q1 2024</v>
      </c>
      <c r="I877" s="2" t="str">
        <f>VLOOKUP(Table2[[#This Row],[Date]],Table7[],3)</f>
        <v>Q1 2024</v>
      </c>
    </row>
    <row r="878" spans="1:9" x14ac:dyDescent="0.25">
      <c r="A878" s="3" t="s">
        <v>5</v>
      </c>
      <c r="B878" s="3">
        <v>45351</v>
      </c>
      <c r="C878" s="6">
        <v>125</v>
      </c>
      <c r="D878" s="2">
        <f>LEN(Table2[[#This Row],[CLID]])</f>
        <v>7</v>
      </c>
      <c r="E878" s="2" t="str">
        <f>_xlfn.XLOOKUP('Volume Data'!A:A,'Geo Data'!D:D,'Geo Data'!B:B)</f>
        <v>GEO1002</v>
      </c>
      <c r="F878" s="2" t="str">
        <f>INDEX(GeoByClient[GEOID],MATCH(Table2[[#This Row],[CLID]],GeoByClient[Right],0))</f>
        <v>GEO1002</v>
      </c>
      <c r="G878" s="2" t="str">
        <f>_xlfn.XLOOKUP(Table2[[#This Row],[Xlookup Region ID]],GEONames[GEOID],GEONames[GEO Name])</f>
        <v>APAC</v>
      </c>
      <c r="H878" s="2" t="str">
        <f>"Q"&amp;ROUNDUP(MONTH(Table2[[#This Row],[Date]])/3,0)&amp;" "&amp;YEAR(Table2[[#This Row],[Date]])</f>
        <v>Q1 2024</v>
      </c>
      <c r="I878" s="2" t="str">
        <f>VLOOKUP(Table2[[#This Row],[Date]],Table7[],3)</f>
        <v>Q1 2024</v>
      </c>
    </row>
    <row r="879" spans="1:9" x14ac:dyDescent="0.25">
      <c r="A879" s="3" t="s">
        <v>5</v>
      </c>
      <c r="B879" s="3">
        <v>45382</v>
      </c>
      <c r="C879" s="6">
        <v>171</v>
      </c>
      <c r="D879" s="2">
        <f>LEN(Table2[[#This Row],[CLID]])</f>
        <v>7</v>
      </c>
      <c r="E879" s="2" t="str">
        <f>_xlfn.XLOOKUP('Volume Data'!A:A,'Geo Data'!D:D,'Geo Data'!B:B)</f>
        <v>GEO1002</v>
      </c>
      <c r="F879" s="2" t="str">
        <f>INDEX(GeoByClient[GEOID],MATCH(Table2[[#This Row],[CLID]],GeoByClient[Right],0))</f>
        <v>GEO1002</v>
      </c>
      <c r="G879" s="2" t="str">
        <f>_xlfn.XLOOKUP(Table2[[#This Row],[Xlookup Region ID]],GEONames[GEOID],GEONames[GEO Name])</f>
        <v>APAC</v>
      </c>
      <c r="H879" s="2" t="str">
        <f>"Q"&amp;ROUNDUP(MONTH(Table2[[#This Row],[Date]])/3,0)&amp;" "&amp;YEAR(Table2[[#This Row],[Date]])</f>
        <v>Q1 2024</v>
      </c>
      <c r="I879" s="2" t="str">
        <f>VLOOKUP(Table2[[#This Row],[Date]],Table7[],3)</f>
        <v>Q1 2024</v>
      </c>
    </row>
    <row r="880" spans="1:9" x14ac:dyDescent="0.25">
      <c r="A880" s="3" t="s">
        <v>5</v>
      </c>
      <c r="B880" s="3">
        <v>45412</v>
      </c>
      <c r="C880" s="6">
        <v>168</v>
      </c>
      <c r="D880" s="2">
        <f>LEN(Table2[[#This Row],[CLID]])</f>
        <v>7</v>
      </c>
      <c r="E880" s="2" t="str">
        <f>_xlfn.XLOOKUP('Volume Data'!A:A,'Geo Data'!D:D,'Geo Data'!B:B)</f>
        <v>GEO1002</v>
      </c>
      <c r="F880" s="2" t="str">
        <f>INDEX(GeoByClient[GEOID],MATCH(Table2[[#This Row],[CLID]],GeoByClient[Right],0))</f>
        <v>GEO1002</v>
      </c>
      <c r="G880" s="2" t="str">
        <f>_xlfn.XLOOKUP(Table2[[#This Row],[Xlookup Region ID]],GEONames[GEOID],GEONames[GEO Name])</f>
        <v>APAC</v>
      </c>
      <c r="H880" s="2" t="str">
        <f>"Q"&amp;ROUNDUP(MONTH(Table2[[#This Row],[Date]])/3,0)&amp;" "&amp;YEAR(Table2[[#This Row],[Date]])</f>
        <v>Q2 2024</v>
      </c>
      <c r="I880" s="2" t="str">
        <f>VLOOKUP(Table2[[#This Row],[Date]],Table7[],3)</f>
        <v>Q2 2024</v>
      </c>
    </row>
    <row r="881" spans="1:9" x14ac:dyDescent="0.25">
      <c r="A881" s="3" t="s">
        <v>5</v>
      </c>
      <c r="B881" s="3">
        <v>45443</v>
      </c>
      <c r="C881" s="6">
        <v>183</v>
      </c>
      <c r="D881" s="2">
        <f>LEN(Table2[[#This Row],[CLID]])</f>
        <v>7</v>
      </c>
      <c r="E881" s="2" t="str">
        <f>_xlfn.XLOOKUP('Volume Data'!A:A,'Geo Data'!D:D,'Geo Data'!B:B)</f>
        <v>GEO1002</v>
      </c>
      <c r="F881" s="2" t="str">
        <f>INDEX(GeoByClient[GEOID],MATCH(Table2[[#This Row],[CLID]],GeoByClient[Right],0))</f>
        <v>GEO1002</v>
      </c>
      <c r="G881" s="2" t="str">
        <f>_xlfn.XLOOKUP(Table2[[#This Row],[Xlookup Region ID]],GEONames[GEOID],GEONames[GEO Name])</f>
        <v>APAC</v>
      </c>
      <c r="H881" s="2" t="str">
        <f>"Q"&amp;ROUNDUP(MONTH(Table2[[#This Row],[Date]])/3,0)&amp;" "&amp;YEAR(Table2[[#This Row],[Date]])</f>
        <v>Q2 2024</v>
      </c>
      <c r="I881" s="2" t="str">
        <f>VLOOKUP(Table2[[#This Row],[Date]],Table7[],3)</f>
        <v>Q2 2024</v>
      </c>
    </row>
    <row r="882" spans="1:9" x14ac:dyDescent="0.25">
      <c r="A882" s="3" t="s">
        <v>5</v>
      </c>
      <c r="B882" s="3">
        <v>45473</v>
      </c>
      <c r="C882" s="6">
        <v>109</v>
      </c>
      <c r="D882" s="2">
        <f>LEN(Table2[[#This Row],[CLID]])</f>
        <v>7</v>
      </c>
      <c r="E882" s="2" t="str">
        <f>_xlfn.XLOOKUP('Volume Data'!A:A,'Geo Data'!D:D,'Geo Data'!B:B)</f>
        <v>GEO1002</v>
      </c>
      <c r="F882" s="2" t="str">
        <f>INDEX(GeoByClient[GEOID],MATCH(Table2[[#This Row],[CLID]],GeoByClient[Right],0))</f>
        <v>GEO1002</v>
      </c>
      <c r="G882" s="2" t="str">
        <f>_xlfn.XLOOKUP(Table2[[#This Row],[Xlookup Region ID]],GEONames[GEOID],GEONames[GEO Name])</f>
        <v>APAC</v>
      </c>
      <c r="H882" s="2" t="str">
        <f>"Q"&amp;ROUNDUP(MONTH(Table2[[#This Row],[Date]])/3,0)&amp;" "&amp;YEAR(Table2[[#This Row],[Date]])</f>
        <v>Q2 2024</v>
      </c>
      <c r="I882" s="2" t="str">
        <f>VLOOKUP(Table2[[#This Row],[Date]],Table7[],3)</f>
        <v>Q2 2024</v>
      </c>
    </row>
    <row r="883" spans="1:9" x14ac:dyDescent="0.25">
      <c r="A883" s="3" t="s">
        <v>5</v>
      </c>
      <c r="B883" s="3">
        <v>45504</v>
      </c>
      <c r="C883" s="6">
        <v>125</v>
      </c>
      <c r="D883" s="2">
        <f>LEN(Table2[[#This Row],[CLID]])</f>
        <v>7</v>
      </c>
      <c r="E883" s="2" t="str">
        <f>_xlfn.XLOOKUP('Volume Data'!A:A,'Geo Data'!D:D,'Geo Data'!B:B)</f>
        <v>GEO1002</v>
      </c>
      <c r="F883" s="2" t="str">
        <f>INDEX(GeoByClient[GEOID],MATCH(Table2[[#This Row],[CLID]],GeoByClient[Right],0))</f>
        <v>GEO1002</v>
      </c>
      <c r="G883" s="2" t="str">
        <f>_xlfn.XLOOKUP(Table2[[#This Row],[Xlookup Region ID]],GEONames[GEOID],GEONames[GEO Name])</f>
        <v>APAC</v>
      </c>
      <c r="H883" s="2" t="str">
        <f>"Q"&amp;ROUNDUP(MONTH(Table2[[#This Row],[Date]])/3,0)&amp;" "&amp;YEAR(Table2[[#This Row],[Date]])</f>
        <v>Q3 2024</v>
      </c>
      <c r="I883" s="2" t="str">
        <f>VLOOKUP(Table2[[#This Row],[Date]],Table7[],3)</f>
        <v>Q3 2024</v>
      </c>
    </row>
    <row r="884" spans="1:9" x14ac:dyDescent="0.25">
      <c r="A884" s="3" t="s">
        <v>5</v>
      </c>
      <c r="B884" s="3">
        <v>45535</v>
      </c>
      <c r="C884" s="6">
        <v>80</v>
      </c>
      <c r="D884" s="2">
        <f>LEN(Table2[[#This Row],[CLID]])</f>
        <v>7</v>
      </c>
      <c r="E884" s="2" t="str">
        <f>_xlfn.XLOOKUP('Volume Data'!A:A,'Geo Data'!D:D,'Geo Data'!B:B)</f>
        <v>GEO1002</v>
      </c>
      <c r="F884" s="2" t="str">
        <f>INDEX(GeoByClient[GEOID],MATCH(Table2[[#This Row],[CLID]],GeoByClient[Right],0))</f>
        <v>GEO1002</v>
      </c>
      <c r="G884" s="2" t="str">
        <f>_xlfn.XLOOKUP(Table2[[#This Row],[Xlookup Region ID]],GEONames[GEOID],GEONames[GEO Name])</f>
        <v>APAC</v>
      </c>
      <c r="H884" s="2" t="str">
        <f>"Q"&amp;ROUNDUP(MONTH(Table2[[#This Row],[Date]])/3,0)&amp;" "&amp;YEAR(Table2[[#This Row],[Date]])</f>
        <v>Q3 2024</v>
      </c>
      <c r="I884" s="2" t="str">
        <f>VLOOKUP(Table2[[#This Row],[Date]],Table7[],3)</f>
        <v>Q3 2024</v>
      </c>
    </row>
    <row r="885" spans="1:9" x14ac:dyDescent="0.25">
      <c r="A885" s="3" t="s">
        <v>5</v>
      </c>
      <c r="B885" s="3">
        <v>45565</v>
      </c>
      <c r="C885" s="6">
        <v>111</v>
      </c>
      <c r="D885" s="2">
        <f>LEN(Table2[[#This Row],[CLID]])</f>
        <v>7</v>
      </c>
      <c r="E885" s="2" t="str">
        <f>_xlfn.XLOOKUP('Volume Data'!A:A,'Geo Data'!D:D,'Geo Data'!B:B)</f>
        <v>GEO1002</v>
      </c>
      <c r="F885" s="2" t="str">
        <f>INDEX(GeoByClient[GEOID],MATCH(Table2[[#This Row],[CLID]],GeoByClient[Right],0))</f>
        <v>GEO1002</v>
      </c>
      <c r="G885" s="2" t="str">
        <f>_xlfn.XLOOKUP(Table2[[#This Row],[Xlookup Region ID]],GEONames[GEOID],GEONames[GEO Name])</f>
        <v>APAC</v>
      </c>
      <c r="H885" s="2" t="str">
        <f>"Q"&amp;ROUNDUP(MONTH(Table2[[#This Row],[Date]])/3,0)&amp;" "&amp;YEAR(Table2[[#This Row],[Date]])</f>
        <v>Q3 2024</v>
      </c>
      <c r="I885" s="2" t="str">
        <f>VLOOKUP(Table2[[#This Row],[Date]],Table7[],3)</f>
        <v>Q3 2024</v>
      </c>
    </row>
    <row r="886" spans="1:9" x14ac:dyDescent="0.25">
      <c r="A886" s="3" t="s">
        <v>5</v>
      </c>
      <c r="B886" s="3">
        <v>45596</v>
      </c>
      <c r="C886" s="6">
        <v>96</v>
      </c>
      <c r="D886" s="2">
        <f>LEN(Table2[[#This Row],[CLID]])</f>
        <v>7</v>
      </c>
      <c r="E886" s="2" t="str">
        <f>_xlfn.XLOOKUP('Volume Data'!A:A,'Geo Data'!D:D,'Geo Data'!B:B)</f>
        <v>GEO1002</v>
      </c>
      <c r="F886" s="2" t="str">
        <f>INDEX(GeoByClient[GEOID],MATCH(Table2[[#This Row],[CLID]],GeoByClient[Right],0))</f>
        <v>GEO1002</v>
      </c>
      <c r="G886" s="2" t="str">
        <f>_xlfn.XLOOKUP(Table2[[#This Row],[Xlookup Region ID]],GEONames[GEOID],GEONames[GEO Name])</f>
        <v>APAC</v>
      </c>
      <c r="H886" s="2" t="str">
        <f>"Q"&amp;ROUNDUP(MONTH(Table2[[#This Row],[Date]])/3,0)&amp;" "&amp;YEAR(Table2[[#This Row],[Date]])</f>
        <v>Q4 2024</v>
      </c>
      <c r="I886" s="2" t="str">
        <f>VLOOKUP(Table2[[#This Row],[Date]],Table7[],3)</f>
        <v>Q4 2024</v>
      </c>
    </row>
    <row r="887" spans="1:9" x14ac:dyDescent="0.25">
      <c r="A887" s="3" t="s">
        <v>5</v>
      </c>
      <c r="B887" s="3">
        <v>45626</v>
      </c>
      <c r="C887" s="6">
        <v>136</v>
      </c>
      <c r="D887" s="2">
        <f>LEN(Table2[[#This Row],[CLID]])</f>
        <v>7</v>
      </c>
      <c r="E887" s="2" t="str">
        <f>_xlfn.XLOOKUP('Volume Data'!A:A,'Geo Data'!D:D,'Geo Data'!B:B)</f>
        <v>GEO1002</v>
      </c>
      <c r="F887" s="2" t="str">
        <f>INDEX(GeoByClient[GEOID],MATCH(Table2[[#This Row],[CLID]],GeoByClient[Right],0))</f>
        <v>GEO1002</v>
      </c>
      <c r="G887" s="2" t="str">
        <f>_xlfn.XLOOKUP(Table2[[#This Row],[Xlookup Region ID]],GEONames[GEOID],GEONames[GEO Name])</f>
        <v>APAC</v>
      </c>
      <c r="H887" s="2" t="str">
        <f>"Q"&amp;ROUNDUP(MONTH(Table2[[#This Row],[Date]])/3,0)&amp;" "&amp;YEAR(Table2[[#This Row],[Date]])</f>
        <v>Q4 2024</v>
      </c>
      <c r="I887" s="2" t="str">
        <f>VLOOKUP(Table2[[#This Row],[Date]],Table7[],3)</f>
        <v>Q4 2024</v>
      </c>
    </row>
    <row r="888" spans="1:9" x14ac:dyDescent="0.25">
      <c r="A888" s="3" t="s">
        <v>5</v>
      </c>
      <c r="B888" s="3">
        <v>45657</v>
      </c>
      <c r="C888" s="6">
        <v>107</v>
      </c>
      <c r="D888" s="2">
        <f>LEN(Table2[[#This Row],[CLID]])</f>
        <v>7</v>
      </c>
      <c r="E888" s="2" t="str">
        <f>_xlfn.XLOOKUP('Volume Data'!A:A,'Geo Data'!D:D,'Geo Data'!B:B)</f>
        <v>GEO1002</v>
      </c>
      <c r="F888" s="2" t="str">
        <f>INDEX(GeoByClient[GEOID],MATCH(Table2[[#This Row],[CLID]],GeoByClient[Right],0))</f>
        <v>GEO1002</v>
      </c>
      <c r="G888" s="2" t="str">
        <f>_xlfn.XLOOKUP(Table2[[#This Row],[Xlookup Region ID]],GEONames[GEOID],GEONames[GEO Name])</f>
        <v>APAC</v>
      </c>
      <c r="H888" s="2" t="str">
        <f>"Q"&amp;ROUNDUP(MONTH(Table2[[#This Row],[Date]])/3,0)&amp;" "&amp;YEAR(Table2[[#This Row],[Date]])</f>
        <v>Q4 2024</v>
      </c>
      <c r="I888" s="2" t="str">
        <f>VLOOKUP(Table2[[#This Row],[Date]],Table7[],3)</f>
        <v>Q4 2024</v>
      </c>
    </row>
    <row r="889" spans="1:9" x14ac:dyDescent="0.25">
      <c r="A889" s="3" t="s">
        <v>5</v>
      </c>
      <c r="B889" s="3">
        <v>45716</v>
      </c>
      <c r="C889" s="6">
        <v>126</v>
      </c>
      <c r="D889" s="2">
        <f>LEN(Table2[[#This Row],[CLID]])</f>
        <v>7</v>
      </c>
      <c r="E889" s="2" t="str">
        <f>_xlfn.XLOOKUP('Volume Data'!A:A,'Geo Data'!D:D,'Geo Data'!B:B)</f>
        <v>GEO1002</v>
      </c>
      <c r="F889" s="2" t="str">
        <f>INDEX(GeoByClient[GEOID],MATCH(Table2[[#This Row],[CLID]],GeoByClient[Right],0))</f>
        <v>GEO1002</v>
      </c>
      <c r="G889" s="2" t="str">
        <f>_xlfn.XLOOKUP(Table2[[#This Row],[Xlookup Region ID]],GEONames[GEOID],GEONames[GEO Name])</f>
        <v>APAC</v>
      </c>
      <c r="H889" s="2" t="str">
        <f>"Q"&amp;ROUNDUP(MONTH(Table2[[#This Row],[Date]])/3,0)&amp;" "&amp;YEAR(Table2[[#This Row],[Date]])</f>
        <v>Q1 2025</v>
      </c>
      <c r="I889" s="2" t="str">
        <f>VLOOKUP(Table2[[#This Row],[Date]],Table7[],3)</f>
        <v>Q4 2024</v>
      </c>
    </row>
    <row r="890" spans="1:9" x14ac:dyDescent="0.25">
      <c r="A890" s="3" t="s">
        <v>5</v>
      </c>
      <c r="B890" s="3">
        <v>45688</v>
      </c>
      <c r="C890" s="6">
        <v>140</v>
      </c>
      <c r="D890" s="2">
        <f>LEN(Table2[[#This Row],[CLID]])</f>
        <v>7</v>
      </c>
      <c r="E890" s="2" t="str">
        <f>_xlfn.XLOOKUP('Volume Data'!A:A,'Geo Data'!D:D,'Geo Data'!B:B)</f>
        <v>GEO1002</v>
      </c>
      <c r="F890" s="2" t="str">
        <f>INDEX(GeoByClient[GEOID],MATCH(Table2[[#This Row],[CLID]],GeoByClient[Right],0))</f>
        <v>GEO1002</v>
      </c>
      <c r="G890" s="2" t="str">
        <f>_xlfn.XLOOKUP(Table2[[#This Row],[Xlookup Region ID]],GEONames[GEOID],GEONames[GEO Name])</f>
        <v>APAC</v>
      </c>
      <c r="H890" s="2" t="str">
        <f>"Q"&amp;ROUNDUP(MONTH(Table2[[#This Row],[Date]])/3,0)&amp;" "&amp;YEAR(Table2[[#This Row],[Date]])</f>
        <v>Q1 2025</v>
      </c>
      <c r="I890" s="2" t="str">
        <f>VLOOKUP(Table2[[#This Row],[Date]],Table7[],3)</f>
        <v>Q4 2024</v>
      </c>
    </row>
    <row r="891" spans="1:9" x14ac:dyDescent="0.25">
      <c r="A891" s="3" t="s">
        <v>9</v>
      </c>
      <c r="B891" s="3">
        <v>45322</v>
      </c>
      <c r="C891" s="6">
        <v>220</v>
      </c>
      <c r="D891" s="2">
        <f>LEN(Table2[[#This Row],[CLID]])</f>
        <v>7</v>
      </c>
      <c r="E891" s="2" t="str">
        <f>_xlfn.XLOOKUP('Volume Data'!A:A,'Geo Data'!D:D,'Geo Data'!B:B)</f>
        <v>GEO1002</v>
      </c>
      <c r="F891" s="2" t="str">
        <f>INDEX(GeoByClient[GEOID],MATCH(Table2[[#This Row],[CLID]],GeoByClient[Right],0))</f>
        <v>GEO1002</v>
      </c>
      <c r="G891" s="2" t="str">
        <f>_xlfn.XLOOKUP(Table2[[#This Row],[Xlookup Region ID]],GEONames[GEOID],GEONames[GEO Name])</f>
        <v>APAC</v>
      </c>
      <c r="H891" s="2" t="str">
        <f>"Q"&amp;ROUNDUP(MONTH(Table2[[#This Row],[Date]])/3,0)&amp;" "&amp;YEAR(Table2[[#This Row],[Date]])</f>
        <v>Q1 2024</v>
      </c>
      <c r="I891" s="2" t="str">
        <f>VLOOKUP(Table2[[#This Row],[Date]],Table7[],3)</f>
        <v>Q1 2024</v>
      </c>
    </row>
    <row r="892" spans="1:9" x14ac:dyDescent="0.25">
      <c r="A892" s="3" t="s">
        <v>9</v>
      </c>
      <c r="B892" s="3">
        <v>45351</v>
      </c>
      <c r="C892" s="6">
        <v>219</v>
      </c>
      <c r="D892" s="2">
        <f>LEN(Table2[[#This Row],[CLID]])</f>
        <v>7</v>
      </c>
      <c r="E892" s="2" t="str">
        <f>_xlfn.XLOOKUP('Volume Data'!A:A,'Geo Data'!D:D,'Geo Data'!B:B)</f>
        <v>GEO1002</v>
      </c>
      <c r="F892" s="2" t="str">
        <f>INDEX(GeoByClient[GEOID],MATCH(Table2[[#This Row],[CLID]],GeoByClient[Right],0))</f>
        <v>GEO1002</v>
      </c>
      <c r="G892" s="2" t="str">
        <f>_xlfn.XLOOKUP(Table2[[#This Row],[Xlookup Region ID]],GEONames[GEOID],GEONames[GEO Name])</f>
        <v>APAC</v>
      </c>
      <c r="H892" s="2" t="str">
        <f>"Q"&amp;ROUNDUP(MONTH(Table2[[#This Row],[Date]])/3,0)&amp;" "&amp;YEAR(Table2[[#This Row],[Date]])</f>
        <v>Q1 2024</v>
      </c>
      <c r="I892" s="2" t="str">
        <f>VLOOKUP(Table2[[#This Row],[Date]],Table7[],3)</f>
        <v>Q1 2024</v>
      </c>
    </row>
    <row r="893" spans="1:9" x14ac:dyDescent="0.25">
      <c r="A893" s="3" t="s">
        <v>9</v>
      </c>
      <c r="B893" s="3">
        <v>45382</v>
      </c>
      <c r="C893" s="6">
        <v>266</v>
      </c>
      <c r="D893" s="2">
        <f>LEN(Table2[[#This Row],[CLID]])</f>
        <v>7</v>
      </c>
      <c r="E893" s="2" t="str">
        <f>_xlfn.XLOOKUP('Volume Data'!A:A,'Geo Data'!D:D,'Geo Data'!B:B)</f>
        <v>GEO1002</v>
      </c>
      <c r="F893" s="2" t="str">
        <f>INDEX(GeoByClient[GEOID],MATCH(Table2[[#This Row],[CLID]],GeoByClient[Right],0))</f>
        <v>GEO1002</v>
      </c>
      <c r="G893" s="2" t="str">
        <f>_xlfn.XLOOKUP(Table2[[#This Row],[Xlookup Region ID]],GEONames[GEOID],GEONames[GEO Name])</f>
        <v>APAC</v>
      </c>
      <c r="H893" s="2" t="str">
        <f>"Q"&amp;ROUNDUP(MONTH(Table2[[#This Row],[Date]])/3,0)&amp;" "&amp;YEAR(Table2[[#This Row],[Date]])</f>
        <v>Q1 2024</v>
      </c>
      <c r="I893" s="2" t="str">
        <f>VLOOKUP(Table2[[#This Row],[Date]],Table7[],3)</f>
        <v>Q1 2024</v>
      </c>
    </row>
    <row r="894" spans="1:9" x14ac:dyDescent="0.25">
      <c r="A894" s="3" t="s">
        <v>9</v>
      </c>
      <c r="B894" s="3">
        <v>45412</v>
      </c>
      <c r="C894" s="6">
        <v>294</v>
      </c>
      <c r="D894" s="2">
        <f>LEN(Table2[[#This Row],[CLID]])</f>
        <v>7</v>
      </c>
      <c r="E894" s="2" t="str">
        <f>_xlfn.XLOOKUP('Volume Data'!A:A,'Geo Data'!D:D,'Geo Data'!B:B)</f>
        <v>GEO1002</v>
      </c>
      <c r="F894" s="2" t="str">
        <f>INDEX(GeoByClient[GEOID],MATCH(Table2[[#This Row],[CLID]],GeoByClient[Right],0))</f>
        <v>GEO1002</v>
      </c>
      <c r="G894" s="2" t="str">
        <f>_xlfn.XLOOKUP(Table2[[#This Row],[Xlookup Region ID]],GEONames[GEOID],GEONames[GEO Name])</f>
        <v>APAC</v>
      </c>
      <c r="H894" s="2" t="str">
        <f>"Q"&amp;ROUNDUP(MONTH(Table2[[#This Row],[Date]])/3,0)&amp;" "&amp;YEAR(Table2[[#This Row],[Date]])</f>
        <v>Q2 2024</v>
      </c>
      <c r="I894" s="2" t="str">
        <f>VLOOKUP(Table2[[#This Row],[Date]],Table7[],3)</f>
        <v>Q2 2024</v>
      </c>
    </row>
    <row r="895" spans="1:9" x14ac:dyDescent="0.25">
      <c r="A895" s="3" t="s">
        <v>9</v>
      </c>
      <c r="B895" s="3">
        <v>45443</v>
      </c>
      <c r="C895" s="6">
        <v>295</v>
      </c>
      <c r="D895" s="2">
        <f>LEN(Table2[[#This Row],[CLID]])</f>
        <v>7</v>
      </c>
      <c r="E895" s="2" t="str">
        <f>_xlfn.XLOOKUP('Volume Data'!A:A,'Geo Data'!D:D,'Geo Data'!B:B)</f>
        <v>GEO1002</v>
      </c>
      <c r="F895" s="2" t="str">
        <f>INDEX(GeoByClient[GEOID],MATCH(Table2[[#This Row],[CLID]],GeoByClient[Right],0))</f>
        <v>GEO1002</v>
      </c>
      <c r="G895" s="2" t="str">
        <f>_xlfn.XLOOKUP(Table2[[#This Row],[Xlookup Region ID]],GEONames[GEOID],GEONames[GEO Name])</f>
        <v>APAC</v>
      </c>
      <c r="H895" s="2" t="str">
        <f>"Q"&amp;ROUNDUP(MONTH(Table2[[#This Row],[Date]])/3,0)&amp;" "&amp;YEAR(Table2[[#This Row],[Date]])</f>
        <v>Q2 2024</v>
      </c>
      <c r="I895" s="2" t="str">
        <f>VLOOKUP(Table2[[#This Row],[Date]],Table7[],3)</f>
        <v>Q2 2024</v>
      </c>
    </row>
    <row r="896" spans="1:9" x14ac:dyDescent="0.25">
      <c r="A896" s="3" t="s">
        <v>9</v>
      </c>
      <c r="B896" s="3">
        <v>45473</v>
      </c>
      <c r="C896" s="6">
        <v>193</v>
      </c>
      <c r="D896" s="2">
        <f>LEN(Table2[[#This Row],[CLID]])</f>
        <v>7</v>
      </c>
      <c r="E896" s="2" t="str">
        <f>_xlfn.XLOOKUP('Volume Data'!A:A,'Geo Data'!D:D,'Geo Data'!B:B)</f>
        <v>GEO1002</v>
      </c>
      <c r="F896" s="2" t="str">
        <f>INDEX(GeoByClient[GEOID],MATCH(Table2[[#This Row],[CLID]],GeoByClient[Right],0))</f>
        <v>GEO1002</v>
      </c>
      <c r="G896" s="2" t="str">
        <f>_xlfn.XLOOKUP(Table2[[#This Row],[Xlookup Region ID]],GEONames[GEOID],GEONames[GEO Name])</f>
        <v>APAC</v>
      </c>
      <c r="H896" s="2" t="str">
        <f>"Q"&amp;ROUNDUP(MONTH(Table2[[#This Row],[Date]])/3,0)&amp;" "&amp;YEAR(Table2[[#This Row],[Date]])</f>
        <v>Q2 2024</v>
      </c>
      <c r="I896" s="2" t="str">
        <f>VLOOKUP(Table2[[#This Row],[Date]],Table7[],3)</f>
        <v>Q2 2024</v>
      </c>
    </row>
    <row r="897" spans="1:9" x14ac:dyDescent="0.25">
      <c r="A897" s="3" t="s">
        <v>9</v>
      </c>
      <c r="B897" s="3">
        <v>45504</v>
      </c>
      <c r="C897" s="6">
        <v>190</v>
      </c>
      <c r="D897" s="2">
        <f>LEN(Table2[[#This Row],[CLID]])</f>
        <v>7</v>
      </c>
      <c r="E897" s="2" t="str">
        <f>_xlfn.XLOOKUP('Volume Data'!A:A,'Geo Data'!D:D,'Geo Data'!B:B)</f>
        <v>GEO1002</v>
      </c>
      <c r="F897" s="2" t="str">
        <f>INDEX(GeoByClient[GEOID],MATCH(Table2[[#This Row],[CLID]],GeoByClient[Right],0))</f>
        <v>GEO1002</v>
      </c>
      <c r="G897" s="2" t="str">
        <f>_xlfn.XLOOKUP(Table2[[#This Row],[Xlookup Region ID]],GEONames[GEOID],GEONames[GEO Name])</f>
        <v>APAC</v>
      </c>
      <c r="H897" s="2" t="str">
        <f>"Q"&amp;ROUNDUP(MONTH(Table2[[#This Row],[Date]])/3,0)&amp;" "&amp;YEAR(Table2[[#This Row],[Date]])</f>
        <v>Q3 2024</v>
      </c>
      <c r="I897" s="2" t="str">
        <f>VLOOKUP(Table2[[#This Row],[Date]],Table7[],3)</f>
        <v>Q3 2024</v>
      </c>
    </row>
    <row r="898" spans="1:9" x14ac:dyDescent="0.25">
      <c r="A898" s="3" t="s">
        <v>9</v>
      </c>
      <c r="B898" s="3">
        <v>45535</v>
      </c>
      <c r="C898" s="6">
        <v>143</v>
      </c>
      <c r="D898" s="2">
        <f>LEN(Table2[[#This Row],[CLID]])</f>
        <v>7</v>
      </c>
      <c r="E898" s="2" t="str">
        <f>_xlfn.XLOOKUP('Volume Data'!A:A,'Geo Data'!D:D,'Geo Data'!B:B)</f>
        <v>GEO1002</v>
      </c>
      <c r="F898" s="2" t="str">
        <f>INDEX(GeoByClient[GEOID],MATCH(Table2[[#This Row],[CLID]],GeoByClient[Right],0))</f>
        <v>GEO1002</v>
      </c>
      <c r="G898" s="2" t="str">
        <f>_xlfn.XLOOKUP(Table2[[#This Row],[Xlookup Region ID]],GEONames[GEOID],GEONames[GEO Name])</f>
        <v>APAC</v>
      </c>
      <c r="H898" s="2" t="str">
        <f>"Q"&amp;ROUNDUP(MONTH(Table2[[#This Row],[Date]])/3,0)&amp;" "&amp;YEAR(Table2[[#This Row],[Date]])</f>
        <v>Q3 2024</v>
      </c>
      <c r="I898" s="2" t="str">
        <f>VLOOKUP(Table2[[#This Row],[Date]],Table7[],3)</f>
        <v>Q3 2024</v>
      </c>
    </row>
    <row r="899" spans="1:9" x14ac:dyDescent="0.25">
      <c r="A899" s="3" t="s">
        <v>9</v>
      </c>
      <c r="B899" s="3">
        <v>45565</v>
      </c>
      <c r="C899" s="6">
        <v>170</v>
      </c>
      <c r="D899" s="2">
        <f>LEN(Table2[[#This Row],[CLID]])</f>
        <v>7</v>
      </c>
      <c r="E899" s="2" t="str">
        <f>_xlfn.XLOOKUP('Volume Data'!A:A,'Geo Data'!D:D,'Geo Data'!B:B)</f>
        <v>GEO1002</v>
      </c>
      <c r="F899" s="2" t="str">
        <f>INDEX(GeoByClient[GEOID],MATCH(Table2[[#This Row],[CLID]],GeoByClient[Right],0))</f>
        <v>GEO1002</v>
      </c>
      <c r="G899" s="2" t="str">
        <f>_xlfn.XLOOKUP(Table2[[#This Row],[Xlookup Region ID]],GEONames[GEOID],GEONames[GEO Name])</f>
        <v>APAC</v>
      </c>
      <c r="H899" s="2" t="str">
        <f>"Q"&amp;ROUNDUP(MONTH(Table2[[#This Row],[Date]])/3,0)&amp;" "&amp;YEAR(Table2[[#This Row],[Date]])</f>
        <v>Q3 2024</v>
      </c>
      <c r="I899" s="2" t="str">
        <f>VLOOKUP(Table2[[#This Row],[Date]],Table7[],3)</f>
        <v>Q3 2024</v>
      </c>
    </row>
    <row r="900" spans="1:9" x14ac:dyDescent="0.25">
      <c r="A900" s="3" t="s">
        <v>9</v>
      </c>
      <c r="B900" s="3">
        <v>45596</v>
      </c>
      <c r="C900" s="6">
        <v>170</v>
      </c>
      <c r="D900" s="2">
        <f>LEN(Table2[[#This Row],[CLID]])</f>
        <v>7</v>
      </c>
      <c r="E900" s="2" t="str">
        <f>_xlfn.XLOOKUP('Volume Data'!A:A,'Geo Data'!D:D,'Geo Data'!B:B)</f>
        <v>GEO1002</v>
      </c>
      <c r="F900" s="2" t="str">
        <f>INDEX(GeoByClient[GEOID],MATCH(Table2[[#This Row],[CLID]],GeoByClient[Right],0))</f>
        <v>GEO1002</v>
      </c>
      <c r="G900" s="2" t="str">
        <f>_xlfn.XLOOKUP(Table2[[#This Row],[Xlookup Region ID]],GEONames[GEOID],GEONames[GEO Name])</f>
        <v>APAC</v>
      </c>
      <c r="H900" s="2" t="str">
        <f>"Q"&amp;ROUNDUP(MONTH(Table2[[#This Row],[Date]])/3,0)&amp;" "&amp;YEAR(Table2[[#This Row],[Date]])</f>
        <v>Q4 2024</v>
      </c>
      <c r="I900" s="2" t="str">
        <f>VLOOKUP(Table2[[#This Row],[Date]],Table7[],3)</f>
        <v>Q4 2024</v>
      </c>
    </row>
    <row r="901" spans="1:9" x14ac:dyDescent="0.25">
      <c r="A901" s="3" t="s">
        <v>9</v>
      </c>
      <c r="B901" s="3">
        <v>45626</v>
      </c>
      <c r="C901" s="6">
        <v>214</v>
      </c>
      <c r="D901" s="2">
        <f>LEN(Table2[[#This Row],[CLID]])</f>
        <v>7</v>
      </c>
      <c r="E901" s="2" t="str">
        <f>_xlfn.XLOOKUP('Volume Data'!A:A,'Geo Data'!D:D,'Geo Data'!B:B)</f>
        <v>GEO1002</v>
      </c>
      <c r="F901" s="2" t="str">
        <f>INDEX(GeoByClient[GEOID],MATCH(Table2[[#This Row],[CLID]],GeoByClient[Right],0))</f>
        <v>GEO1002</v>
      </c>
      <c r="G901" s="2" t="str">
        <f>_xlfn.XLOOKUP(Table2[[#This Row],[Xlookup Region ID]],GEONames[GEOID],GEONames[GEO Name])</f>
        <v>APAC</v>
      </c>
      <c r="H901" s="2" t="str">
        <f>"Q"&amp;ROUNDUP(MONTH(Table2[[#This Row],[Date]])/3,0)&amp;" "&amp;YEAR(Table2[[#This Row],[Date]])</f>
        <v>Q4 2024</v>
      </c>
      <c r="I901" s="2" t="str">
        <f>VLOOKUP(Table2[[#This Row],[Date]],Table7[],3)</f>
        <v>Q4 2024</v>
      </c>
    </row>
    <row r="902" spans="1:9" x14ac:dyDescent="0.25">
      <c r="A902" s="3" t="s">
        <v>9</v>
      </c>
      <c r="B902" s="3">
        <v>45657</v>
      </c>
      <c r="C902" s="6">
        <v>194</v>
      </c>
      <c r="D902" s="2">
        <f>LEN(Table2[[#This Row],[CLID]])</f>
        <v>7</v>
      </c>
      <c r="E902" s="2" t="str">
        <f>_xlfn.XLOOKUP('Volume Data'!A:A,'Geo Data'!D:D,'Geo Data'!B:B)</f>
        <v>GEO1002</v>
      </c>
      <c r="F902" s="2" t="str">
        <f>INDEX(GeoByClient[GEOID],MATCH(Table2[[#This Row],[CLID]],GeoByClient[Right],0))</f>
        <v>GEO1002</v>
      </c>
      <c r="G902" s="2" t="str">
        <f>_xlfn.XLOOKUP(Table2[[#This Row],[Xlookup Region ID]],GEONames[GEOID],GEONames[GEO Name])</f>
        <v>APAC</v>
      </c>
      <c r="H902" s="2" t="str">
        <f>"Q"&amp;ROUNDUP(MONTH(Table2[[#This Row],[Date]])/3,0)&amp;" "&amp;YEAR(Table2[[#This Row],[Date]])</f>
        <v>Q4 2024</v>
      </c>
      <c r="I902" s="2" t="str">
        <f>VLOOKUP(Table2[[#This Row],[Date]],Table7[],3)</f>
        <v>Q4 2024</v>
      </c>
    </row>
    <row r="903" spans="1:9" x14ac:dyDescent="0.25">
      <c r="A903" s="3" t="s">
        <v>9</v>
      </c>
      <c r="B903" s="3">
        <v>45838</v>
      </c>
      <c r="C903" s="6">
        <v>195</v>
      </c>
      <c r="D903" s="2">
        <f>LEN(Table2[[#This Row],[CLID]])</f>
        <v>7</v>
      </c>
      <c r="E903" s="2" t="str">
        <f>_xlfn.XLOOKUP('Volume Data'!A:A,'Geo Data'!D:D,'Geo Data'!B:B)</f>
        <v>GEO1002</v>
      </c>
      <c r="F903" s="2" t="str">
        <f>INDEX(GeoByClient[GEOID],MATCH(Table2[[#This Row],[CLID]],GeoByClient[Right],0))</f>
        <v>GEO1002</v>
      </c>
      <c r="G903" s="2" t="str">
        <f>_xlfn.XLOOKUP(Table2[[#This Row],[Xlookup Region ID]],GEONames[GEOID],GEONames[GEO Name])</f>
        <v>APAC</v>
      </c>
      <c r="H903" s="2" t="str">
        <f>"Q"&amp;ROUNDUP(MONTH(Table2[[#This Row],[Date]])/3,0)&amp;" "&amp;YEAR(Table2[[#This Row],[Date]])</f>
        <v>Q2 2025</v>
      </c>
      <c r="I903" s="2" t="str">
        <f>VLOOKUP(Table2[[#This Row],[Date]],Table7[],3)</f>
        <v>Q2 2025</v>
      </c>
    </row>
    <row r="904" spans="1:9" x14ac:dyDescent="0.25">
      <c r="A904" s="3" t="s">
        <v>9</v>
      </c>
      <c r="B904" s="3">
        <v>45808</v>
      </c>
      <c r="C904" s="6">
        <v>290</v>
      </c>
      <c r="D904" s="2">
        <f>LEN(Table2[[#This Row],[CLID]])</f>
        <v>7</v>
      </c>
      <c r="E904" s="2" t="str">
        <f>_xlfn.XLOOKUP('Volume Data'!A:A,'Geo Data'!D:D,'Geo Data'!B:B)</f>
        <v>GEO1002</v>
      </c>
      <c r="F904" s="2" t="str">
        <f>INDEX(GeoByClient[GEOID],MATCH(Table2[[#This Row],[CLID]],GeoByClient[Right],0))</f>
        <v>GEO1002</v>
      </c>
      <c r="G904" s="2" t="str">
        <f>_xlfn.XLOOKUP(Table2[[#This Row],[Xlookup Region ID]],GEONames[GEOID],GEONames[GEO Name])</f>
        <v>APAC</v>
      </c>
      <c r="H904" s="2" t="str">
        <f>"Q"&amp;ROUNDUP(MONTH(Table2[[#This Row],[Date]])/3,0)&amp;" "&amp;YEAR(Table2[[#This Row],[Date]])</f>
        <v>Q2 2025</v>
      </c>
      <c r="I904" s="2" t="str">
        <f>VLOOKUP(Table2[[#This Row],[Date]],Table7[],3)</f>
        <v>Q2 2025</v>
      </c>
    </row>
    <row r="905" spans="1:9" x14ac:dyDescent="0.25">
      <c r="A905" s="3" t="s">
        <v>9</v>
      </c>
      <c r="B905" s="3">
        <v>45777</v>
      </c>
      <c r="C905" s="6">
        <v>294</v>
      </c>
      <c r="D905" s="2">
        <f>LEN(Table2[[#This Row],[CLID]])</f>
        <v>7</v>
      </c>
      <c r="E905" s="2" t="str">
        <f>_xlfn.XLOOKUP('Volume Data'!A:A,'Geo Data'!D:D,'Geo Data'!B:B)</f>
        <v>GEO1002</v>
      </c>
      <c r="F905" s="2" t="str">
        <f>INDEX(GeoByClient[GEOID],MATCH(Table2[[#This Row],[CLID]],GeoByClient[Right],0))</f>
        <v>GEO1002</v>
      </c>
      <c r="G905" s="2" t="str">
        <f>_xlfn.XLOOKUP(Table2[[#This Row],[Xlookup Region ID]],GEONames[GEOID],GEONames[GEO Name])</f>
        <v>APAC</v>
      </c>
      <c r="H905" s="2" t="str">
        <f>"Q"&amp;ROUNDUP(MONTH(Table2[[#This Row],[Date]])/3,0)&amp;" "&amp;YEAR(Table2[[#This Row],[Date]])</f>
        <v>Q2 2025</v>
      </c>
      <c r="I905" s="2" t="str">
        <f>VLOOKUP(Table2[[#This Row],[Date]],Table7[],3)</f>
        <v>Q2 2025</v>
      </c>
    </row>
    <row r="906" spans="1:9" x14ac:dyDescent="0.25">
      <c r="A906" s="3" t="s">
        <v>9</v>
      </c>
      <c r="B906" s="3">
        <v>45747</v>
      </c>
      <c r="C906" s="6">
        <v>270</v>
      </c>
      <c r="D906" s="2">
        <f>LEN(Table2[[#This Row],[CLID]])</f>
        <v>7</v>
      </c>
      <c r="E906" s="2" t="str">
        <f>_xlfn.XLOOKUP('Volume Data'!A:A,'Geo Data'!D:D,'Geo Data'!B:B)</f>
        <v>GEO1002</v>
      </c>
      <c r="F906" s="2" t="str">
        <f>INDEX(GeoByClient[GEOID],MATCH(Table2[[#This Row],[CLID]],GeoByClient[Right],0))</f>
        <v>GEO1002</v>
      </c>
      <c r="G906" s="2" t="str">
        <f>_xlfn.XLOOKUP(Table2[[#This Row],[Xlookup Region ID]],GEONames[GEOID],GEONames[GEO Name])</f>
        <v>APAC</v>
      </c>
      <c r="H906" s="2" t="str">
        <f>"Q"&amp;ROUNDUP(MONTH(Table2[[#This Row],[Date]])/3,0)&amp;" "&amp;YEAR(Table2[[#This Row],[Date]])</f>
        <v>Q1 2025</v>
      </c>
      <c r="I906" s="2" t="str">
        <f>VLOOKUP(Table2[[#This Row],[Date]],Table7[],3)</f>
        <v>Q4 2024</v>
      </c>
    </row>
    <row r="907" spans="1:9" x14ac:dyDescent="0.25">
      <c r="A907" s="3" t="s">
        <v>9</v>
      </c>
      <c r="B907" s="3">
        <v>45716</v>
      </c>
      <c r="C907" s="6">
        <v>224</v>
      </c>
      <c r="D907" s="2">
        <f>LEN(Table2[[#This Row],[CLID]])</f>
        <v>7</v>
      </c>
      <c r="E907" s="2" t="str">
        <f>_xlfn.XLOOKUP('Volume Data'!A:A,'Geo Data'!D:D,'Geo Data'!B:B)</f>
        <v>GEO1002</v>
      </c>
      <c r="F907" s="2" t="str">
        <f>INDEX(GeoByClient[GEOID],MATCH(Table2[[#This Row],[CLID]],GeoByClient[Right],0))</f>
        <v>GEO1002</v>
      </c>
      <c r="G907" s="2" t="str">
        <f>_xlfn.XLOOKUP(Table2[[#This Row],[Xlookup Region ID]],GEONames[GEOID],GEONames[GEO Name])</f>
        <v>APAC</v>
      </c>
      <c r="H907" s="2" t="str">
        <f>"Q"&amp;ROUNDUP(MONTH(Table2[[#This Row],[Date]])/3,0)&amp;" "&amp;YEAR(Table2[[#This Row],[Date]])</f>
        <v>Q1 2025</v>
      </c>
      <c r="I907" s="2" t="str">
        <f>VLOOKUP(Table2[[#This Row],[Date]],Table7[],3)</f>
        <v>Q4 2024</v>
      </c>
    </row>
    <row r="908" spans="1:9" x14ac:dyDescent="0.25">
      <c r="A908" s="3" t="s">
        <v>9</v>
      </c>
      <c r="B908" s="3">
        <v>45688</v>
      </c>
      <c r="C908" s="6">
        <v>222</v>
      </c>
      <c r="D908" s="2">
        <f>LEN(Table2[[#This Row],[CLID]])</f>
        <v>7</v>
      </c>
      <c r="E908" s="2" t="str">
        <f>_xlfn.XLOOKUP('Volume Data'!A:A,'Geo Data'!D:D,'Geo Data'!B:B)</f>
        <v>GEO1002</v>
      </c>
      <c r="F908" s="2" t="str">
        <f>INDEX(GeoByClient[GEOID],MATCH(Table2[[#This Row],[CLID]],GeoByClient[Right],0))</f>
        <v>GEO1002</v>
      </c>
      <c r="G908" s="2" t="str">
        <f>_xlfn.XLOOKUP(Table2[[#This Row],[Xlookup Region ID]],GEONames[GEOID],GEONames[GEO Name])</f>
        <v>APAC</v>
      </c>
      <c r="H908" s="2" t="str">
        <f>"Q"&amp;ROUNDUP(MONTH(Table2[[#This Row],[Date]])/3,0)&amp;" "&amp;YEAR(Table2[[#This Row],[Date]])</f>
        <v>Q1 2025</v>
      </c>
      <c r="I908" s="2" t="str">
        <f>VLOOKUP(Table2[[#This Row],[Date]],Table7[],3)</f>
        <v>Q4 2024</v>
      </c>
    </row>
  </sheetData>
  <phoneticPr fontId="4" type="noConversion"/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9B54A-DA27-4ABA-973E-6AF22928ACE3}">
  <dimension ref="A1:C908"/>
  <sheetViews>
    <sheetView workbookViewId="0">
      <selection activeCell="F11" sqref="F11"/>
    </sheetView>
  </sheetViews>
  <sheetFormatPr defaultRowHeight="12.5" x14ac:dyDescent="0.25"/>
  <cols>
    <col min="2" max="2" width="7.08984375" customWidth="1"/>
    <col min="3" max="3" width="5.81640625" bestFit="1" customWidth="1"/>
  </cols>
  <sheetData>
    <row r="1" spans="1:3" x14ac:dyDescent="0.25">
      <c r="A1" t="s">
        <v>0</v>
      </c>
      <c r="B1" t="s">
        <v>61</v>
      </c>
      <c r="C1" t="s">
        <v>133</v>
      </c>
    </row>
    <row r="2" spans="1:3" ht="25" x14ac:dyDescent="0.25">
      <c r="A2" s="1" t="s">
        <v>23</v>
      </c>
      <c r="B2" s="1" t="s">
        <v>118</v>
      </c>
      <c r="C2" t="s">
        <v>188</v>
      </c>
    </row>
    <row r="3" spans="1:3" ht="25" x14ac:dyDescent="0.25">
      <c r="A3" s="1"/>
      <c r="B3" s="1" t="s">
        <v>119</v>
      </c>
      <c r="C3" t="s">
        <v>189</v>
      </c>
    </row>
    <row r="4" spans="1:3" ht="25" x14ac:dyDescent="0.25">
      <c r="A4" s="1"/>
      <c r="B4" s="1" t="s">
        <v>120</v>
      </c>
      <c r="C4" t="s">
        <v>190</v>
      </c>
    </row>
    <row r="5" spans="1:3" ht="25" x14ac:dyDescent="0.25">
      <c r="A5" s="1"/>
      <c r="B5" s="1" t="s">
        <v>121</v>
      </c>
      <c r="C5" t="s">
        <v>102</v>
      </c>
    </row>
    <row r="6" spans="1:3" ht="25" x14ac:dyDescent="0.25">
      <c r="A6" s="1"/>
      <c r="B6" s="1" t="s">
        <v>122</v>
      </c>
      <c r="C6" t="s">
        <v>191</v>
      </c>
    </row>
    <row r="7" spans="1:3" ht="25" x14ac:dyDescent="0.25">
      <c r="A7" s="1"/>
      <c r="B7" s="1" t="s">
        <v>123</v>
      </c>
      <c r="C7" t="s">
        <v>79</v>
      </c>
    </row>
    <row r="8" spans="1:3" ht="25" x14ac:dyDescent="0.25">
      <c r="A8" s="1"/>
      <c r="B8" s="1" t="s">
        <v>124</v>
      </c>
      <c r="C8" t="s">
        <v>192</v>
      </c>
    </row>
    <row r="9" spans="1:3" ht="25" x14ac:dyDescent="0.25">
      <c r="A9" s="1"/>
      <c r="B9" s="1" t="s">
        <v>58</v>
      </c>
      <c r="C9" t="s">
        <v>193</v>
      </c>
    </row>
    <row r="10" spans="1:3" ht="25" x14ac:dyDescent="0.25">
      <c r="A10" s="1"/>
      <c r="B10" s="1" t="s">
        <v>59</v>
      </c>
      <c r="C10" t="s">
        <v>194</v>
      </c>
    </row>
    <row r="11" spans="1:3" ht="25" x14ac:dyDescent="0.25">
      <c r="A11" s="1"/>
      <c r="B11" s="1" t="s">
        <v>60</v>
      </c>
      <c r="C11" t="s">
        <v>195</v>
      </c>
    </row>
    <row r="12" spans="1:3" ht="25" x14ac:dyDescent="0.25">
      <c r="A12" s="1"/>
      <c r="B12" s="1" t="s">
        <v>125</v>
      </c>
      <c r="C12" t="s">
        <v>196</v>
      </c>
    </row>
    <row r="13" spans="1:3" ht="25" x14ac:dyDescent="0.25">
      <c r="A13" s="1"/>
      <c r="B13" s="1" t="s">
        <v>126</v>
      </c>
      <c r="C13" t="s">
        <v>197</v>
      </c>
    </row>
    <row r="14" spans="1:3" ht="25" x14ac:dyDescent="0.25">
      <c r="A14" s="1"/>
      <c r="B14" s="1" t="s">
        <v>127</v>
      </c>
      <c r="C14" t="s">
        <v>116</v>
      </c>
    </row>
    <row r="15" spans="1:3" ht="25" x14ac:dyDescent="0.25">
      <c r="A15" s="1"/>
      <c r="B15" s="1" t="s">
        <v>128</v>
      </c>
      <c r="C15" t="s">
        <v>198</v>
      </c>
    </row>
    <row r="16" spans="1:3" ht="25" x14ac:dyDescent="0.25">
      <c r="A16" s="1"/>
      <c r="B16" s="1" t="s">
        <v>129</v>
      </c>
      <c r="C16" t="s">
        <v>199</v>
      </c>
    </row>
    <row r="17" spans="1:3" ht="25" x14ac:dyDescent="0.25">
      <c r="A17" s="1"/>
      <c r="B17" s="1" t="s">
        <v>130</v>
      </c>
      <c r="C17" t="s">
        <v>91</v>
      </c>
    </row>
    <row r="18" spans="1:3" ht="25" x14ac:dyDescent="0.25">
      <c r="A18" s="1" t="s">
        <v>33</v>
      </c>
      <c r="B18" s="1" t="s">
        <v>131</v>
      </c>
      <c r="C18" t="s">
        <v>200</v>
      </c>
    </row>
    <row r="19" spans="1:3" ht="25" x14ac:dyDescent="0.25">
      <c r="A19" s="1"/>
      <c r="B19" s="1" t="s">
        <v>132</v>
      </c>
      <c r="C19" t="s">
        <v>201</v>
      </c>
    </row>
    <row r="20" spans="1:3" ht="25" x14ac:dyDescent="0.25">
      <c r="A20" s="1"/>
      <c r="B20" s="1" t="s">
        <v>118</v>
      </c>
      <c r="C20" t="s">
        <v>202</v>
      </c>
    </row>
    <row r="21" spans="1:3" ht="25" x14ac:dyDescent="0.25">
      <c r="A21" s="1"/>
      <c r="B21" s="1" t="s">
        <v>119</v>
      </c>
      <c r="C21" t="s">
        <v>203</v>
      </c>
    </row>
    <row r="22" spans="1:3" ht="25" x14ac:dyDescent="0.25">
      <c r="A22" s="1"/>
      <c r="B22" s="1" t="s">
        <v>120</v>
      </c>
      <c r="C22" t="s">
        <v>112</v>
      </c>
    </row>
    <row r="23" spans="1:3" ht="25" x14ac:dyDescent="0.25">
      <c r="A23" s="1"/>
      <c r="B23" s="1" t="s">
        <v>121</v>
      </c>
      <c r="C23" t="s">
        <v>204</v>
      </c>
    </row>
    <row r="24" spans="1:3" ht="25" x14ac:dyDescent="0.25">
      <c r="A24" s="1"/>
      <c r="B24" s="1" t="s">
        <v>122</v>
      </c>
      <c r="C24" t="s">
        <v>205</v>
      </c>
    </row>
    <row r="25" spans="1:3" ht="25" x14ac:dyDescent="0.25">
      <c r="A25" s="1"/>
      <c r="B25" s="1" t="s">
        <v>123</v>
      </c>
      <c r="C25" t="s">
        <v>206</v>
      </c>
    </row>
    <row r="26" spans="1:3" ht="25" x14ac:dyDescent="0.25">
      <c r="A26" s="1"/>
      <c r="B26" s="1" t="s">
        <v>124</v>
      </c>
      <c r="C26" t="s">
        <v>207</v>
      </c>
    </row>
    <row r="27" spans="1:3" ht="25" x14ac:dyDescent="0.25">
      <c r="A27" s="1"/>
      <c r="B27" s="1" t="s">
        <v>58</v>
      </c>
      <c r="C27" t="s">
        <v>208</v>
      </c>
    </row>
    <row r="28" spans="1:3" ht="25" x14ac:dyDescent="0.25">
      <c r="A28" s="1"/>
      <c r="B28" s="1" t="s">
        <v>59</v>
      </c>
      <c r="C28" t="s">
        <v>209</v>
      </c>
    </row>
    <row r="29" spans="1:3" ht="25" x14ac:dyDescent="0.25">
      <c r="A29" s="1"/>
      <c r="B29" s="1" t="s">
        <v>60</v>
      </c>
      <c r="C29" t="s">
        <v>210</v>
      </c>
    </row>
    <row r="30" spans="1:3" ht="25" x14ac:dyDescent="0.25">
      <c r="A30" s="1"/>
      <c r="B30" s="1" t="s">
        <v>125</v>
      </c>
      <c r="C30" t="s">
        <v>211</v>
      </c>
    </row>
    <row r="31" spans="1:3" ht="25" x14ac:dyDescent="0.25">
      <c r="A31" s="1"/>
      <c r="B31" s="1" t="s">
        <v>126</v>
      </c>
      <c r="C31" t="s">
        <v>212</v>
      </c>
    </row>
    <row r="32" spans="1:3" ht="25" x14ac:dyDescent="0.25">
      <c r="A32" s="1"/>
      <c r="B32" s="1" t="s">
        <v>127</v>
      </c>
      <c r="C32" t="s">
        <v>213</v>
      </c>
    </row>
    <row r="33" spans="1:3" ht="25" x14ac:dyDescent="0.25">
      <c r="A33" s="1"/>
      <c r="B33" s="1" t="s">
        <v>128</v>
      </c>
      <c r="C33" t="s">
        <v>214</v>
      </c>
    </row>
    <row r="34" spans="1:3" ht="25" x14ac:dyDescent="0.25">
      <c r="A34" s="1"/>
      <c r="B34" s="1" t="s">
        <v>129</v>
      </c>
      <c r="C34" t="s">
        <v>215</v>
      </c>
    </row>
    <row r="35" spans="1:3" ht="25" x14ac:dyDescent="0.25">
      <c r="A35" s="1"/>
      <c r="B35" s="1" t="s">
        <v>130</v>
      </c>
      <c r="C35" t="s">
        <v>216</v>
      </c>
    </row>
    <row r="36" spans="1:3" ht="25" x14ac:dyDescent="0.25">
      <c r="A36" s="1" t="s">
        <v>22</v>
      </c>
      <c r="B36" s="1" t="s">
        <v>131</v>
      </c>
      <c r="C36" t="s">
        <v>217</v>
      </c>
    </row>
    <row r="37" spans="1:3" ht="25" x14ac:dyDescent="0.25">
      <c r="A37" s="1"/>
      <c r="B37" s="1" t="s">
        <v>132</v>
      </c>
      <c r="C37" t="s">
        <v>218</v>
      </c>
    </row>
    <row r="38" spans="1:3" ht="25" x14ac:dyDescent="0.25">
      <c r="A38" s="1"/>
      <c r="B38" s="1" t="s">
        <v>118</v>
      </c>
      <c r="C38" t="s">
        <v>219</v>
      </c>
    </row>
    <row r="39" spans="1:3" ht="25" x14ac:dyDescent="0.25">
      <c r="A39" s="1"/>
      <c r="B39" s="1" t="s">
        <v>119</v>
      </c>
      <c r="C39" t="s">
        <v>220</v>
      </c>
    </row>
    <row r="40" spans="1:3" ht="25" x14ac:dyDescent="0.25">
      <c r="A40" s="1"/>
      <c r="B40" s="1" t="s">
        <v>120</v>
      </c>
      <c r="C40" t="s">
        <v>218</v>
      </c>
    </row>
    <row r="41" spans="1:3" ht="25" x14ac:dyDescent="0.25">
      <c r="A41" s="1"/>
      <c r="B41" s="1" t="s">
        <v>121</v>
      </c>
      <c r="C41" t="s">
        <v>221</v>
      </c>
    </row>
    <row r="42" spans="1:3" ht="25" x14ac:dyDescent="0.25">
      <c r="A42" s="1"/>
      <c r="B42" s="1" t="s">
        <v>122</v>
      </c>
      <c r="C42" t="s">
        <v>222</v>
      </c>
    </row>
    <row r="43" spans="1:3" ht="25" x14ac:dyDescent="0.25">
      <c r="A43" s="1"/>
      <c r="B43" s="1" t="s">
        <v>123</v>
      </c>
      <c r="C43" t="s">
        <v>223</v>
      </c>
    </row>
    <row r="44" spans="1:3" ht="25" x14ac:dyDescent="0.25">
      <c r="A44" s="1"/>
      <c r="B44" s="1" t="s">
        <v>124</v>
      </c>
      <c r="C44" t="s">
        <v>224</v>
      </c>
    </row>
    <row r="45" spans="1:3" ht="25" x14ac:dyDescent="0.25">
      <c r="A45" s="1"/>
      <c r="B45" s="1" t="s">
        <v>58</v>
      </c>
      <c r="C45" t="s">
        <v>225</v>
      </c>
    </row>
    <row r="46" spans="1:3" ht="25" x14ac:dyDescent="0.25">
      <c r="A46" s="1"/>
      <c r="B46" s="1" t="s">
        <v>59</v>
      </c>
      <c r="C46" t="s">
        <v>226</v>
      </c>
    </row>
    <row r="47" spans="1:3" ht="25" x14ac:dyDescent="0.25">
      <c r="A47" s="1"/>
      <c r="B47" s="1" t="s">
        <v>60</v>
      </c>
      <c r="C47" t="s">
        <v>221</v>
      </c>
    </row>
    <row r="48" spans="1:3" ht="25" x14ac:dyDescent="0.25">
      <c r="A48" s="1"/>
      <c r="B48" s="1" t="s">
        <v>126</v>
      </c>
      <c r="C48" t="s">
        <v>227</v>
      </c>
    </row>
    <row r="49" spans="1:3" ht="25" x14ac:dyDescent="0.25">
      <c r="A49" s="1"/>
      <c r="B49" s="1" t="s">
        <v>127</v>
      </c>
      <c r="C49" t="s">
        <v>228</v>
      </c>
    </row>
    <row r="50" spans="1:3" ht="25" x14ac:dyDescent="0.25">
      <c r="A50" s="1"/>
      <c r="B50" s="1" t="s">
        <v>128</v>
      </c>
      <c r="C50" t="s">
        <v>229</v>
      </c>
    </row>
    <row r="51" spans="1:3" ht="25" x14ac:dyDescent="0.25">
      <c r="A51" s="1"/>
      <c r="B51" s="1" t="s">
        <v>129</v>
      </c>
      <c r="C51" t="s">
        <v>86</v>
      </c>
    </row>
    <row r="52" spans="1:3" ht="25" x14ac:dyDescent="0.25">
      <c r="A52" s="1"/>
      <c r="B52" s="1" t="s">
        <v>130</v>
      </c>
      <c r="C52" t="s">
        <v>88</v>
      </c>
    </row>
    <row r="53" spans="1:3" ht="25" x14ac:dyDescent="0.25">
      <c r="A53" s="1" t="s">
        <v>49</v>
      </c>
      <c r="B53" s="1" t="s">
        <v>121</v>
      </c>
      <c r="C53" t="s">
        <v>230</v>
      </c>
    </row>
    <row r="54" spans="1:3" ht="25" x14ac:dyDescent="0.25">
      <c r="A54" s="1"/>
      <c r="B54" s="1" t="s">
        <v>122</v>
      </c>
      <c r="C54" t="s">
        <v>231</v>
      </c>
    </row>
    <row r="55" spans="1:3" ht="25" x14ac:dyDescent="0.25">
      <c r="A55" s="1"/>
      <c r="B55" s="1" t="s">
        <v>123</v>
      </c>
      <c r="C55" t="s">
        <v>232</v>
      </c>
    </row>
    <row r="56" spans="1:3" ht="25" x14ac:dyDescent="0.25">
      <c r="A56" s="1"/>
      <c r="B56" s="1" t="s">
        <v>124</v>
      </c>
      <c r="C56" t="s">
        <v>233</v>
      </c>
    </row>
    <row r="57" spans="1:3" ht="25" x14ac:dyDescent="0.25">
      <c r="A57" s="1"/>
      <c r="B57" s="1" t="s">
        <v>58</v>
      </c>
      <c r="C57" t="s">
        <v>234</v>
      </c>
    </row>
    <row r="58" spans="1:3" ht="25" x14ac:dyDescent="0.25">
      <c r="A58" s="1"/>
      <c r="B58" s="1" t="s">
        <v>59</v>
      </c>
      <c r="C58" t="s">
        <v>235</v>
      </c>
    </row>
    <row r="59" spans="1:3" ht="25" x14ac:dyDescent="0.25">
      <c r="A59" s="1"/>
      <c r="B59" s="1" t="s">
        <v>60</v>
      </c>
      <c r="C59" t="s">
        <v>230</v>
      </c>
    </row>
    <row r="60" spans="1:3" ht="25" x14ac:dyDescent="0.25">
      <c r="A60" s="1"/>
      <c r="B60" s="1" t="s">
        <v>125</v>
      </c>
      <c r="C60" t="s">
        <v>98</v>
      </c>
    </row>
    <row r="61" spans="1:3" ht="25" x14ac:dyDescent="0.25">
      <c r="A61" s="1"/>
      <c r="B61" s="1" t="s">
        <v>126</v>
      </c>
      <c r="C61" t="s">
        <v>236</v>
      </c>
    </row>
    <row r="62" spans="1:3" ht="25" x14ac:dyDescent="0.25">
      <c r="A62" s="1"/>
      <c r="B62" s="1" t="s">
        <v>127</v>
      </c>
      <c r="C62" t="s">
        <v>237</v>
      </c>
    </row>
    <row r="63" spans="1:3" ht="25" x14ac:dyDescent="0.25">
      <c r="A63" s="1"/>
      <c r="B63" s="1" t="s">
        <v>128</v>
      </c>
      <c r="C63" t="s">
        <v>238</v>
      </c>
    </row>
    <row r="64" spans="1:3" ht="25" x14ac:dyDescent="0.25">
      <c r="A64" s="1"/>
      <c r="B64" s="1" t="s">
        <v>129</v>
      </c>
      <c r="C64" t="s">
        <v>239</v>
      </c>
    </row>
    <row r="65" spans="1:3" ht="25" x14ac:dyDescent="0.25">
      <c r="A65" s="1"/>
      <c r="B65" s="1" t="s">
        <v>130</v>
      </c>
      <c r="C65" t="s">
        <v>240</v>
      </c>
    </row>
    <row r="66" spans="1:3" ht="25" x14ac:dyDescent="0.25">
      <c r="A66" s="1" t="s">
        <v>35</v>
      </c>
      <c r="B66" s="1" t="s">
        <v>131</v>
      </c>
      <c r="C66" t="s">
        <v>241</v>
      </c>
    </row>
    <row r="67" spans="1:3" ht="25" x14ac:dyDescent="0.25">
      <c r="A67" s="1"/>
      <c r="B67" s="1" t="s">
        <v>132</v>
      </c>
      <c r="C67" t="s">
        <v>242</v>
      </c>
    </row>
    <row r="68" spans="1:3" ht="25" x14ac:dyDescent="0.25">
      <c r="A68" s="1"/>
      <c r="B68" s="1" t="s">
        <v>118</v>
      </c>
      <c r="C68" t="s">
        <v>243</v>
      </c>
    </row>
    <row r="69" spans="1:3" ht="25" x14ac:dyDescent="0.25">
      <c r="A69" s="1"/>
      <c r="B69" s="1" t="s">
        <v>119</v>
      </c>
      <c r="C69" t="s">
        <v>244</v>
      </c>
    </row>
    <row r="70" spans="1:3" ht="25" x14ac:dyDescent="0.25">
      <c r="A70" s="1"/>
      <c r="B70" s="1" t="s">
        <v>120</v>
      </c>
      <c r="C70" t="s">
        <v>245</v>
      </c>
    </row>
    <row r="71" spans="1:3" ht="25" x14ac:dyDescent="0.25">
      <c r="A71" s="1"/>
      <c r="B71" s="1" t="s">
        <v>121</v>
      </c>
      <c r="C71" t="s">
        <v>246</v>
      </c>
    </row>
    <row r="72" spans="1:3" ht="25" x14ac:dyDescent="0.25">
      <c r="A72" s="1"/>
      <c r="B72" s="1" t="s">
        <v>122</v>
      </c>
      <c r="C72" t="s">
        <v>247</v>
      </c>
    </row>
    <row r="73" spans="1:3" ht="25" x14ac:dyDescent="0.25">
      <c r="A73" s="1"/>
      <c r="B73" s="1" t="s">
        <v>123</v>
      </c>
      <c r="C73" t="s">
        <v>248</v>
      </c>
    </row>
    <row r="74" spans="1:3" ht="25" x14ac:dyDescent="0.25">
      <c r="A74" s="1"/>
      <c r="B74" s="1" t="s">
        <v>124</v>
      </c>
      <c r="C74" t="s">
        <v>249</v>
      </c>
    </row>
    <row r="75" spans="1:3" ht="25" x14ac:dyDescent="0.25">
      <c r="A75" s="1"/>
      <c r="B75" s="1" t="s">
        <v>58</v>
      </c>
      <c r="C75" t="s">
        <v>250</v>
      </c>
    </row>
    <row r="76" spans="1:3" ht="25" x14ac:dyDescent="0.25">
      <c r="A76" s="1"/>
      <c r="B76" s="1" t="s">
        <v>59</v>
      </c>
      <c r="C76" t="s">
        <v>251</v>
      </c>
    </row>
    <row r="77" spans="1:3" ht="25" x14ac:dyDescent="0.25">
      <c r="A77" s="1"/>
      <c r="B77" s="1" t="s">
        <v>60</v>
      </c>
      <c r="C77" t="s">
        <v>243</v>
      </c>
    </row>
    <row r="78" spans="1:3" ht="25" x14ac:dyDescent="0.25">
      <c r="A78" s="1"/>
      <c r="B78" s="1" t="s">
        <v>125</v>
      </c>
      <c r="C78" t="s">
        <v>252</v>
      </c>
    </row>
    <row r="79" spans="1:3" ht="25" x14ac:dyDescent="0.25">
      <c r="A79" s="1"/>
      <c r="B79" s="1" t="s">
        <v>126</v>
      </c>
      <c r="C79" t="s">
        <v>253</v>
      </c>
    </row>
    <row r="80" spans="1:3" ht="25" x14ac:dyDescent="0.25">
      <c r="A80" s="1"/>
      <c r="B80" s="1" t="s">
        <v>127</v>
      </c>
      <c r="C80" t="s">
        <v>254</v>
      </c>
    </row>
    <row r="81" spans="1:3" ht="25" x14ac:dyDescent="0.25">
      <c r="A81" s="1"/>
      <c r="B81" s="1" t="s">
        <v>128</v>
      </c>
      <c r="C81" t="s">
        <v>255</v>
      </c>
    </row>
    <row r="82" spans="1:3" ht="25" x14ac:dyDescent="0.25">
      <c r="A82" s="1"/>
      <c r="B82" s="1" t="s">
        <v>129</v>
      </c>
      <c r="C82" t="s">
        <v>256</v>
      </c>
    </row>
    <row r="83" spans="1:3" ht="25" x14ac:dyDescent="0.25">
      <c r="A83" s="1"/>
      <c r="B83" s="1" t="s">
        <v>130</v>
      </c>
      <c r="C83" t="s">
        <v>257</v>
      </c>
    </row>
    <row r="84" spans="1:3" ht="25" x14ac:dyDescent="0.25">
      <c r="A84" s="1" t="s">
        <v>44</v>
      </c>
      <c r="B84" s="1" t="s">
        <v>124</v>
      </c>
      <c r="C84" t="s">
        <v>258</v>
      </c>
    </row>
    <row r="85" spans="1:3" ht="25" x14ac:dyDescent="0.25">
      <c r="A85" s="1"/>
      <c r="B85" s="1" t="s">
        <v>58</v>
      </c>
      <c r="C85" t="s">
        <v>104</v>
      </c>
    </row>
    <row r="86" spans="1:3" ht="25" x14ac:dyDescent="0.25">
      <c r="A86" s="1"/>
      <c r="B86" s="1" t="s">
        <v>59</v>
      </c>
      <c r="C86" t="s">
        <v>259</v>
      </c>
    </row>
    <row r="87" spans="1:3" ht="25" x14ac:dyDescent="0.25">
      <c r="A87" s="1"/>
      <c r="B87" s="1" t="s">
        <v>60</v>
      </c>
      <c r="C87" t="s">
        <v>260</v>
      </c>
    </row>
    <row r="88" spans="1:3" ht="25" x14ac:dyDescent="0.25">
      <c r="A88" s="1"/>
      <c r="B88" s="1" t="s">
        <v>128</v>
      </c>
      <c r="C88" t="s">
        <v>261</v>
      </c>
    </row>
    <row r="89" spans="1:3" ht="25" x14ac:dyDescent="0.25">
      <c r="A89" s="1"/>
      <c r="B89" s="1" t="s">
        <v>129</v>
      </c>
      <c r="C89" t="s">
        <v>262</v>
      </c>
    </row>
    <row r="90" spans="1:3" ht="25" x14ac:dyDescent="0.25">
      <c r="A90" s="1"/>
      <c r="B90" s="1" t="s">
        <v>130</v>
      </c>
      <c r="C90" t="s">
        <v>101</v>
      </c>
    </row>
    <row r="91" spans="1:3" ht="25" x14ac:dyDescent="0.25">
      <c r="A91" s="1" t="s">
        <v>28</v>
      </c>
      <c r="B91" s="1" t="s">
        <v>131</v>
      </c>
      <c r="C91" t="s">
        <v>263</v>
      </c>
    </row>
    <row r="92" spans="1:3" ht="25" x14ac:dyDescent="0.25">
      <c r="A92" s="1"/>
      <c r="B92" s="1" t="s">
        <v>132</v>
      </c>
      <c r="C92" t="s">
        <v>264</v>
      </c>
    </row>
    <row r="93" spans="1:3" ht="25" x14ac:dyDescent="0.25">
      <c r="A93" s="1"/>
      <c r="B93" s="1" t="s">
        <v>118</v>
      </c>
      <c r="C93" t="s">
        <v>265</v>
      </c>
    </row>
    <row r="94" spans="1:3" ht="25" x14ac:dyDescent="0.25">
      <c r="A94" s="1"/>
      <c r="B94" s="1" t="s">
        <v>119</v>
      </c>
      <c r="C94" t="s">
        <v>266</v>
      </c>
    </row>
    <row r="95" spans="1:3" ht="25" x14ac:dyDescent="0.25">
      <c r="A95" s="1"/>
      <c r="B95" s="1" t="s">
        <v>120</v>
      </c>
      <c r="C95" t="s">
        <v>267</v>
      </c>
    </row>
    <row r="96" spans="1:3" ht="25" x14ac:dyDescent="0.25">
      <c r="A96" s="1"/>
      <c r="B96" s="1" t="s">
        <v>121</v>
      </c>
      <c r="C96" t="s">
        <v>111</v>
      </c>
    </row>
    <row r="97" spans="1:3" ht="25" x14ac:dyDescent="0.25">
      <c r="A97" s="1"/>
      <c r="B97" s="1" t="s">
        <v>122</v>
      </c>
      <c r="C97" t="s">
        <v>268</v>
      </c>
    </row>
    <row r="98" spans="1:3" ht="25" x14ac:dyDescent="0.25">
      <c r="A98" s="1"/>
      <c r="B98" s="1" t="s">
        <v>123</v>
      </c>
      <c r="C98" t="s">
        <v>269</v>
      </c>
    </row>
    <row r="99" spans="1:3" ht="25" x14ac:dyDescent="0.25">
      <c r="A99" s="1"/>
      <c r="B99" s="1" t="s">
        <v>124</v>
      </c>
      <c r="C99" t="s">
        <v>88</v>
      </c>
    </row>
    <row r="100" spans="1:3" ht="25" x14ac:dyDescent="0.25">
      <c r="A100" s="1"/>
      <c r="B100" s="1" t="s">
        <v>58</v>
      </c>
      <c r="C100" t="s">
        <v>218</v>
      </c>
    </row>
    <row r="101" spans="1:3" ht="25" x14ac:dyDescent="0.25">
      <c r="A101" s="1"/>
      <c r="B101" s="1" t="s">
        <v>59</v>
      </c>
      <c r="C101" t="s">
        <v>270</v>
      </c>
    </row>
    <row r="102" spans="1:3" ht="25" x14ac:dyDescent="0.25">
      <c r="A102" s="1"/>
      <c r="B102" s="1" t="s">
        <v>60</v>
      </c>
      <c r="C102" t="s">
        <v>271</v>
      </c>
    </row>
    <row r="103" spans="1:3" ht="25" x14ac:dyDescent="0.25">
      <c r="A103" s="1"/>
      <c r="B103" s="1" t="s">
        <v>125</v>
      </c>
      <c r="C103" t="s">
        <v>94</v>
      </c>
    </row>
    <row r="104" spans="1:3" ht="25" x14ac:dyDescent="0.25">
      <c r="A104" s="1"/>
      <c r="B104" s="1" t="s">
        <v>126</v>
      </c>
      <c r="C104" t="s">
        <v>272</v>
      </c>
    </row>
    <row r="105" spans="1:3" ht="25" x14ac:dyDescent="0.25">
      <c r="A105" s="1"/>
      <c r="B105" s="1" t="s">
        <v>127</v>
      </c>
      <c r="C105" t="s">
        <v>273</v>
      </c>
    </row>
    <row r="106" spans="1:3" ht="25" x14ac:dyDescent="0.25">
      <c r="A106" s="1"/>
      <c r="B106" s="1" t="s">
        <v>128</v>
      </c>
      <c r="C106" t="s">
        <v>274</v>
      </c>
    </row>
    <row r="107" spans="1:3" ht="25" x14ac:dyDescent="0.25">
      <c r="A107" s="1"/>
      <c r="B107" s="1" t="s">
        <v>129</v>
      </c>
      <c r="C107" t="s">
        <v>190</v>
      </c>
    </row>
    <row r="108" spans="1:3" ht="25" x14ac:dyDescent="0.25">
      <c r="A108" s="1"/>
      <c r="B108" s="1" t="s">
        <v>130</v>
      </c>
      <c r="C108" t="s">
        <v>275</v>
      </c>
    </row>
    <row r="109" spans="1:3" ht="25" x14ac:dyDescent="0.25">
      <c r="A109" s="1" t="s">
        <v>30</v>
      </c>
      <c r="B109" s="1" t="s">
        <v>131</v>
      </c>
      <c r="C109" t="s">
        <v>276</v>
      </c>
    </row>
    <row r="110" spans="1:3" ht="25" x14ac:dyDescent="0.25">
      <c r="A110" s="1"/>
      <c r="B110" s="1" t="s">
        <v>132</v>
      </c>
      <c r="C110" t="s">
        <v>100</v>
      </c>
    </row>
    <row r="111" spans="1:3" ht="25" x14ac:dyDescent="0.25">
      <c r="A111" s="1"/>
      <c r="B111" s="1" t="s">
        <v>118</v>
      </c>
      <c r="C111" t="s">
        <v>277</v>
      </c>
    </row>
    <row r="112" spans="1:3" ht="25" x14ac:dyDescent="0.25">
      <c r="A112" s="1"/>
      <c r="B112" s="1" t="s">
        <v>119</v>
      </c>
      <c r="C112" t="s">
        <v>278</v>
      </c>
    </row>
    <row r="113" spans="1:3" ht="25" x14ac:dyDescent="0.25">
      <c r="A113" s="1"/>
      <c r="B113" s="1" t="s">
        <v>120</v>
      </c>
      <c r="C113" t="s">
        <v>279</v>
      </c>
    </row>
    <row r="114" spans="1:3" ht="25" x14ac:dyDescent="0.25">
      <c r="A114" s="1"/>
      <c r="B114" s="1" t="s">
        <v>121</v>
      </c>
      <c r="C114" t="s">
        <v>280</v>
      </c>
    </row>
    <row r="115" spans="1:3" ht="25" x14ac:dyDescent="0.25">
      <c r="A115" s="1"/>
      <c r="B115" s="1" t="s">
        <v>122</v>
      </c>
      <c r="C115" t="s">
        <v>281</v>
      </c>
    </row>
    <row r="116" spans="1:3" ht="25" x14ac:dyDescent="0.25">
      <c r="A116" s="1"/>
      <c r="B116" s="1" t="s">
        <v>123</v>
      </c>
      <c r="C116" t="s">
        <v>282</v>
      </c>
    </row>
    <row r="117" spans="1:3" ht="25" x14ac:dyDescent="0.25">
      <c r="A117" s="1"/>
      <c r="B117" s="1" t="s">
        <v>124</v>
      </c>
      <c r="C117" t="s">
        <v>83</v>
      </c>
    </row>
    <row r="118" spans="1:3" ht="25" x14ac:dyDescent="0.25">
      <c r="A118" s="1"/>
      <c r="B118" s="1" t="s">
        <v>58</v>
      </c>
      <c r="C118" t="s">
        <v>83</v>
      </c>
    </row>
    <row r="119" spans="1:3" ht="25" x14ac:dyDescent="0.25">
      <c r="A119" s="1"/>
      <c r="B119" s="1" t="s">
        <v>59</v>
      </c>
      <c r="C119" t="s">
        <v>283</v>
      </c>
    </row>
    <row r="120" spans="1:3" ht="25" x14ac:dyDescent="0.25">
      <c r="A120" s="1"/>
      <c r="B120" s="1" t="s">
        <v>60</v>
      </c>
      <c r="C120" t="s">
        <v>284</v>
      </c>
    </row>
    <row r="121" spans="1:3" ht="25" x14ac:dyDescent="0.25">
      <c r="A121" s="1"/>
      <c r="B121" s="1" t="s">
        <v>125</v>
      </c>
      <c r="C121" t="s">
        <v>285</v>
      </c>
    </row>
    <row r="122" spans="1:3" ht="25" x14ac:dyDescent="0.25">
      <c r="A122" s="1"/>
      <c r="B122" s="1" t="s">
        <v>126</v>
      </c>
      <c r="C122" t="s">
        <v>286</v>
      </c>
    </row>
    <row r="123" spans="1:3" ht="25" x14ac:dyDescent="0.25">
      <c r="A123" s="1"/>
      <c r="B123" s="1" t="s">
        <v>127</v>
      </c>
      <c r="C123" t="s">
        <v>287</v>
      </c>
    </row>
    <row r="124" spans="1:3" ht="25" x14ac:dyDescent="0.25">
      <c r="A124" s="1"/>
      <c r="B124" s="1" t="s">
        <v>128</v>
      </c>
      <c r="C124" t="s">
        <v>288</v>
      </c>
    </row>
    <row r="125" spans="1:3" ht="25" x14ac:dyDescent="0.25">
      <c r="A125" s="1"/>
      <c r="B125" s="1" t="s">
        <v>129</v>
      </c>
      <c r="C125" t="s">
        <v>289</v>
      </c>
    </row>
    <row r="126" spans="1:3" ht="25" x14ac:dyDescent="0.25">
      <c r="A126" s="1"/>
      <c r="B126" s="1" t="s">
        <v>130</v>
      </c>
      <c r="C126" t="s">
        <v>228</v>
      </c>
    </row>
    <row r="127" spans="1:3" ht="25" x14ac:dyDescent="0.25">
      <c r="A127" s="1" t="s">
        <v>6</v>
      </c>
      <c r="B127" s="1" t="s">
        <v>131</v>
      </c>
      <c r="C127" t="s">
        <v>71</v>
      </c>
    </row>
    <row r="128" spans="1:3" ht="25" x14ac:dyDescent="0.25">
      <c r="A128" s="1"/>
      <c r="B128" s="1" t="s">
        <v>132</v>
      </c>
      <c r="C128" t="s">
        <v>290</v>
      </c>
    </row>
    <row r="129" spans="1:3" ht="25" x14ac:dyDescent="0.25">
      <c r="A129" s="1"/>
      <c r="B129" s="1" t="s">
        <v>118</v>
      </c>
      <c r="C129" t="s">
        <v>80</v>
      </c>
    </row>
    <row r="130" spans="1:3" ht="25" x14ac:dyDescent="0.25">
      <c r="A130" s="1"/>
      <c r="B130" s="1" t="s">
        <v>119</v>
      </c>
      <c r="C130" t="s">
        <v>291</v>
      </c>
    </row>
    <row r="131" spans="1:3" ht="25" x14ac:dyDescent="0.25">
      <c r="A131" s="1"/>
      <c r="B131" s="1" t="s">
        <v>120</v>
      </c>
      <c r="C131" t="s">
        <v>292</v>
      </c>
    </row>
    <row r="132" spans="1:3" ht="25" x14ac:dyDescent="0.25">
      <c r="A132" s="1"/>
      <c r="B132" s="1" t="s">
        <v>121</v>
      </c>
      <c r="C132" t="s">
        <v>293</v>
      </c>
    </row>
    <row r="133" spans="1:3" ht="25" x14ac:dyDescent="0.25">
      <c r="A133" s="1"/>
      <c r="B133" s="1" t="s">
        <v>122</v>
      </c>
      <c r="C133" t="s">
        <v>72</v>
      </c>
    </row>
    <row r="134" spans="1:3" ht="25" x14ac:dyDescent="0.25">
      <c r="A134" s="1"/>
      <c r="B134" s="1" t="s">
        <v>123</v>
      </c>
      <c r="C134" t="s">
        <v>294</v>
      </c>
    </row>
    <row r="135" spans="1:3" ht="25" x14ac:dyDescent="0.25">
      <c r="A135" s="1"/>
      <c r="B135" s="1" t="s">
        <v>124</v>
      </c>
      <c r="C135" t="s">
        <v>293</v>
      </c>
    </row>
    <row r="136" spans="1:3" ht="25" x14ac:dyDescent="0.25">
      <c r="A136" s="1"/>
      <c r="B136" s="1" t="s">
        <v>58</v>
      </c>
      <c r="C136" t="s">
        <v>295</v>
      </c>
    </row>
    <row r="137" spans="1:3" ht="25" x14ac:dyDescent="0.25">
      <c r="A137" s="1"/>
      <c r="B137" s="1" t="s">
        <v>59</v>
      </c>
      <c r="C137" t="s">
        <v>296</v>
      </c>
    </row>
    <row r="138" spans="1:3" ht="25" x14ac:dyDescent="0.25">
      <c r="A138" s="1"/>
      <c r="B138" s="1" t="s">
        <v>60</v>
      </c>
      <c r="C138" t="s">
        <v>297</v>
      </c>
    </row>
    <row r="139" spans="1:3" ht="25" x14ac:dyDescent="0.25">
      <c r="A139" s="1"/>
      <c r="B139" s="1" t="s">
        <v>125</v>
      </c>
      <c r="C139" t="s">
        <v>298</v>
      </c>
    </row>
    <row r="140" spans="1:3" ht="25" x14ac:dyDescent="0.25">
      <c r="A140" s="1"/>
      <c r="B140" s="1" t="s">
        <v>126</v>
      </c>
      <c r="C140" t="s">
        <v>299</v>
      </c>
    </row>
    <row r="141" spans="1:3" ht="25" x14ac:dyDescent="0.25">
      <c r="A141" s="1"/>
      <c r="B141" s="1" t="s">
        <v>127</v>
      </c>
      <c r="C141" t="s">
        <v>80</v>
      </c>
    </row>
    <row r="142" spans="1:3" ht="25" x14ac:dyDescent="0.25">
      <c r="A142" s="1"/>
      <c r="B142" s="1" t="s">
        <v>128</v>
      </c>
      <c r="C142" t="s">
        <v>300</v>
      </c>
    </row>
    <row r="143" spans="1:3" ht="25" x14ac:dyDescent="0.25">
      <c r="A143" s="1"/>
      <c r="B143" s="1" t="s">
        <v>129</v>
      </c>
      <c r="C143" t="s">
        <v>301</v>
      </c>
    </row>
    <row r="144" spans="1:3" ht="25" x14ac:dyDescent="0.25">
      <c r="A144" s="1"/>
      <c r="B144" s="1" t="s">
        <v>130</v>
      </c>
      <c r="C144" t="s">
        <v>302</v>
      </c>
    </row>
    <row r="145" spans="1:3" ht="25" x14ac:dyDescent="0.25">
      <c r="A145" s="1" t="s">
        <v>15</v>
      </c>
      <c r="B145" s="1" t="s">
        <v>131</v>
      </c>
      <c r="C145" t="s">
        <v>303</v>
      </c>
    </row>
    <row r="146" spans="1:3" ht="25" x14ac:dyDescent="0.25">
      <c r="A146" s="1"/>
      <c r="B146" s="1" t="s">
        <v>132</v>
      </c>
      <c r="C146" t="s">
        <v>304</v>
      </c>
    </row>
    <row r="147" spans="1:3" ht="25" x14ac:dyDescent="0.25">
      <c r="A147" s="1"/>
      <c r="B147" s="1" t="s">
        <v>118</v>
      </c>
      <c r="C147" t="s">
        <v>305</v>
      </c>
    </row>
    <row r="148" spans="1:3" ht="25" x14ac:dyDescent="0.25">
      <c r="A148" s="1"/>
      <c r="B148" s="1" t="s">
        <v>119</v>
      </c>
      <c r="C148" t="s">
        <v>306</v>
      </c>
    </row>
    <row r="149" spans="1:3" ht="25" x14ac:dyDescent="0.25">
      <c r="A149" s="1"/>
      <c r="B149" s="1" t="s">
        <v>120</v>
      </c>
      <c r="C149" t="s">
        <v>307</v>
      </c>
    </row>
    <row r="150" spans="1:3" ht="25" x14ac:dyDescent="0.25">
      <c r="A150" s="1"/>
      <c r="B150" s="1" t="s">
        <v>121</v>
      </c>
      <c r="C150" t="s">
        <v>308</v>
      </c>
    </row>
    <row r="151" spans="1:3" ht="25" x14ac:dyDescent="0.25">
      <c r="A151" s="1"/>
      <c r="B151" s="1" t="s">
        <v>122</v>
      </c>
      <c r="C151" t="s">
        <v>309</v>
      </c>
    </row>
    <row r="152" spans="1:3" ht="25" x14ac:dyDescent="0.25">
      <c r="A152" s="1"/>
      <c r="B152" s="1" t="s">
        <v>123</v>
      </c>
      <c r="C152" t="s">
        <v>303</v>
      </c>
    </row>
    <row r="153" spans="1:3" ht="25" x14ac:dyDescent="0.25">
      <c r="A153" s="1"/>
      <c r="B153" s="1" t="s">
        <v>124</v>
      </c>
      <c r="C153" t="s">
        <v>310</v>
      </c>
    </row>
    <row r="154" spans="1:3" ht="25" x14ac:dyDescent="0.25">
      <c r="A154" s="1"/>
      <c r="B154" s="1" t="s">
        <v>58</v>
      </c>
      <c r="C154" t="s">
        <v>311</v>
      </c>
    </row>
    <row r="155" spans="1:3" ht="25" x14ac:dyDescent="0.25">
      <c r="A155" s="1"/>
      <c r="B155" s="1" t="s">
        <v>59</v>
      </c>
      <c r="C155" t="s">
        <v>312</v>
      </c>
    </row>
    <row r="156" spans="1:3" ht="25" x14ac:dyDescent="0.25">
      <c r="A156" s="1"/>
      <c r="B156" s="1" t="s">
        <v>60</v>
      </c>
      <c r="C156" t="s">
        <v>313</v>
      </c>
    </row>
    <row r="157" spans="1:3" ht="25" x14ac:dyDescent="0.25">
      <c r="A157" s="1"/>
      <c r="B157" s="1" t="s">
        <v>125</v>
      </c>
      <c r="C157" t="s">
        <v>314</v>
      </c>
    </row>
    <row r="158" spans="1:3" ht="25" x14ac:dyDescent="0.25">
      <c r="A158" s="1"/>
      <c r="B158" s="1" t="s">
        <v>126</v>
      </c>
      <c r="C158" t="s">
        <v>315</v>
      </c>
    </row>
    <row r="159" spans="1:3" ht="25" x14ac:dyDescent="0.25">
      <c r="A159" s="1"/>
      <c r="B159" s="1" t="s">
        <v>127</v>
      </c>
      <c r="C159" t="s">
        <v>316</v>
      </c>
    </row>
    <row r="160" spans="1:3" ht="25" x14ac:dyDescent="0.25">
      <c r="A160" s="1"/>
      <c r="B160" s="1" t="s">
        <v>128</v>
      </c>
      <c r="C160" t="s">
        <v>317</v>
      </c>
    </row>
    <row r="161" spans="1:3" ht="25" x14ac:dyDescent="0.25">
      <c r="A161" s="1"/>
      <c r="B161" s="1" t="s">
        <v>129</v>
      </c>
      <c r="C161" t="s">
        <v>102</v>
      </c>
    </row>
    <row r="162" spans="1:3" ht="25" x14ac:dyDescent="0.25">
      <c r="A162" s="1"/>
      <c r="B162" s="1" t="s">
        <v>130</v>
      </c>
      <c r="C162" t="s">
        <v>75</v>
      </c>
    </row>
    <row r="163" spans="1:3" ht="25" x14ac:dyDescent="0.25">
      <c r="A163" s="1" t="s">
        <v>36</v>
      </c>
      <c r="B163" s="1" t="s">
        <v>131</v>
      </c>
      <c r="C163" t="s">
        <v>318</v>
      </c>
    </row>
    <row r="164" spans="1:3" ht="25" x14ac:dyDescent="0.25">
      <c r="A164" s="1"/>
      <c r="B164" s="1" t="s">
        <v>132</v>
      </c>
      <c r="C164" t="s">
        <v>319</v>
      </c>
    </row>
    <row r="165" spans="1:3" ht="25" x14ac:dyDescent="0.25">
      <c r="A165" s="1"/>
      <c r="B165" s="1" t="s">
        <v>118</v>
      </c>
      <c r="C165" t="s">
        <v>320</v>
      </c>
    </row>
    <row r="166" spans="1:3" ht="25" x14ac:dyDescent="0.25">
      <c r="A166" s="1"/>
      <c r="B166" s="1" t="s">
        <v>119</v>
      </c>
      <c r="C166" t="s">
        <v>321</v>
      </c>
    </row>
    <row r="167" spans="1:3" ht="25" x14ac:dyDescent="0.25">
      <c r="A167" s="1"/>
      <c r="B167" s="1" t="s">
        <v>120</v>
      </c>
      <c r="C167" t="s">
        <v>322</v>
      </c>
    </row>
    <row r="168" spans="1:3" ht="25" x14ac:dyDescent="0.25">
      <c r="A168" s="1"/>
      <c r="B168" s="1" t="s">
        <v>121</v>
      </c>
      <c r="C168" t="s">
        <v>323</v>
      </c>
    </row>
    <row r="169" spans="1:3" ht="25" x14ac:dyDescent="0.25">
      <c r="A169" s="1"/>
      <c r="B169" s="1" t="s">
        <v>122</v>
      </c>
      <c r="C169" t="s">
        <v>324</v>
      </c>
    </row>
    <row r="170" spans="1:3" ht="25" x14ac:dyDescent="0.25">
      <c r="A170" s="1"/>
      <c r="B170" s="1" t="s">
        <v>123</v>
      </c>
      <c r="C170" t="s">
        <v>325</v>
      </c>
    </row>
    <row r="171" spans="1:3" ht="25" x14ac:dyDescent="0.25">
      <c r="A171" s="1"/>
      <c r="B171" s="1" t="s">
        <v>124</v>
      </c>
      <c r="C171" t="s">
        <v>326</v>
      </c>
    </row>
    <row r="172" spans="1:3" ht="25" x14ac:dyDescent="0.25">
      <c r="A172" s="1"/>
      <c r="B172" s="1" t="s">
        <v>58</v>
      </c>
      <c r="C172" t="s">
        <v>327</v>
      </c>
    </row>
    <row r="173" spans="1:3" ht="25" x14ac:dyDescent="0.25">
      <c r="A173" s="1"/>
      <c r="B173" s="1" t="s">
        <v>59</v>
      </c>
      <c r="C173" t="s">
        <v>328</v>
      </c>
    </row>
    <row r="174" spans="1:3" ht="25" x14ac:dyDescent="0.25">
      <c r="A174" s="1"/>
      <c r="B174" s="1" t="s">
        <v>60</v>
      </c>
      <c r="C174" t="s">
        <v>328</v>
      </c>
    </row>
    <row r="175" spans="1:3" ht="25" x14ac:dyDescent="0.25">
      <c r="A175" s="1"/>
      <c r="B175" s="1" t="s">
        <v>125</v>
      </c>
      <c r="C175" t="s">
        <v>329</v>
      </c>
    </row>
    <row r="176" spans="1:3" ht="25" x14ac:dyDescent="0.25">
      <c r="A176" s="1"/>
      <c r="B176" s="1" t="s">
        <v>126</v>
      </c>
      <c r="C176" t="s">
        <v>330</v>
      </c>
    </row>
    <row r="177" spans="1:3" ht="25" x14ac:dyDescent="0.25">
      <c r="A177" s="1"/>
      <c r="B177" s="1" t="s">
        <v>127</v>
      </c>
      <c r="C177" t="s">
        <v>331</v>
      </c>
    </row>
    <row r="178" spans="1:3" ht="25" x14ac:dyDescent="0.25">
      <c r="A178" s="1"/>
      <c r="B178" s="1" t="s">
        <v>128</v>
      </c>
      <c r="C178" t="s">
        <v>332</v>
      </c>
    </row>
    <row r="179" spans="1:3" ht="25" x14ac:dyDescent="0.25">
      <c r="A179" s="1"/>
      <c r="B179" s="1" t="s">
        <v>129</v>
      </c>
      <c r="C179" t="s">
        <v>333</v>
      </c>
    </row>
    <row r="180" spans="1:3" ht="25" x14ac:dyDescent="0.25">
      <c r="A180" s="1"/>
      <c r="B180" s="1" t="s">
        <v>130</v>
      </c>
      <c r="C180" t="s">
        <v>334</v>
      </c>
    </row>
    <row r="181" spans="1:3" ht="25" x14ac:dyDescent="0.25">
      <c r="A181" s="1" t="s">
        <v>3</v>
      </c>
      <c r="B181" s="1" t="s">
        <v>131</v>
      </c>
      <c r="C181" t="s">
        <v>335</v>
      </c>
    </row>
    <row r="182" spans="1:3" ht="25" x14ac:dyDescent="0.25">
      <c r="A182" s="1"/>
      <c r="B182" s="1" t="s">
        <v>132</v>
      </c>
      <c r="C182" t="s">
        <v>336</v>
      </c>
    </row>
    <row r="183" spans="1:3" ht="25" x14ac:dyDescent="0.25">
      <c r="A183" s="1"/>
      <c r="B183" s="1" t="s">
        <v>118</v>
      </c>
      <c r="C183" t="s">
        <v>337</v>
      </c>
    </row>
    <row r="184" spans="1:3" ht="25" x14ac:dyDescent="0.25">
      <c r="A184" s="1"/>
      <c r="B184" s="1" t="s">
        <v>119</v>
      </c>
      <c r="C184" t="s">
        <v>338</v>
      </c>
    </row>
    <row r="185" spans="1:3" ht="25" x14ac:dyDescent="0.25">
      <c r="A185" s="1"/>
      <c r="B185" s="1" t="s">
        <v>120</v>
      </c>
      <c r="C185" t="s">
        <v>339</v>
      </c>
    </row>
    <row r="186" spans="1:3" ht="25" x14ac:dyDescent="0.25">
      <c r="A186" s="1"/>
      <c r="B186" s="1" t="s">
        <v>121</v>
      </c>
      <c r="C186" t="s">
        <v>340</v>
      </c>
    </row>
    <row r="187" spans="1:3" ht="25" x14ac:dyDescent="0.25">
      <c r="A187" s="1"/>
      <c r="B187" s="1" t="s">
        <v>122</v>
      </c>
      <c r="C187" t="s">
        <v>341</v>
      </c>
    </row>
    <row r="188" spans="1:3" ht="25" x14ac:dyDescent="0.25">
      <c r="A188" s="1"/>
      <c r="B188" s="1" t="s">
        <v>123</v>
      </c>
      <c r="C188" t="s">
        <v>335</v>
      </c>
    </row>
    <row r="189" spans="1:3" ht="25" x14ac:dyDescent="0.25">
      <c r="A189" s="1"/>
      <c r="B189" s="1" t="s">
        <v>124</v>
      </c>
      <c r="C189" t="s">
        <v>342</v>
      </c>
    </row>
    <row r="190" spans="1:3" ht="25" x14ac:dyDescent="0.25">
      <c r="A190" s="1"/>
      <c r="B190" s="1" t="s">
        <v>58</v>
      </c>
      <c r="C190" t="s">
        <v>343</v>
      </c>
    </row>
    <row r="191" spans="1:3" ht="25" x14ac:dyDescent="0.25">
      <c r="A191" s="1"/>
      <c r="B191" s="1" t="s">
        <v>59</v>
      </c>
      <c r="C191" t="s">
        <v>344</v>
      </c>
    </row>
    <row r="192" spans="1:3" ht="25" x14ac:dyDescent="0.25">
      <c r="A192" s="1"/>
      <c r="B192" s="1" t="s">
        <v>60</v>
      </c>
      <c r="C192" t="s">
        <v>345</v>
      </c>
    </row>
    <row r="193" spans="1:3" ht="25" x14ac:dyDescent="0.25">
      <c r="A193" s="1"/>
      <c r="B193" s="1" t="s">
        <v>125</v>
      </c>
      <c r="C193" t="s">
        <v>346</v>
      </c>
    </row>
    <row r="194" spans="1:3" ht="25" x14ac:dyDescent="0.25">
      <c r="A194" s="1"/>
      <c r="B194" s="1" t="s">
        <v>126</v>
      </c>
      <c r="C194" t="s">
        <v>347</v>
      </c>
    </row>
    <row r="195" spans="1:3" ht="25" x14ac:dyDescent="0.25">
      <c r="A195" s="1"/>
      <c r="B195" s="1" t="s">
        <v>127</v>
      </c>
      <c r="C195" t="s">
        <v>348</v>
      </c>
    </row>
    <row r="196" spans="1:3" ht="25" x14ac:dyDescent="0.25">
      <c r="A196" s="1"/>
      <c r="B196" s="1" t="s">
        <v>128</v>
      </c>
      <c r="C196" t="s">
        <v>349</v>
      </c>
    </row>
    <row r="197" spans="1:3" ht="25" x14ac:dyDescent="0.25">
      <c r="A197" s="1"/>
      <c r="B197" s="1" t="s">
        <v>129</v>
      </c>
      <c r="C197" t="s">
        <v>350</v>
      </c>
    </row>
    <row r="198" spans="1:3" ht="25" x14ac:dyDescent="0.25">
      <c r="A198" s="1"/>
      <c r="B198" s="1" t="s">
        <v>130</v>
      </c>
      <c r="C198" t="s">
        <v>351</v>
      </c>
    </row>
    <row r="199" spans="1:3" ht="25" x14ac:dyDescent="0.25">
      <c r="A199" s="1" t="s">
        <v>25</v>
      </c>
      <c r="B199" s="1" t="s">
        <v>132</v>
      </c>
      <c r="C199" t="s">
        <v>87</v>
      </c>
    </row>
    <row r="200" spans="1:3" ht="25" x14ac:dyDescent="0.25">
      <c r="A200" s="1"/>
      <c r="B200" s="1" t="s">
        <v>118</v>
      </c>
      <c r="C200" t="s">
        <v>352</v>
      </c>
    </row>
    <row r="201" spans="1:3" ht="25" x14ac:dyDescent="0.25">
      <c r="A201" s="1"/>
      <c r="B201" s="1" t="s">
        <v>119</v>
      </c>
      <c r="C201" t="s">
        <v>108</v>
      </c>
    </row>
    <row r="202" spans="1:3" ht="25" x14ac:dyDescent="0.25">
      <c r="A202" s="1"/>
      <c r="B202" s="1" t="s">
        <v>120</v>
      </c>
      <c r="C202" t="s">
        <v>353</v>
      </c>
    </row>
    <row r="203" spans="1:3" ht="25" x14ac:dyDescent="0.25">
      <c r="A203" s="1"/>
      <c r="B203" s="1" t="s">
        <v>121</v>
      </c>
      <c r="C203" t="s">
        <v>354</v>
      </c>
    </row>
    <row r="204" spans="1:3" ht="25" x14ac:dyDescent="0.25">
      <c r="A204" s="1"/>
      <c r="B204" s="1" t="s">
        <v>122</v>
      </c>
      <c r="C204" t="s">
        <v>96</v>
      </c>
    </row>
    <row r="205" spans="1:3" ht="25" x14ac:dyDescent="0.25">
      <c r="A205" s="1"/>
      <c r="B205" s="1" t="s">
        <v>123</v>
      </c>
      <c r="C205" t="s">
        <v>355</v>
      </c>
    </row>
    <row r="206" spans="1:3" ht="25" x14ac:dyDescent="0.25">
      <c r="A206" s="1"/>
      <c r="B206" s="1" t="s">
        <v>124</v>
      </c>
      <c r="C206" t="s">
        <v>356</v>
      </c>
    </row>
    <row r="207" spans="1:3" ht="25" x14ac:dyDescent="0.25">
      <c r="A207" s="1"/>
      <c r="B207" s="1" t="s">
        <v>58</v>
      </c>
      <c r="C207" t="s">
        <v>357</v>
      </c>
    </row>
    <row r="208" spans="1:3" ht="25" x14ac:dyDescent="0.25">
      <c r="A208" s="1"/>
      <c r="B208" s="1" t="s">
        <v>59</v>
      </c>
      <c r="C208" t="s">
        <v>358</v>
      </c>
    </row>
    <row r="209" spans="1:3" ht="25" x14ac:dyDescent="0.25">
      <c r="A209" s="1"/>
      <c r="B209" s="1" t="s">
        <v>60</v>
      </c>
      <c r="C209" t="s">
        <v>354</v>
      </c>
    </row>
    <row r="210" spans="1:3" ht="25" x14ac:dyDescent="0.25">
      <c r="A210" s="1"/>
      <c r="B210" s="1" t="s">
        <v>125</v>
      </c>
      <c r="C210" t="s">
        <v>83</v>
      </c>
    </row>
    <row r="211" spans="1:3" ht="25" x14ac:dyDescent="0.25">
      <c r="A211" s="1"/>
      <c r="B211" s="1" t="s">
        <v>126</v>
      </c>
      <c r="C211" t="s">
        <v>359</v>
      </c>
    </row>
    <row r="212" spans="1:3" ht="25" x14ac:dyDescent="0.25">
      <c r="A212" s="1"/>
      <c r="B212" s="1" t="s">
        <v>127</v>
      </c>
      <c r="C212" t="s">
        <v>106</v>
      </c>
    </row>
    <row r="213" spans="1:3" ht="25" x14ac:dyDescent="0.25">
      <c r="A213" s="1"/>
      <c r="B213" s="1" t="s">
        <v>128</v>
      </c>
      <c r="C213" t="s">
        <v>360</v>
      </c>
    </row>
    <row r="214" spans="1:3" ht="25" x14ac:dyDescent="0.25">
      <c r="A214" s="1"/>
      <c r="B214" s="1" t="s">
        <v>129</v>
      </c>
      <c r="C214" t="s">
        <v>361</v>
      </c>
    </row>
    <row r="215" spans="1:3" ht="25" x14ac:dyDescent="0.25">
      <c r="A215" s="1"/>
      <c r="B215" s="1" t="s">
        <v>130</v>
      </c>
      <c r="C215" t="s">
        <v>362</v>
      </c>
    </row>
    <row r="216" spans="1:3" ht="25" x14ac:dyDescent="0.25">
      <c r="A216" s="1" t="s">
        <v>41</v>
      </c>
      <c r="B216" s="1" t="s">
        <v>131</v>
      </c>
      <c r="C216" t="s">
        <v>363</v>
      </c>
    </row>
    <row r="217" spans="1:3" ht="25" x14ac:dyDescent="0.25">
      <c r="A217" s="1"/>
      <c r="B217" s="1" t="s">
        <v>132</v>
      </c>
      <c r="C217" t="s">
        <v>364</v>
      </c>
    </row>
    <row r="218" spans="1:3" ht="25" x14ac:dyDescent="0.25">
      <c r="A218" s="1"/>
      <c r="B218" s="1" t="s">
        <v>118</v>
      </c>
      <c r="C218" t="s">
        <v>365</v>
      </c>
    </row>
    <row r="219" spans="1:3" ht="25" x14ac:dyDescent="0.25">
      <c r="A219" s="1"/>
      <c r="B219" s="1" t="s">
        <v>119</v>
      </c>
      <c r="C219" t="s">
        <v>366</v>
      </c>
    </row>
    <row r="220" spans="1:3" ht="25" x14ac:dyDescent="0.25">
      <c r="A220" s="1"/>
      <c r="B220" s="1" t="s">
        <v>120</v>
      </c>
      <c r="C220" t="s">
        <v>367</v>
      </c>
    </row>
    <row r="221" spans="1:3" ht="25" x14ac:dyDescent="0.25">
      <c r="A221" s="1"/>
      <c r="B221" s="1" t="s">
        <v>121</v>
      </c>
      <c r="C221" t="s">
        <v>286</v>
      </c>
    </row>
    <row r="222" spans="1:3" ht="25" x14ac:dyDescent="0.25">
      <c r="A222" s="1"/>
      <c r="B222" s="1" t="s">
        <v>122</v>
      </c>
      <c r="C222" t="s">
        <v>368</v>
      </c>
    </row>
    <row r="223" spans="1:3" ht="25" x14ac:dyDescent="0.25">
      <c r="A223" s="1"/>
      <c r="B223" s="1" t="s">
        <v>123</v>
      </c>
      <c r="C223" t="s">
        <v>369</v>
      </c>
    </row>
    <row r="224" spans="1:3" ht="25" x14ac:dyDescent="0.25">
      <c r="A224" s="1"/>
      <c r="B224" s="1" t="s">
        <v>124</v>
      </c>
      <c r="C224" t="s">
        <v>370</v>
      </c>
    </row>
    <row r="225" spans="1:3" ht="25" x14ac:dyDescent="0.25">
      <c r="A225" s="1"/>
      <c r="B225" s="1" t="s">
        <v>58</v>
      </c>
      <c r="C225" t="s">
        <v>288</v>
      </c>
    </row>
    <row r="226" spans="1:3" ht="25" x14ac:dyDescent="0.25">
      <c r="A226" s="1"/>
      <c r="B226" s="1" t="s">
        <v>59</v>
      </c>
      <c r="C226" t="s">
        <v>371</v>
      </c>
    </row>
    <row r="227" spans="1:3" ht="25" x14ac:dyDescent="0.25">
      <c r="A227" s="1"/>
      <c r="B227" s="1" t="s">
        <v>60</v>
      </c>
      <c r="C227" t="s">
        <v>203</v>
      </c>
    </row>
    <row r="228" spans="1:3" ht="25" x14ac:dyDescent="0.25">
      <c r="A228" s="1"/>
      <c r="B228" s="1" t="s">
        <v>125</v>
      </c>
      <c r="C228" t="s">
        <v>372</v>
      </c>
    </row>
    <row r="229" spans="1:3" ht="25" x14ac:dyDescent="0.25">
      <c r="A229" s="1"/>
      <c r="B229" s="1" t="s">
        <v>126</v>
      </c>
      <c r="C229" t="s">
        <v>109</v>
      </c>
    </row>
    <row r="230" spans="1:3" ht="25" x14ac:dyDescent="0.25">
      <c r="A230" s="1"/>
      <c r="B230" s="1" t="s">
        <v>127</v>
      </c>
      <c r="C230" t="s">
        <v>373</v>
      </c>
    </row>
    <row r="231" spans="1:3" ht="25" x14ac:dyDescent="0.25">
      <c r="A231" s="1"/>
      <c r="B231" s="1" t="s">
        <v>128</v>
      </c>
      <c r="C231" t="s">
        <v>107</v>
      </c>
    </row>
    <row r="232" spans="1:3" ht="25" x14ac:dyDescent="0.25">
      <c r="A232" s="1"/>
      <c r="B232" s="1" t="s">
        <v>129</v>
      </c>
      <c r="C232" t="s">
        <v>117</v>
      </c>
    </row>
    <row r="233" spans="1:3" ht="25" x14ac:dyDescent="0.25">
      <c r="A233" s="1"/>
      <c r="B233" s="1" t="s">
        <v>130</v>
      </c>
      <c r="C233" t="s">
        <v>374</v>
      </c>
    </row>
    <row r="234" spans="1:3" ht="25" x14ac:dyDescent="0.25">
      <c r="A234" s="1" t="s">
        <v>21</v>
      </c>
      <c r="B234" s="1" t="s">
        <v>131</v>
      </c>
      <c r="C234" t="s">
        <v>375</v>
      </c>
    </row>
    <row r="235" spans="1:3" ht="25" x14ac:dyDescent="0.25">
      <c r="A235" s="1"/>
      <c r="B235" s="1" t="s">
        <v>132</v>
      </c>
      <c r="C235" t="s">
        <v>326</v>
      </c>
    </row>
    <row r="236" spans="1:3" ht="25" x14ac:dyDescent="0.25">
      <c r="A236" s="1"/>
      <c r="B236" s="1" t="s">
        <v>118</v>
      </c>
      <c r="C236" t="s">
        <v>376</v>
      </c>
    </row>
    <row r="237" spans="1:3" ht="25" x14ac:dyDescent="0.25">
      <c r="A237" s="1"/>
      <c r="B237" s="1" t="s">
        <v>119</v>
      </c>
      <c r="C237" t="s">
        <v>377</v>
      </c>
    </row>
    <row r="238" spans="1:3" ht="25" x14ac:dyDescent="0.25">
      <c r="A238" s="1"/>
      <c r="B238" s="1" t="s">
        <v>120</v>
      </c>
      <c r="C238" t="s">
        <v>378</v>
      </c>
    </row>
    <row r="239" spans="1:3" ht="25" x14ac:dyDescent="0.25">
      <c r="A239" s="1"/>
      <c r="B239" s="1" t="s">
        <v>121</v>
      </c>
      <c r="C239" t="s">
        <v>379</v>
      </c>
    </row>
    <row r="240" spans="1:3" ht="25" x14ac:dyDescent="0.25">
      <c r="A240" s="1"/>
      <c r="B240" s="1" t="s">
        <v>122</v>
      </c>
      <c r="C240" t="s">
        <v>380</v>
      </c>
    </row>
    <row r="241" spans="1:3" ht="25" x14ac:dyDescent="0.25">
      <c r="A241" s="1"/>
      <c r="B241" s="1" t="s">
        <v>123</v>
      </c>
      <c r="C241" t="s">
        <v>381</v>
      </c>
    </row>
    <row r="242" spans="1:3" ht="25" x14ac:dyDescent="0.25">
      <c r="A242" s="1"/>
      <c r="B242" s="1" t="s">
        <v>124</v>
      </c>
      <c r="C242" t="s">
        <v>382</v>
      </c>
    </row>
    <row r="243" spans="1:3" ht="25" x14ac:dyDescent="0.25">
      <c r="A243" s="1"/>
      <c r="B243" s="1" t="s">
        <v>58</v>
      </c>
      <c r="C243" t="s">
        <v>383</v>
      </c>
    </row>
    <row r="244" spans="1:3" ht="25" x14ac:dyDescent="0.25">
      <c r="A244" s="1"/>
      <c r="B244" s="1" t="s">
        <v>59</v>
      </c>
      <c r="C244" t="s">
        <v>379</v>
      </c>
    </row>
    <row r="245" spans="1:3" ht="25" x14ac:dyDescent="0.25">
      <c r="A245" s="1"/>
      <c r="B245" s="1" t="s">
        <v>60</v>
      </c>
      <c r="C245" t="s">
        <v>384</v>
      </c>
    </row>
    <row r="246" spans="1:3" ht="25" x14ac:dyDescent="0.25">
      <c r="A246" s="1"/>
      <c r="B246" s="1" t="s">
        <v>125</v>
      </c>
      <c r="C246" t="s">
        <v>385</v>
      </c>
    </row>
    <row r="247" spans="1:3" ht="25" x14ac:dyDescent="0.25">
      <c r="A247" s="1"/>
      <c r="B247" s="1" t="s">
        <v>126</v>
      </c>
      <c r="C247" t="s">
        <v>386</v>
      </c>
    </row>
    <row r="248" spans="1:3" ht="25" x14ac:dyDescent="0.25">
      <c r="A248" s="1"/>
      <c r="B248" s="1" t="s">
        <v>127</v>
      </c>
      <c r="C248" t="s">
        <v>387</v>
      </c>
    </row>
    <row r="249" spans="1:3" ht="25" x14ac:dyDescent="0.25">
      <c r="A249" s="1"/>
      <c r="B249" s="1" t="s">
        <v>128</v>
      </c>
      <c r="C249" t="s">
        <v>388</v>
      </c>
    </row>
    <row r="250" spans="1:3" ht="25" x14ac:dyDescent="0.25">
      <c r="A250" s="1"/>
      <c r="B250" s="1" t="s">
        <v>129</v>
      </c>
      <c r="C250" t="s">
        <v>389</v>
      </c>
    </row>
    <row r="251" spans="1:3" ht="25" x14ac:dyDescent="0.25">
      <c r="A251" s="1"/>
      <c r="B251" s="1" t="s">
        <v>130</v>
      </c>
      <c r="C251" t="s">
        <v>390</v>
      </c>
    </row>
    <row r="252" spans="1:3" ht="25" x14ac:dyDescent="0.25">
      <c r="A252" s="1" t="s">
        <v>14</v>
      </c>
      <c r="B252" s="1" t="s">
        <v>131</v>
      </c>
      <c r="C252" t="s">
        <v>391</v>
      </c>
    </row>
    <row r="253" spans="1:3" ht="25" x14ac:dyDescent="0.25">
      <c r="A253" s="1"/>
      <c r="B253" s="1" t="s">
        <v>132</v>
      </c>
      <c r="C253" t="s">
        <v>392</v>
      </c>
    </row>
    <row r="254" spans="1:3" ht="25" x14ac:dyDescent="0.25">
      <c r="A254" s="1"/>
      <c r="B254" s="1" t="s">
        <v>118</v>
      </c>
      <c r="C254" t="s">
        <v>393</v>
      </c>
    </row>
    <row r="255" spans="1:3" ht="25" x14ac:dyDescent="0.25">
      <c r="A255" s="1"/>
      <c r="B255" s="1" t="s">
        <v>119</v>
      </c>
      <c r="C255" t="s">
        <v>394</v>
      </c>
    </row>
    <row r="256" spans="1:3" ht="25" x14ac:dyDescent="0.25">
      <c r="A256" s="1"/>
      <c r="B256" s="1" t="s">
        <v>120</v>
      </c>
      <c r="C256" t="s">
        <v>395</v>
      </c>
    </row>
    <row r="257" spans="1:3" ht="25" x14ac:dyDescent="0.25">
      <c r="A257" s="1"/>
      <c r="B257" s="1" t="s">
        <v>121</v>
      </c>
      <c r="C257" t="s">
        <v>393</v>
      </c>
    </row>
    <row r="258" spans="1:3" ht="25" x14ac:dyDescent="0.25">
      <c r="A258" s="1"/>
      <c r="B258" s="1" t="s">
        <v>122</v>
      </c>
      <c r="C258" t="s">
        <v>396</v>
      </c>
    </row>
    <row r="259" spans="1:3" ht="25" x14ac:dyDescent="0.25">
      <c r="A259" s="1"/>
      <c r="B259" s="1" t="s">
        <v>123</v>
      </c>
      <c r="C259" t="s">
        <v>397</v>
      </c>
    </row>
    <row r="260" spans="1:3" ht="25" x14ac:dyDescent="0.25">
      <c r="A260" s="1"/>
      <c r="B260" s="1" t="s">
        <v>124</v>
      </c>
      <c r="C260" t="s">
        <v>398</v>
      </c>
    </row>
    <row r="261" spans="1:3" ht="25" x14ac:dyDescent="0.25">
      <c r="A261" s="1"/>
      <c r="B261" s="1" t="s">
        <v>58</v>
      </c>
      <c r="C261" t="s">
        <v>399</v>
      </c>
    </row>
    <row r="262" spans="1:3" ht="25" x14ac:dyDescent="0.25">
      <c r="A262" s="1"/>
      <c r="B262" s="1" t="s">
        <v>59</v>
      </c>
      <c r="C262" t="s">
        <v>400</v>
      </c>
    </row>
    <row r="263" spans="1:3" ht="25" x14ac:dyDescent="0.25">
      <c r="A263" s="1"/>
      <c r="B263" s="1" t="s">
        <v>60</v>
      </c>
      <c r="C263" t="s">
        <v>222</v>
      </c>
    </row>
    <row r="264" spans="1:3" ht="25" x14ac:dyDescent="0.25">
      <c r="A264" s="1"/>
      <c r="B264" s="1" t="s">
        <v>125</v>
      </c>
      <c r="C264" t="s">
        <v>401</v>
      </c>
    </row>
    <row r="265" spans="1:3" ht="25" x14ac:dyDescent="0.25">
      <c r="A265" s="1"/>
      <c r="B265" s="1" t="s">
        <v>126</v>
      </c>
      <c r="C265" t="s">
        <v>308</v>
      </c>
    </row>
    <row r="266" spans="1:3" ht="25" x14ac:dyDescent="0.25">
      <c r="A266" s="1"/>
      <c r="B266" s="1" t="s">
        <v>127</v>
      </c>
      <c r="C266" t="s">
        <v>402</v>
      </c>
    </row>
    <row r="267" spans="1:3" ht="25" x14ac:dyDescent="0.25">
      <c r="A267" s="1"/>
      <c r="B267" s="1" t="s">
        <v>128</v>
      </c>
      <c r="C267" t="s">
        <v>403</v>
      </c>
    </row>
    <row r="268" spans="1:3" ht="25" x14ac:dyDescent="0.25">
      <c r="A268" s="1"/>
      <c r="B268" s="1" t="s">
        <v>129</v>
      </c>
      <c r="C268" t="s">
        <v>404</v>
      </c>
    </row>
    <row r="269" spans="1:3" ht="25" x14ac:dyDescent="0.25">
      <c r="A269" s="1"/>
      <c r="B269" s="1" t="s">
        <v>130</v>
      </c>
      <c r="C269" t="s">
        <v>391</v>
      </c>
    </row>
    <row r="270" spans="1:3" ht="25" x14ac:dyDescent="0.25">
      <c r="A270" s="1" t="s">
        <v>17</v>
      </c>
      <c r="B270" s="1" t="s">
        <v>131</v>
      </c>
      <c r="C270" t="s">
        <v>405</v>
      </c>
    </row>
    <row r="271" spans="1:3" ht="25" x14ac:dyDescent="0.25">
      <c r="A271" s="1"/>
      <c r="B271" s="1" t="s">
        <v>132</v>
      </c>
      <c r="C271" t="s">
        <v>406</v>
      </c>
    </row>
    <row r="272" spans="1:3" ht="25" x14ac:dyDescent="0.25">
      <c r="A272" s="1"/>
      <c r="B272" s="1" t="s">
        <v>118</v>
      </c>
      <c r="C272" t="s">
        <v>407</v>
      </c>
    </row>
    <row r="273" spans="1:3" ht="25" x14ac:dyDescent="0.25">
      <c r="A273" s="1"/>
      <c r="B273" s="1" t="s">
        <v>119</v>
      </c>
      <c r="C273" t="s">
        <v>408</v>
      </c>
    </row>
    <row r="274" spans="1:3" ht="25" x14ac:dyDescent="0.25">
      <c r="A274" s="1"/>
      <c r="B274" s="1" t="s">
        <v>120</v>
      </c>
      <c r="C274" t="s">
        <v>409</v>
      </c>
    </row>
    <row r="275" spans="1:3" ht="25" x14ac:dyDescent="0.25">
      <c r="A275" s="1"/>
      <c r="B275" s="1" t="s">
        <v>121</v>
      </c>
      <c r="C275" t="s">
        <v>410</v>
      </c>
    </row>
    <row r="276" spans="1:3" ht="25" x14ac:dyDescent="0.25">
      <c r="A276" s="1"/>
      <c r="B276" s="1" t="s">
        <v>122</v>
      </c>
      <c r="C276" t="s">
        <v>345</v>
      </c>
    </row>
    <row r="277" spans="1:3" ht="25" x14ac:dyDescent="0.25">
      <c r="A277" s="1"/>
      <c r="B277" s="1" t="s">
        <v>123</v>
      </c>
      <c r="C277" t="s">
        <v>411</v>
      </c>
    </row>
    <row r="278" spans="1:3" ht="25" x14ac:dyDescent="0.25">
      <c r="A278" s="1"/>
      <c r="B278" s="1" t="s">
        <v>124</v>
      </c>
      <c r="C278" t="s">
        <v>412</v>
      </c>
    </row>
    <row r="279" spans="1:3" ht="25" x14ac:dyDescent="0.25">
      <c r="A279" s="1"/>
      <c r="B279" s="1" t="s">
        <v>58</v>
      </c>
      <c r="C279" t="s">
        <v>413</v>
      </c>
    </row>
    <row r="280" spans="1:3" ht="25" x14ac:dyDescent="0.25">
      <c r="A280" s="1"/>
      <c r="B280" s="1" t="s">
        <v>59</v>
      </c>
      <c r="C280" t="s">
        <v>414</v>
      </c>
    </row>
    <row r="281" spans="1:3" ht="25" x14ac:dyDescent="0.25">
      <c r="A281" s="1"/>
      <c r="B281" s="1" t="s">
        <v>60</v>
      </c>
      <c r="C281" t="s">
        <v>415</v>
      </c>
    </row>
    <row r="282" spans="1:3" ht="25" x14ac:dyDescent="0.25">
      <c r="A282" s="1"/>
      <c r="B282" s="1" t="s">
        <v>125</v>
      </c>
      <c r="C282" t="s">
        <v>416</v>
      </c>
    </row>
    <row r="283" spans="1:3" ht="25" x14ac:dyDescent="0.25">
      <c r="A283" s="1"/>
      <c r="B283" s="1" t="s">
        <v>126</v>
      </c>
      <c r="C283" t="s">
        <v>417</v>
      </c>
    </row>
    <row r="284" spans="1:3" ht="25" x14ac:dyDescent="0.25">
      <c r="A284" s="1"/>
      <c r="B284" s="1" t="s">
        <v>127</v>
      </c>
      <c r="C284" t="s">
        <v>418</v>
      </c>
    </row>
    <row r="285" spans="1:3" ht="25" x14ac:dyDescent="0.25">
      <c r="A285" s="1"/>
      <c r="B285" s="1" t="s">
        <v>128</v>
      </c>
      <c r="C285" t="s">
        <v>419</v>
      </c>
    </row>
    <row r="286" spans="1:3" ht="25" x14ac:dyDescent="0.25">
      <c r="A286" s="1"/>
      <c r="B286" s="1" t="s">
        <v>129</v>
      </c>
      <c r="C286" t="s">
        <v>420</v>
      </c>
    </row>
    <row r="287" spans="1:3" ht="25" x14ac:dyDescent="0.25">
      <c r="A287" s="1"/>
      <c r="B287" s="1" t="s">
        <v>130</v>
      </c>
      <c r="C287" t="s">
        <v>421</v>
      </c>
    </row>
    <row r="288" spans="1:3" ht="25" x14ac:dyDescent="0.25">
      <c r="A288" s="1" t="s">
        <v>8</v>
      </c>
      <c r="B288" s="1" t="s">
        <v>131</v>
      </c>
      <c r="C288" t="s">
        <v>422</v>
      </c>
    </row>
    <row r="289" spans="1:3" ht="25" x14ac:dyDescent="0.25">
      <c r="A289" s="1"/>
      <c r="B289" s="1" t="s">
        <v>132</v>
      </c>
      <c r="C289" t="s">
        <v>423</v>
      </c>
    </row>
    <row r="290" spans="1:3" ht="25" x14ac:dyDescent="0.25">
      <c r="A290" s="1"/>
      <c r="B290" s="1" t="s">
        <v>118</v>
      </c>
      <c r="C290" t="s">
        <v>424</v>
      </c>
    </row>
    <row r="291" spans="1:3" ht="25" x14ac:dyDescent="0.25">
      <c r="A291" s="1"/>
      <c r="B291" s="1" t="s">
        <v>119</v>
      </c>
      <c r="C291" t="s">
        <v>425</v>
      </c>
    </row>
    <row r="292" spans="1:3" ht="25" x14ac:dyDescent="0.25">
      <c r="A292" s="1"/>
      <c r="B292" s="1" t="s">
        <v>120</v>
      </c>
      <c r="C292" t="s">
        <v>426</v>
      </c>
    </row>
    <row r="293" spans="1:3" ht="25" x14ac:dyDescent="0.25">
      <c r="A293" s="1"/>
      <c r="B293" s="1" t="s">
        <v>121</v>
      </c>
      <c r="C293" t="s">
        <v>427</v>
      </c>
    </row>
    <row r="294" spans="1:3" ht="25" x14ac:dyDescent="0.25">
      <c r="A294" s="1"/>
      <c r="B294" s="1" t="s">
        <v>122</v>
      </c>
      <c r="C294" t="s">
        <v>428</v>
      </c>
    </row>
    <row r="295" spans="1:3" ht="25" x14ac:dyDescent="0.25">
      <c r="A295" s="1"/>
      <c r="B295" s="1" t="s">
        <v>123</v>
      </c>
      <c r="C295" t="s">
        <v>429</v>
      </c>
    </row>
    <row r="296" spans="1:3" ht="25" x14ac:dyDescent="0.25">
      <c r="A296" s="1"/>
      <c r="B296" s="1" t="s">
        <v>124</v>
      </c>
      <c r="C296" t="s">
        <v>430</v>
      </c>
    </row>
    <row r="297" spans="1:3" ht="25" x14ac:dyDescent="0.25">
      <c r="A297" s="1"/>
      <c r="B297" s="1" t="s">
        <v>58</v>
      </c>
      <c r="C297" t="s">
        <v>422</v>
      </c>
    </row>
    <row r="298" spans="1:3" ht="25" x14ac:dyDescent="0.25">
      <c r="A298" s="1"/>
      <c r="B298" s="1" t="s">
        <v>59</v>
      </c>
      <c r="C298" t="s">
        <v>431</v>
      </c>
    </row>
    <row r="299" spans="1:3" ht="25" x14ac:dyDescent="0.25">
      <c r="A299" s="1"/>
      <c r="B299" s="1" t="s">
        <v>60</v>
      </c>
      <c r="C299" t="s">
        <v>432</v>
      </c>
    </row>
    <row r="300" spans="1:3" ht="25" x14ac:dyDescent="0.25">
      <c r="A300" s="1"/>
      <c r="B300" s="1" t="s">
        <v>125</v>
      </c>
      <c r="C300" t="s">
        <v>433</v>
      </c>
    </row>
    <row r="301" spans="1:3" ht="25" x14ac:dyDescent="0.25">
      <c r="A301" s="1"/>
      <c r="B301" s="1" t="s">
        <v>126</v>
      </c>
      <c r="C301" t="s">
        <v>434</v>
      </c>
    </row>
    <row r="302" spans="1:3" ht="25" x14ac:dyDescent="0.25">
      <c r="A302" s="1"/>
      <c r="B302" s="1" t="s">
        <v>127</v>
      </c>
      <c r="C302" t="s">
        <v>435</v>
      </c>
    </row>
    <row r="303" spans="1:3" ht="25" x14ac:dyDescent="0.25">
      <c r="A303" s="1"/>
      <c r="B303" s="1" t="s">
        <v>128</v>
      </c>
      <c r="C303" t="s">
        <v>436</v>
      </c>
    </row>
    <row r="304" spans="1:3" ht="25" x14ac:dyDescent="0.25">
      <c r="A304" s="1"/>
      <c r="B304" s="1" t="s">
        <v>129</v>
      </c>
      <c r="C304" t="s">
        <v>437</v>
      </c>
    </row>
    <row r="305" spans="1:3" ht="25" x14ac:dyDescent="0.25">
      <c r="A305" s="1"/>
      <c r="B305" s="1" t="s">
        <v>130</v>
      </c>
      <c r="C305" t="s">
        <v>438</v>
      </c>
    </row>
    <row r="306" spans="1:3" ht="25" x14ac:dyDescent="0.25">
      <c r="A306" s="1" t="s">
        <v>12</v>
      </c>
      <c r="B306" s="1" t="s">
        <v>122</v>
      </c>
      <c r="C306" t="s">
        <v>439</v>
      </c>
    </row>
    <row r="307" spans="1:3" ht="25" x14ac:dyDescent="0.25">
      <c r="A307" s="1"/>
      <c r="B307" s="1" t="s">
        <v>123</v>
      </c>
      <c r="C307" t="s">
        <v>440</v>
      </c>
    </row>
    <row r="308" spans="1:3" ht="25" x14ac:dyDescent="0.25">
      <c r="A308" s="1"/>
      <c r="B308" s="1" t="s">
        <v>124</v>
      </c>
      <c r="C308" t="s">
        <v>441</v>
      </c>
    </row>
    <row r="309" spans="1:3" ht="25" x14ac:dyDescent="0.25">
      <c r="A309" s="1"/>
      <c r="B309" s="1" t="s">
        <v>58</v>
      </c>
      <c r="C309" t="s">
        <v>442</v>
      </c>
    </row>
    <row r="310" spans="1:3" ht="25" x14ac:dyDescent="0.25">
      <c r="A310" s="1"/>
      <c r="B310" s="1" t="s">
        <v>59</v>
      </c>
      <c r="C310" t="s">
        <v>443</v>
      </c>
    </row>
    <row r="311" spans="1:3" ht="25" x14ac:dyDescent="0.25">
      <c r="A311" s="1"/>
      <c r="B311" s="1" t="s">
        <v>60</v>
      </c>
      <c r="C311" t="s">
        <v>444</v>
      </c>
    </row>
    <row r="312" spans="1:3" ht="25" x14ac:dyDescent="0.25">
      <c r="A312" s="1"/>
      <c r="B312" s="1" t="s">
        <v>125</v>
      </c>
      <c r="C312" t="s">
        <v>445</v>
      </c>
    </row>
    <row r="313" spans="1:3" ht="25" x14ac:dyDescent="0.25">
      <c r="A313" s="1"/>
      <c r="B313" s="1" t="s">
        <v>126</v>
      </c>
      <c r="C313" t="s">
        <v>446</v>
      </c>
    </row>
    <row r="314" spans="1:3" ht="25" x14ac:dyDescent="0.25">
      <c r="A314" s="1"/>
      <c r="B314" s="1" t="s">
        <v>127</v>
      </c>
      <c r="C314" t="s">
        <v>447</v>
      </c>
    </row>
    <row r="315" spans="1:3" ht="25" x14ac:dyDescent="0.25">
      <c r="A315" s="1"/>
      <c r="B315" s="1" t="s">
        <v>128</v>
      </c>
      <c r="C315" t="s">
        <v>448</v>
      </c>
    </row>
    <row r="316" spans="1:3" ht="25" x14ac:dyDescent="0.25">
      <c r="A316" s="1"/>
      <c r="B316" s="1" t="s">
        <v>129</v>
      </c>
      <c r="C316" t="s">
        <v>449</v>
      </c>
    </row>
    <row r="317" spans="1:3" ht="25" x14ac:dyDescent="0.25">
      <c r="A317" s="1"/>
      <c r="B317" s="1" t="s">
        <v>130</v>
      </c>
      <c r="C317" t="s">
        <v>74</v>
      </c>
    </row>
    <row r="318" spans="1:3" ht="25" x14ac:dyDescent="0.25">
      <c r="A318" s="1" t="s">
        <v>51</v>
      </c>
      <c r="B318" s="1" t="s">
        <v>131</v>
      </c>
      <c r="C318" t="s">
        <v>450</v>
      </c>
    </row>
    <row r="319" spans="1:3" ht="25" x14ac:dyDescent="0.25">
      <c r="A319" s="1"/>
      <c r="B319" s="1" t="s">
        <v>132</v>
      </c>
      <c r="C319" t="s">
        <v>451</v>
      </c>
    </row>
    <row r="320" spans="1:3" ht="25" x14ac:dyDescent="0.25">
      <c r="A320" s="1"/>
      <c r="B320" s="1" t="s">
        <v>118</v>
      </c>
      <c r="C320" t="s">
        <v>452</v>
      </c>
    </row>
    <row r="321" spans="1:3" ht="25" x14ac:dyDescent="0.25">
      <c r="A321" s="1"/>
      <c r="B321" s="1" t="s">
        <v>119</v>
      </c>
      <c r="C321" t="s">
        <v>453</v>
      </c>
    </row>
    <row r="322" spans="1:3" ht="25" x14ac:dyDescent="0.25">
      <c r="A322" s="1"/>
      <c r="B322" s="1" t="s">
        <v>120</v>
      </c>
      <c r="C322" t="s">
        <v>454</v>
      </c>
    </row>
    <row r="323" spans="1:3" ht="25" x14ac:dyDescent="0.25">
      <c r="A323" s="1"/>
      <c r="B323" s="1" t="s">
        <v>121</v>
      </c>
      <c r="C323" t="s">
        <v>455</v>
      </c>
    </row>
    <row r="324" spans="1:3" ht="25" x14ac:dyDescent="0.25">
      <c r="A324" s="1"/>
      <c r="B324" s="1" t="s">
        <v>122</v>
      </c>
      <c r="C324" t="s">
        <v>456</v>
      </c>
    </row>
    <row r="325" spans="1:3" ht="25" x14ac:dyDescent="0.25">
      <c r="A325" s="1"/>
      <c r="B325" s="1" t="s">
        <v>123</v>
      </c>
      <c r="C325" t="s">
        <v>457</v>
      </c>
    </row>
    <row r="326" spans="1:3" ht="25" x14ac:dyDescent="0.25">
      <c r="A326" s="1"/>
      <c r="B326" s="1" t="s">
        <v>124</v>
      </c>
      <c r="C326" t="s">
        <v>458</v>
      </c>
    </row>
    <row r="327" spans="1:3" ht="25" x14ac:dyDescent="0.25">
      <c r="A327" s="1"/>
      <c r="B327" s="1" t="s">
        <v>58</v>
      </c>
      <c r="C327" t="s">
        <v>459</v>
      </c>
    </row>
    <row r="328" spans="1:3" ht="25" x14ac:dyDescent="0.25">
      <c r="A328" s="1"/>
      <c r="B328" s="1" t="s">
        <v>59</v>
      </c>
      <c r="C328" t="s">
        <v>450</v>
      </c>
    </row>
    <row r="329" spans="1:3" ht="25" x14ac:dyDescent="0.25">
      <c r="A329" s="1"/>
      <c r="B329" s="1" t="s">
        <v>60</v>
      </c>
      <c r="C329" t="s">
        <v>460</v>
      </c>
    </row>
    <row r="330" spans="1:3" ht="25" x14ac:dyDescent="0.25">
      <c r="A330" s="1"/>
      <c r="B330" s="1" t="s">
        <v>125</v>
      </c>
      <c r="C330" t="s">
        <v>461</v>
      </c>
    </row>
    <row r="331" spans="1:3" ht="25" x14ac:dyDescent="0.25">
      <c r="A331" s="1"/>
      <c r="B331" s="1" t="s">
        <v>126</v>
      </c>
      <c r="C331" t="s">
        <v>462</v>
      </c>
    </row>
    <row r="332" spans="1:3" ht="25" x14ac:dyDescent="0.25">
      <c r="A332" s="1"/>
      <c r="B332" s="1" t="s">
        <v>127</v>
      </c>
      <c r="C332" t="s">
        <v>463</v>
      </c>
    </row>
    <row r="333" spans="1:3" ht="25" x14ac:dyDescent="0.25">
      <c r="A333" s="1"/>
      <c r="B333" s="1" t="s">
        <v>128</v>
      </c>
      <c r="C333" t="s">
        <v>464</v>
      </c>
    </row>
    <row r="334" spans="1:3" ht="25" x14ac:dyDescent="0.25">
      <c r="A334" s="1"/>
      <c r="B334" s="1" t="s">
        <v>129</v>
      </c>
      <c r="C334" t="s">
        <v>465</v>
      </c>
    </row>
    <row r="335" spans="1:3" ht="25" x14ac:dyDescent="0.25">
      <c r="A335" s="1"/>
      <c r="B335" s="1" t="s">
        <v>130</v>
      </c>
      <c r="C335" t="s">
        <v>466</v>
      </c>
    </row>
    <row r="336" spans="1:3" ht="25" x14ac:dyDescent="0.25">
      <c r="A336" s="1" t="s">
        <v>16</v>
      </c>
      <c r="B336" s="1" t="s">
        <v>131</v>
      </c>
      <c r="C336" t="s">
        <v>467</v>
      </c>
    </row>
    <row r="337" spans="1:3" ht="25" x14ac:dyDescent="0.25">
      <c r="A337" s="1"/>
      <c r="B337" s="1" t="s">
        <v>132</v>
      </c>
      <c r="C337" t="s">
        <v>468</v>
      </c>
    </row>
    <row r="338" spans="1:3" ht="25" x14ac:dyDescent="0.25">
      <c r="A338" s="1"/>
      <c r="B338" s="1" t="s">
        <v>118</v>
      </c>
      <c r="C338" t="s">
        <v>469</v>
      </c>
    </row>
    <row r="339" spans="1:3" ht="25" x14ac:dyDescent="0.25">
      <c r="A339" s="1"/>
      <c r="B339" s="1" t="s">
        <v>119</v>
      </c>
      <c r="C339" t="s">
        <v>354</v>
      </c>
    </row>
    <row r="340" spans="1:3" ht="25" x14ac:dyDescent="0.25">
      <c r="A340" s="1"/>
      <c r="B340" s="1" t="s">
        <v>120</v>
      </c>
      <c r="C340" t="s">
        <v>470</v>
      </c>
    </row>
    <row r="341" spans="1:3" ht="25" x14ac:dyDescent="0.25">
      <c r="A341" s="1"/>
      <c r="B341" s="1" t="s">
        <v>121</v>
      </c>
      <c r="C341" t="s">
        <v>85</v>
      </c>
    </row>
    <row r="342" spans="1:3" ht="25" x14ac:dyDescent="0.25">
      <c r="A342" s="1"/>
      <c r="B342" s="1" t="s">
        <v>122</v>
      </c>
      <c r="C342" t="s">
        <v>471</v>
      </c>
    </row>
    <row r="343" spans="1:3" ht="25" x14ac:dyDescent="0.25">
      <c r="A343" s="1"/>
      <c r="B343" s="1" t="s">
        <v>123</v>
      </c>
      <c r="C343" t="s">
        <v>472</v>
      </c>
    </row>
    <row r="344" spans="1:3" ht="25" x14ac:dyDescent="0.25">
      <c r="A344" s="1"/>
      <c r="B344" s="1" t="s">
        <v>124</v>
      </c>
      <c r="C344" t="s">
        <v>473</v>
      </c>
    </row>
    <row r="345" spans="1:3" ht="25" x14ac:dyDescent="0.25">
      <c r="A345" s="1"/>
      <c r="B345" s="1" t="s">
        <v>58</v>
      </c>
      <c r="C345" t="s">
        <v>474</v>
      </c>
    </row>
    <row r="346" spans="1:3" ht="25" x14ac:dyDescent="0.25">
      <c r="A346" s="1"/>
      <c r="B346" s="1" t="s">
        <v>59</v>
      </c>
      <c r="C346" t="s">
        <v>475</v>
      </c>
    </row>
    <row r="347" spans="1:3" ht="25" x14ac:dyDescent="0.25">
      <c r="A347" s="1"/>
      <c r="B347" s="1" t="s">
        <v>60</v>
      </c>
      <c r="C347" t="s">
        <v>476</v>
      </c>
    </row>
    <row r="348" spans="1:3" ht="25" x14ac:dyDescent="0.25">
      <c r="A348" s="1"/>
      <c r="B348" s="1" t="s">
        <v>130</v>
      </c>
      <c r="C348" t="s">
        <v>477</v>
      </c>
    </row>
    <row r="349" spans="1:3" ht="25" x14ac:dyDescent="0.25">
      <c r="A349" s="1" t="s">
        <v>43</v>
      </c>
      <c r="B349" s="1" t="s">
        <v>131</v>
      </c>
      <c r="C349" t="s">
        <v>478</v>
      </c>
    </row>
    <row r="350" spans="1:3" ht="25" x14ac:dyDescent="0.25">
      <c r="A350" s="1"/>
      <c r="B350" s="1" t="s">
        <v>132</v>
      </c>
      <c r="C350" t="s">
        <v>411</v>
      </c>
    </row>
    <row r="351" spans="1:3" ht="25" x14ac:dyDescent="0.25">
      <c r="A351" s="1"/>
      <c r="B351" s="1" t="s">
        <v>118</v>
      </c>
      <c r="C351" t="s">
        <v>377</v>
      </c>
    </row>
    <row r="352" spans="1:3" ht="25" x14ac:dyDescent="0.25">
      <c r="A352" s="1"/>
      <c r="B352" s="1" t="s">
        <v>119</v>
      </c>
      <c r="C352" t="s">
        <v>405</v>
      </c>
    </row>
    <row r="353" spans="1:3" ht="25" x14ac:dyDescent="0.25">
      <c r="A353" s="1"/>
      <c r="B353" s="1" t="s">
        <v>120</v>
      </c>
      <c r="C353" t="s">
        <v>479</v>
      </c>
    </row>
    <row r="354" spans="1:3" ht="25" x14ac:dyDescent="0.25">
      <c r="A354" s="1"/>
      <c r="B354" s="1" t="s">
        <v>121</v>
      </c>
      <c r="C354" t="s">
        <v>478</v>
      </c>
    </row>
    <row r="355" spans="1:3" ht="25" x14ac:dyDescent="0.25">
      <c r="A355" s="1"/>
      <c r="B355" s="1" t="s">
        <v>122</v>
      </c>
      <c r="C355" t="s">
        <v>341</v>
      </c>
    </row>
    <row r="356" spans="1:3" ht="25" x14ac:dyDescent="0.25">
      <c r="A356" s="1"/>
      <c r="B356" s="1" t="s">
        <v>123</v>
      </c>
      <c r="C356" t="s">
        <v>480</v>
      </c>
    </row>
    <row r="357" spans="1:3" ht="25" x14ac:dyDescent="0.25">
      <c r="A357" s="1"/>
      <c r="B357" s="1" t="s">
        <v>124</v>
      </c>
      <c r="C357" t="s">
        <v>481</v>
      </c>
    </row>
    <row r="358" spans="1:3" ht="25" x14ac:dyDescent="0.25">
      <c r="A358" s="1"/>
      <c r="B358" s="1" t="s">
        <v>58</v>
      </c>
      <c r="C358" t="s">
        <v>482</v>
      </c>
    </row>
    <row r="359" spans="1:3" ht="25" x14ac:dyDescent="0.25">
      <c r="A359" s="1"/>
      <c r="B359" s="1" t="s">
        <v>59</v>
      </c>
      <c r="C359" t="s">
        <v>483</v>
      </c>
    </row>
    <row r="360" spans="1:3" ht="25" x14ac:dyDescent="0.25">
      <c r="A360" s="1"/>
      <c r="B360" s="1" t="s">
        <v>60</v>
      </c>
      <c r="C360" t="s">
        <v>484</v>
      </c>
    </row>
    <row r="361" spans="1:3" ht="25" x14ac:dyDescent="0.25">
      <c r="A361" s="1"/>
      <c r="B361" s="1" t="s">
        <v>125</v>
      </c>
      <c r="C361" t="s">
        <v>485</v>
      </c>
    </row>
    <row r="362" spans="1:3" ht="25" x14ac:dyDescent="0.25">
      <c r="A362" s="1"/>
      <c r="B362" s="1" t="s">
        <v>126</v>
      </c>
      <c r="C362" t="s">
        <v>486</v>
      </c>
    </row>
    <row r="363" spans="1:3" ht="25" x14ac:dyDescent="0.25">
      <c r="A363" s="1"/>
      <c r="B363" s="1" t="s">
        <v>127</v>
      </c>
      <c r="C363" t="s">
        <v>487</v>
      </c>
    </row>
    <row r="364" spans="1:3" ht="25" x14ac:dyDescent="0.25">
      <c r="A364" s="1"/>
      <c r="B364" s="1" t="s">
        <v>128</v>
      </c>
      <c r="C364" t="s">
        <v>488</v>
      </c>
    </row>
    <row r="365" spans="1:3" ht="25" x14ac:dyDescent="0.25">
      <c r="A365" s="1"/>
      <c r="B365" s="1" t="s">
        <v>129</v>
      </c>
      <c r="C365" t="s">
        <v>489</v>
      </c>
    </row>
    <row r="366" spans="1:3" ht="25" x14ac:dyDescent="0.25">
      <c r="A366" s="1"/>
      <c r="B366" s="1" t="s">
        <v>130</v>
      </c>
      <c r="C366" t="s">
        <v>490</v>
      </c>
    </row>
    <row r="367" spans="1:3" ht="25" x14ac:dyDescent="0.25">
      <c r="A367" s="1" t="s">
        <v>26</v>
      </c>
      <c r="B367" s="1" t="s">
        <v>131</v>
      </c>
      <c r="C367" t="s">
        <v>491</v>
      </c>
    </row>
    <row r="368" spans="1:3" ht="25" x14ac:dyDescent="0.25">
      <c r="A368" s="1"/>
      <c r="B368" s="1" t="s">
        <v>132</v>
      </c>
      <c r="C368" t="s">
        <v>492</v>
      </c>
    </row>
    <row r="369" spans="1:3" ht="25" x14ac:dyDescent="0.25">
      <c r="A369" s="1"/>
      <c r="B369" s="1" t="s">
        <v>118</v>
      </c>
      <c r="C369" t="s">
        <v>493</v>
      </c>
    </row>
    <row r="370" spans="1:3" ht="25" x14ac:dyDescent="0.25">
      <c r="A370" s="1"/>
      <c r="B370" s="1" t="s">
        <v>119</v>
      </c>
      <c r="C370" t="s">
        <v>494</v>
      </c>
    </row>
    <row r="371" spans="1:3" ht="25" x14ac:dyDescent="0.25">
      <c r="A371" s="1"/>
      <c r="B371" s="1" t="s">
        <v>120</v>
      </c>
      <c r="C371" t="s">
        <v>495</v>
      </c>
    </row>
    <row r="372" spans="1:3" ht="25" x14ac:dyDescent="0.25">
      <c r="A372" s="1"/>
      <c r="B372" s="1" t="s">
        <v>121</v>
      </c>
      <c r="C372" t="s">
        <v>496</v>
      </c>
    </row>
    <row r="373" spans="1:3" ht="25" x14ac:dyDescent="0.25">
      <c r="A373" s="1"/>
      <c r="B373" s="1" t="s">
        <v>122</v>
      </c>
      <c r="C373" t="s">
        <v>227</v>
      </c>
    </row>
    <row r="374" spans="1:3" ht="25" x14ac:dyDescent="0.25">
      <c r="A374" s="1"/>
      <c r="B374" s="1" t="s">
        <v>123</v>
      </c>
      <c r="C374" t="s">
        <v>77</v>
      </c>
    </row>
    <row r="375" spans="1:3" ht="25" x14ac:dyDescent="0.25">
      <c r="A375" s="1"/>
      <c r="B375" s="1" t="s">
        <v>124</v>
      </c>
      <c r="C375" t="s">
        <v>497</v>
      </c>
    </row>
    <row r="376" spans="1:3" ht="25" x14ac:dyDescent="0.25">
      <c r="A376" s="1"/>
      <c r="B376" s="1" t="s">
        <v>58</v>
      </c>
      <c r="C376" t="s">
        <v>498</v>
      </c>
    </row>
    <row r="377" spans="1:3" ht="25" x14ac:dyDescent="0.25">
      <c r="A377" s="1"/>
      <c r="B377" s="1" t="s">
        <v>59</v>
      </c>
      <c r="C377" t="s">
        <v>94</v>
      </c>
    </row>
    <row r="378" spans="1:3" ht="25" x14ac:dyDescent="0.25">
      <c r="A378" s="1"/>
      <c r="B378" s="1" t="s">
        <v>60</v>
      </c>
      <c r="C378" t="s">
        <v>496</v>
      </c>
    </row>
    <row r="379" spans="1:3" ht="25" x14ac:dyDescent="0.25">
      <c r="A379" s="1"/>
      <c r="B379" s="1" t="s">
        <v>125</v>
      </c>
      <c r="C379" t="s">
        <v>221</v>
      </c>
    </row>
    <row r="380" spans="1:3" ht="25" x14ac:dyDescent="0.25">
      <c r="A380" s="1"/>
      <c r="B380" s="1" t="s">
        <v>126</v>
      </c>
      <c r="C380" t="s">
        <v>499</v>
      </c>
    </row>
    <row r="381" spans="1:3" ht="25" x14ac:dyDescent="0.25">
      <c r="A381" s="1"/>
      <c r="B381" s="1" t="s">
        <v>127</v>
      </c>
      <c r="C381" t="s">
        <v>500</v>
      </c>
    </row>
    <row r="382" spans="1:3" ht="25" x14ac:dyDescent="0.25">
      <c r="A382" s="1"/>
      <c r="B382" s="1" t="s">
        <v>128</v>
      </c>
      <c r="C382" t="s">
        <v>501</v>
      </c>
    </row>
    <row r="383" spans="1:3" ht="25" x14ac:dyDescent="0.25">
      <c r="A383" s="1"/>
      <c r="B383" s="1" t="s">
        <v>129</v>
      </c>
      <c r="C383" t="s">
        <v>502</v>
      </c>
    </row>
    <row r="384" spans="1:3" ht="25" x14ac:dyDescent="0.25">
      <c r="A384" s="1"/>
      <c r="B384" s="1" t="s">
        <v>130</v>
      </c>
      <c r="C384" t="s">
        <v>503</v>
      </c>
    </row>
    <row r="385" spans="1:3" ht="25" x14ac:dyDescent="0.25">
      <c r="A385" s="1" t="s">
        <v>34</v>
      </c>
      <c r="B385" s="1" t="s">
        <v>59</v>
      </c>
      <c r="C385" t="s">
        <v>504</v>
      </c>
    </row>
    <row r="386" spans="1:3" ht="25" x14ac:dyDescent="0.25">
      <c r="A386" s="1"/>
      <c r="B386" s="1" t="s">
        <v>60</v>
      </c>
      <c r="C386" t="s">
        <v>505</v>
      </c>
    </row>
    <row r="387" spans="1:3" ht="25" x14ac:dyDescent="0.25">
      <c r="A387" s="1"/>
      <c r="B387" s="1" t="s">
        <v>125</v>
      </c>
      <c r="C387" t="s">
        <v>506</v>
      </c>
    </row>
    <row r="388" spans="1:3" ht="25" x14ac:dyDescent="0.25">
      <c r="A388" s="1"/>
      <c r="B388" s="1" t="s">
        <v>126</v>
      </c>
      <c r="C388" t="s">
        <v>507</v>
      </c>
    </row>
    <row r="389" spans="1:3" ht="25" x14ac:dyDescent="0.25">
      <c r="A389" s="1"/>
      <c r="B389" s="1" t="s">
        <v>127</v>
      </c>
      <c r="C389" t="s">
        <v>508</v>
      </c>
    </row>
    <row r="390" spans="1:3" ht="25" x14ac:dyDescent="0.25">
      <c r="A390" s="1"/>
      <c r="B390" s="1" t="s">
        <v>128</v>
      </c>
      <c r="C390" t="s">
        <v>99</v>
      </c>
    </row>
    <row r="391" spans="1:3" ht="25" x14ac:dyDescent="0.25">
      <c r="A391" s="1"/>
      <c r="B391" s="1" t="s">
        <v>129</v>
      </c>
      <c r="C391" t="s">
        <v>509</v>
      </c>
    </row>
    <row r="392" spans="1:3" ht="25" x14ac:dyDescent="0.25">
      <c r="A392" s="1"/>
      <c r="B392" s="1" t="s">
        <v>130</v>
      </c>
      <c r="C392" t="s">
        <v>100</v>
      </c>
    </row>
    <row r="393" spans="1:3" ht="25" x14ac:dyDescent="0.25">
      <c r="A393" s="1" t="s">
        <v>38</v>
      </c>
      <c r="B393" s="1" t="s">
        <v>131</v>
      </c>
      <c r="C393" t="s">
        <v>510</v>
      </c>
    </row>
    <row r="394" spans="1:3" ht="25" x14ac:dyDescent="0.25">
      <c r="A394" s="1"/>
      <c r="B394" s="1" t="s">
        <v>132</v>
      </c>
      <c r="C394" t="s">
        <v>511</v>
      </c>
    </row>
    <row r="395" spans="1:3" ht="25" x14ac:dyDescent="0.25">
      <c r="A395" s="1"/>
      <c r="B395" s="1" t="s">
        <v>118</v>
      </c>
      <c r="C395" t="s">
        <v>512</v>
      </c>
    </row>
    <row r="396" spans="1:3" ht="25" x14ac:dyDescent="0.25">
      <c r="A396" s="1"/>
      <c r="B396" s="1" t="s">
        <v>119</v>
      </c>
      <c r="C396" t="s">
        <v>513</v>
      </c>
    </row>
    <row r="397" spans="1:3" ht="25" x14ac:dyDescent="0.25">
      <c r="A397" s="1"/>
      <c r="B397" s="1" t="s">
        <v>120</v>
      </c>
      <c r="C397" t="s">
        <v>514</v>
      </c>
    </row>
    <row r="398" spans="1:3" ht="25" x14ac:dyDescent="0.25">
      <c r="A398" s="1"/>
      <c r="B398" s="1" t="s">
        <v>121</v>
      </c>
      <c r="C398" t="s">
        <v>515</v>
      </c>
    </row>
    <row r="399" spans="1:3" ht="25" x14ac:dyDescent="0.25">
      <c r="A399" s="1"/>
      <c r="B399" s="1" t="s">
        <v>122</v>
      </c>
      <c r="C399" t="s">
        <v>220</v>
      </c>
    </row>
    <row r="400" spans="1:3" ht="25" x14ac:dyDescent="0.25">
      <c r="A400" s="1"/>
      <c r="B400" s="1" t="s">
        <v>123</v>
      </c>
      <c r="C400" t="s">
        <v>516</v>
      </c>
    </row>
    <row r="401" spans="1:3" ht="25" x14ac:dyDescent="0.25">
      <c r="A401" s="1"/>
      <c r="B401" s="1" t="s">
        <v>124</v>
      </c>
      <c r="C401" t="s">
        <v>516</v>
      </c>
    </row>
    <row r="402" spans="1:3" ht="25" x14ac:dyDescent="0.25">
      <c r="A402" s="1"/>
      <c r="B402" s="1" t="s">
        <v>58</v>
      </c>
      <c r="C402" t="s">
        <v>517</v>
      </c>
    </row>
    <row r="403" spans="1:3" ht="25" x14ac:dyDescent="0.25">
      <c r="A403" s="1"/>
      <c r="B403" s="1" t="s">
        <v>59</v>
      </c>
      <c r="C403" t="s">
        <v>518</v>
      </c>
    </row>
    <row r="404" spans="1:3" ht="25" x14ac:dyDescent="0.25">
      <c r="A404" s="1"/>
      <c r="B404" s="1" t="s">
        <v>60</v>
      </c>
      <c r="C404" t="s">
        <v>510</v>
      </c>
    </row>
    <row r="405" spans="1:3" ht="25" x14ac:dyDescent="0.25">
      <c r="A405" s="1"/>
      <c r="B405" s="1" t="s">
        <v>125</v>
      </c>
      <c r="C405" t="s">
        <v>519</v>
      </c>
    </row>
    <row r="406" spans="1:3" ht="25" x14ac:dyDescent="0.25">
      <c r="A406" s="1"/>
      <c r="B406" s="1" t="s">
        <v>126</v>
      </c>
      <c r="C406" t="s">
        <v>520</v>
      </c>
    </row>
    <row r="407" spans="1:3" ht="25" x14ac:dyDescent="0.25">
      <c r="A407" s="1"/>
      <c r="B407" s="1" t="s">
        <v>127</v>
      </c>
      <c r="C407" t="s">
        <v>521</v>
      </c>
    </row>
    <row r="408" spans="1:3" ht="25" x14ac:dyDescent="0.25">
      <c r="A408" s="1"/>
      <c r="B408" s="1" t="s">
        <v>128</v>
      </c>
      <c r="C408" t="s">
        <v>522</v>
      </c>
    </row>
    <row r="409" spans="1:3" ht="25" x14ac:dyDescent="0.25">
      <c r="A409" s="1"/>
      <c r="B409" s="1" t="s">
        <v>129</v>
      </c>
      <c r="C409" t="s">
        <v>523</v>
      </c>
    </row>
    <row r="410" spans="1:3" ht="25" x14ac:dyDescent="0.25">
      <c r="A410" s="1"/>
      <c r="B410" s="1" t="s">
        <v>130</v>
      </c>
      <c r="C410" t="s">
        <v>519</v>
      </c>
    </row>
    <row r="411" spans="1:3" ht="25" x14ac:dyDescent="0.25">
      <c r="A411" s="1" t="s">
        <v>13</v>
      </c>
      <c r="B411" s="1" t="s">
        <v>131</v>
      </c>
      <c r="C411" t="s">
        <v>524</v>
      </c>
    </row>
    <row r="412" spans="1:3" ht="25" x14ac:dyDescent="0.25">
      <c r="A412" s="1"/>
      <c r="B412" s="1" t="s">
        <v>132</v>
      </c>
      <c r="C412" t="s">
        <v>525</v>
      </c>
    </row>
    <row r="413" spans="1:3" ht="25" x14ac:dyDescent="0.25">
      <c r="A413" s="1"/>
      <c r="B413" s="1" t="s">
        <v>118</v>
      </c>
      <c r="C413" t="s">
        <v>526</v>
      </c>
    </row>
    <row r="414" spans="1:3" ht="25" x14ac:dyDescent="0.25">
      <c r="A414" s="1"/>
      <c r="B414" s="1" t="s">
        <v>119</v>
      </c>
      <c r="C414" t="s">
        <v>527</v>
      </c>
    </row>
    <row r="415" spans="1:3" ht="25" x14ac:dyDescent="0.25">
      <c r="A415" s="1"/>
      <c r="B415" s="1" t="s">
        <v>120</v>
      </c>
      <c r="C415" t="s">
        <v>222</v>
      </c>
    </row>
    <row r="416" spans="1:3" ht="25" x14ac:dyDescent="0.25">
      <c r="A416" s="1"/>
      <c r="B416" s="1" t="s">
        <v>121</v>
      </c>
      <c r="C416" t="s">
        <v>528</v>
      </c>
    </row>
    <row r="417" spans="1:3" ht="25" x14ac:dyDescent="0.25">
      <c r="A417" s="1"/>
      <c r="B417" s="1" t="s">
        <v>122</v>
      </c>
      <c r="C417" t="s">
        <v>529</v>
      </c>
    </row>
    <row r="418" spans="1:3" ht="25" x14ac:dyDescent="0.25">
      <c r="A418" s="1"/>
      <c r="B418" s="1" t="s">
        <v>123</v>
      </c>
      <c r="C418" t="s">
        <v>530</v>
      </c>
    </row>
    <row r="419" spans="1:3" ht="25" x14ac:dyDescent="0.25">
      <c r="A419" s="1"/>
      <c r="B419" s="1" t="s">
        <v>124</v>
      </c>
      <c r="C419" t="s">
        <v>531</v>
      </c>
    </row>
    <row r="420" spans="1:3" ht="25" x14ac:dyDescent="0.25">
      <c r="A420" s="1"/>
      <c r="B420" s="1" t="s">
        <v>58</v>
      </c>
      <c r="C420" t="s">
        <v>532</v>
      </c>
    </row>
    <row r="421" spans="1:3" ht="25" x14ac:dyDescent="0.25">
      <c r="A421" s="1"/>
      <c r="B421" s="1" t="s">
        <v>59</v>
      </c>
      <c r="C421" t="s">
        <v>533</v>
      </c>
    </row>
    <row r="422" spans="1:3" ht="25" x14ac:dyDescent="0.25">
      <c r="A422" s="1"/>
      <c r="B422" s="1" t="s">
        <v>60</v>
      </c>
      <c r="C422" t="s">
        <v>534</v>
      </c>
    </row>
    <row r="423" spans="1:3" ht="25" x14ac:dyDescent="0.25">
      <c r="A423" s="1"/>
      <c r="B423" s="1" t="s">
        <v>125</v>
      </c>
      <c r="C423" t="s">
        <v>535</v>
      </c>
    </row>
    <row r="424" spans="1:3" ht="25" x14ac:dyDescent="0.25">
      <c r="A424" s="1"/>
      <c r="B424" s="1" t="s">
        <v>126</v>
      </c>
      <c r="C424" t="s">
        <v>403</v>
      </c>
    </row>
    <row r="425" spans="1:3" ht="25" x14ac:dyDescent="0.25">
      <c r="A425" s="1"/>
      <c r="B425" s="1" t="s">
        <v>127</v>
      </c>
      <c r="C425" t="s">
        <v>536</v>
      </c>
    </row>
    <row r="426" spans="1:3" ht="25" x14ac:dyDescent="0.25">
      <c r="A426" s="1"/>
      <c r="B426" s="1" t="s">
        <v>128</v>
      </c>
      <c r="C426" t="s">
        <v>84</v>
      </c>
    </row>
    <row r="427" spans="1:3" ht="25" x14ac:dyDescent="0.25">
      <c r="A427" s="1"/>
      <c r="B427" s="1" t="s">
        <v>129</v>
      </c>
      <c r="C427" t="s">
        <v>537</v>
      </c>
    </row>
    <row r="428" spans="1:3" ht="25" x14ac:dyDescent="0.25">
      <c r="A428" s="1"/>
      <c r="B428" s="1" t="s">
        <v>130</v>
      </c>
      <c r="C428" t="s">
        <v>78</v>
      </c>
    </row>
    <row r="429" spans="1:3" ht="25" x14ac:dyDescent="0.25">
      <c r="A429" s="1" t="s">
        <v>48</v>
      </c>
      <c r="B429" s="1" t="s">
        <v>131</v>
      </c>
      <c r="C429" t="s">
        <v>538</v>
      </c>
    </row>
    <row r="430" spans="1:3" ht="25" x14ac:dyDescent="0.25">
      <c r="A430" s="1"/>
      <c r="B430" s="1" t="s">
        <v>132</v>
      </c>
      <c r="C430" t="s">
        <v>539</v>
      </c>
    </row>
    <row r="431" spans="1:3" ht="25" x14ac:dyDescent="0.25">
      <c r="A431" s="1"/>
      <c r="B431" s="1" t="s">
        <v>118</v>
      </c>
      <c r="C431" t="s">
        <v>540</v>
      </c>
    </row>
    <row r="432" spans="1:3" ht="25" x14ac:dyDescent="0.25">
      <c r="A432" s="1"/>
      <c r="B432" s="1" t="s">
        <v>119</v>
      </c>
      <c r="C432" t="s">
        <v>541</v>
      </c>
    </row>
    <row r="433" spans="1:3" ht="25" x14ac:dyDescent="0.25">
      <c r="A433" s="1"/>
      <c r="B433" s="1" t="s">
        <v>120</v>
      </c>
      <c r="C433" t="s">
        <v>542</v>
      </c>
    </row>
    <row r="434" spans="1:3" ht="25" x14ac:dyDescent="0.25">
      <c r="A434" s="1"/>
      <c r="B434" s="1" t="s">
        <v>121</v>
      </c>
      <c r="C434" t="s">
        <v>543</v>
      </c>
    </row>
    <row r="435" spans="1:3" ht="25" x14ac:dyDescent="0.25">
      <c r="A435" s="1"/>
      <c r="B435" s="1" t="s">
        <v>122</v>
      </c>
      <c r="C435" t="s">
        <v>544</v>
      </c>
    </row>
    <row r="436" spans="1:3" ht="25" x14ac:dyDescent="0.25">
      <c r="A436" s="1"/>
      <c r="B436" s="1" t="s">
        <v>123</v>
      </c>
      <c r="C436" t="s">
        <v>545</v>
      </c>
    </row>
    <row r="437" spans="1:3" ht="25" x14ac:dyDescent="0.25">
      <c r="A437" s="1"/>
      <c r="B437" s="1" t="s">
        <v>124</v>
      </c>
      <c r="C437" t="s">
        <v>546</v>
      </c>
    </row>
    <row r="438" spans="1:3" ht="25" x14ac:dyDescent="0.25">
      <c r="A438" s="1"/>
      <c r="B438" s="1" t="s">
        <v>58</v>
      </c>
      <c r="C438" t="s">
        <v>544</v>
      </c>
    </row>
    <row r="439" spans="1:3" ht="25" x14ac:dyDescent="0.25">
      <c r="A439" s="1"/>
      <c r="B439" s="1" t="s">
        <v>59</v>
      </c>
      <c r="C439" t="s">
        <v>538</v>
      </c>
    </row>
    <row r="440" spans="1:3" ht="25" x14ac:dyDescent="0.25">
      <c r="A440" s="1"/>
      <c r="B440" s="1" t="s">
        <v>60</v>
      </c>
      <c r="C440" t="s">
        <v>543</v>
      </c>
    </row>
    <row r="441" spans="1:3" ht="25" x14ac:dyDescent="0.25">
      <c r="A441" s="1"/>
      <c r="B441" s="1" t="s">
        <v>125</v>
      </c>
      <c r="C441" t="s">
        <v>547</v>
      </c>
    </row>
    <row r="442" spans="1:3" ht="25" x14ac:dyDescent="0.25">
      <c r="A442" s="1"/>
      <c r="B442" s="1" t="s">
        <v>126</v>
      </c>
      <c r="C442" t="s">
        <v>548</v>
      </c>
    </row>
    <row r="443" spans="1:3" ht="25" x14ac:dyDescent="0.25">
      <c r="A443" s="1"/>
      <c r="B443" s="1" t="s">
        <v>127</v>
      </c>
      <c r="C443" t="s">
        <v>549</v>
      </c>
    </row>
    <row r="444" spans="1:3" ht="25" x14ac:dyDescent="0.25">
      <c r="A444" s="1"/>
      <c r="B444" s="1" t="s">
        <v>128</v>
      </c>
      <c r="C444" t="s">
        <v>550</v>
      </c>
    </row>
    <row r="445" spans="1:3" ht="25" x14ac:dyDescent="0.25">
      <c r="A445" s="1"/>
      <c r="B445" s="1" t="s">
        <v>129</v>
      </c>
      <c r="C445" t="s">
        <v>551</v>
      </c>
    </row>
    <row r="446" spans="1:3" ht="25" x14ac:dyDescent="0.25">
      <c r="A446" s="1"/>
      <c r="B446" s="1" t="s">
        <v>130</v>
      </c>
      <c r="C446" t="s">
        <v>552</v>
      </c>
    </row>
    <row r="447" spans="1:3" ht="25" x14ac:dyDescent="0.25">
      <c r="A447" s="1" t="s">
        <v>24</v>
      </c>
      <c r="B447" s="1" t="s">
        <v>131</v>
      </c>
      <c r="C447" t="s">
        <v>553</v>
      </c>
    </row>
    <row r="448" spans="1:3" ht="25" x14ac:dyDescent="0.25">
      <c r="A448" s="1"/>
      <c r="B448" s="1" t="s">
        <v>132</v>
      </c>
      <c r="C448" t="s">
        <v>554</v>
      </c>
    </row>
    <row r="449" spans="1:3" ht="25" x14ac:dyDescent="0.25">
      <c r="A449" s="1"/>
      <c r="B449" s="1" t="s">
        <v>118</v>
      </c>
      <c r="C449" t="s">
        <v>554</v>
      </c>
    </row>
    <row r="450" spans="1:3" ht="25" x14ac:dyDescent="0.25">
      <c r="A450" s="1"/>
      <c r="B450" s="1" t="s">
        <v>119</v>
      </c>
      <c r="C450" t="s">
        <v>555</v>
      </c>
    </row>
    <row r="451" spans="1:3" ht="25" x14ac:dyDescent="0.25">
      <c r="A451" s="1"/>
      <c r="B451" s="1" t="s">
        <v>120</v>
      </c>
      <c r="C451" t="s">
        <v>556</v>
      </c>
    </row>
    <row r="452" spans="1:3" ht="25" x14ac:dyDescent="0.25">
      <c r="A452" s="1"/>
      <c r="B452" s="1" t="s">
        <v>121</v>
      </c>
      <c r="C452" t="s">
        <v>557</v>
      </c>
    </row>
    <row r="453" spans="1:3" ht="25" x14ac:dyDescent="0.25">
      <c r="A453" s="1"/>
      <c r="B453" s="1" t="s">
        <v>122</v>
      </c>
      <c r="C453" t="s">
        <v>558</v>
      </c>
    </row>
    <row r="454" spans="1:3" ht="25" x14ac:dyDescent="0.25">
      <c r="A454" s="1"/>
      <c r="B454" s="1" t="s">
        <v>123</v>
      </c>
      <c r="C454" t="s">
        <v>559</v>
      </c>
    </row>
    <row r="455" spans="1:3" ht="25" x14ac:dyDescent="0.25">
      <c r="A455" s="1"/>
      <c r="B455" s="1" t="s">
        <v>124</v>
      </c>
      <c r="C455" t="s">
        <v>560</v>
      </c>
    </row>
    <row r="456" spans="1:3" ht="25" x14ac:dyDescent="0.25">
      <c r="A456" s="1"/>
      <c r="B456" s="1" t="s">
        <v>58</v>
      </c>
      <c r="C456" t="s">
        <v>561</v>
      </c>
    </row>
    <row r="457" spans="1:3" ht="25" x14ac:dyDescent="0.25">
      <c r="A457" s="1"/>
      <c r="B457" s="1" t="s">
        <v>59</v>
      </c>
      <c r="C457" t="s">
        <v>562</v>
      </c>
    </row>
    <row r="458" spans="1:3" ht="25" x14ac:dyDescent="0.25">
      <c r="A458" s="1"/>
      <c r="B458" s="1" t="s">
        <v>60</v>
      </c>
      <c r="C458" t="s">
        <v>563</v>
      </c>
    </row>
    <row r="459" spans="1:3" ht="25" x14ac:dyDescent="0.25">
      <c r="A459" s="1"/>
      <c r="B459" s="1" t="s">
        <v>125</v>
      </c>
      <c r="C459" t="s">
        <v>564</v>
      </c>
    </row>
    <row r="460" spans="1:3" ht="25" x14ac:dyDescent="0.25">
      <c r="A460" s="1"/>
      <c r="B460" s="1" t="s">
        <v>126</v>
      </c>
      <c r="C460" t="s">
        <v>565</v>
      </c>
    </row>
    <row r="461" spans="1:3" ht="25" x14ac:dyDescent="0.25">
      <c r="A461" s="1"/>
      <c r="B461" s="1" t="s">
        <v>127</v>
      </c>
      <c r="C461" t="s">
        <v>566</v>
      </c>
    </row>
    <row r="462" spans="1:3" ht="25" x14ac:dyDescent="0.25">
      <c r="A462" s="1"/>
      <c r="B462" s="1" t="s">
        <v>128</v>
      </c>
      <c r="C462" t="s">
        <v>93</v>
      </c>
    </row>
    <row r="463" spans="1:3" ht="25" x14ac:dyDescent="0.25">
      <c r="A463" s="1"/>
      <c r="B463" s="1" t="s">
        <v>129</v>
      </c>
      <c r="C463" t="s">
        <v>111</v>
      </c>
    </row>
    <row r="464" spans="1:3" ht="25" x14ac:dyDescent="0.25">
      <c r="A464" s="1"/>
      <c r="B464" s="1" t="s">
        <v>130</v>
      </c>
      <c r="C464" t="s">
        <v>199</v>
      </c>
    </row>
    <row r="465" spans="1:3" ht="25" x14ac:dyDescent="0.25">
      <c r="A465" s="1" t="s">
        <v>52</v>
      </c>
      <c r="B465" s="1" t="s">
        <v>131</v>
      </c>
      <c r="C465" t="s">
        <v>567</v>
      </c>
    </row>
    <row r="466" spans="1:3" ht="25" x14ac:dyDescent="0.25">
      <c r="A466" s="1"/>
      <c r="B466" s="1" t="s">
        <v>132</v>
      </c>
      <c r="C466" t="s">
        <v>568</v>
      </c>
    </row>
    <row r="467" spans="1:3" ht="25" x14ac:dyDescent="0.25">
      <c r="A467" s="1"/>
      <c r="B467" s="1" t="s">
        <v>118</v>
      </c>
      <c r="C467" t="s">
        <v>569</v>
      </c>
    </row>
    <row r="468" spans="1:3" ht="25" x14ac:dyDescent="0.25">
      <c r="A468" s="1"/>
      <c r="B468" s="1" t="s">
        <v>119</v>
      </c>
      <c r="C468" t="s">
        <v>570</v>
      </c>
    </row>
    <row r="469" spans="1:3" ht="25" x14ac:dyDescent="0.25">
      <c r="A469" s="1"/>
      <c r="B469" s="1" t="s">
        <v>120</v>
      </c>
      <c r="C469" t="s">
        <v>571</v>
      </c>
    </row>
    <row r="470" spans="1:3" ht="25" x14ac:dyDescent="0.25">
      <c r="A470" s="1"/>
      <c r="B470" s="1" t="s">
        <v>121</v>
      </c>
      <c r="C470" t="s">
        <v>572</v>
      </c>
    </row>
    <row r="471" spans="1:3" ht="25" x14ac:dyDescent="0.25">
      <c r="A471" s="1"/>
      <c r="B471" s="1" t="s">
        <v>122</v>
      </c>
      <c r="C471" t="s">
        <v>573</v>
      </c>
    </row>
    <row r="472" spans="1:3" ht="25" x14ac:dyDescent="0.25">
      <c r="A472" s="1"/>
      <c r="B472" s="1" t="s">
        <v>123</v>
      </c>
      <c r="C472" t="s">
        <v>574</v>
      </c>
    </row>
    <row r="473" spans="1:3" ht="25" x14ac:dyDescent="0.25">
      <c r="A473" s="1"/>
      <c r="B473" s="1" t="s">
        <v>124</v>
      </c>
      <c r="C473" t="s">
        <v>575</v>
      </c>
    </row>
    <row r="474" spans="1:3" ht="25" x14ac:dyDescent="0.25">
      <c r="A474" s="1"/>
      <c r="B474" s="1" t="s">
        <v>58</v>
      </c>
      <c r="C474" t="s">
        <v>576</v>
      </c>
    </row>
    <row r="475" spans="1:3" ht="25" x14ac:dyDescent="0.25">
      <c r="A475" s="1"/>
      <c r="B475" s="1" t="s">
        <v>59</v>
      </c>
      <c r="C475" t="s">
        <v>577</v>
      </c>
    </row>
    <row r="476" spans="1:3" ht="25" x14ac:dyDescent="0.25">
      <c r="A476" s="1"/>
      <c r="B476" s="1" t="s">
        <v>60</v>
      </c>
      <c r="C476" t="s">
        <v>578</v>
      </c>
    </row>
    <row r="477" spans="1:3" ht="25" x14ac:dyDescent="0.25">
      <c r="A477" s="1"/>
      <c r="B477" s="1" t="s">
        <v>125</v>
      </c>
      <c r="C477" t="s">
        <v>579</v>
      </c>
    </row>
    <row r="478" spans="1:3" ht="25" x14ac:dyDescent="0.25">
      <c r="A478" s="1"/>
      <c r="B478" s="1" t="s">
        <v>126</v>
      </c>
      <c r="C478" t="s">
        <v>580</v>
      </c>
    </row>
    <row r="479" spans="1:3" ht="25" x14ac:dyDescent="0.25">
      <c r="A479" s="1"/>
      <c r="B479" s="1" t="s">
        <v>127</v>
      </c>
      <c r="C479" t="s">
        <v>581</v>
      </c>
    </row>
    <row r="480" spans="1:3" ht="25" x14ac:dyDescent="0.25">
      <c r="A480" s="1"/>
      <c r="B480" s="1" t="s">
        <v>128</v>
      </c>
      <c r="C480" t="s">
        <v>582</v>
      </c>
    </row>
    <row r="481" spans="1:3" ht="25" x14ac:dyDescent="0.25">
      <c r="A481" s="1"/>
      <c r="B481" s="1" t="s">
        <v>129</v>
      </c>
      <c r="C481" t="s">
        <v>583</v>
      </c>
    </row>
    <row r="482" spans="1:3" ht="25" x14ac:dyDescent="0.25">
      <c r="A482" s="1"/>
      <c r="B482" s="1" t="s">
        <v>130</v>
      </c>
      <c r="C482" t="s">
        <v>584</v>
      </c>
    </row>
    <row r="483" spans="1:3" ht="25" x14ac:dyDescent="0.25">
      <c r="A483" s="1" t="s">
        <v>37</v>
      </c>
      <c r="B483" s="1" t="s">
        <v>131</v>
      </c>
      <c r="C483" t="s">
        <v>585</v>
      </c>
    </row>
    <row r="484" spans="1:3" ht="25" x14ac:dyDescent="0.25">
      <c r="A484" s="1"/>
      <c r="B484" s="1" t="s">
        <v>132</v>
      </c>
      <c r="C484" t="s">
        <v>586</v>
      </c>
    </row>
    <row r="485" spans="1:3" ht="25" x14ac:dyDescent="0.25">
      <c r="A485" s="1"/>
      <c r="B485" s="1" t="s">
        <v>118</v>
      </c>
      <c r="C485" t="s">
        <v>587</v>
      </c>
    </row>
    <row r="486" spans="1:3" ht="25" x14ac:dyDescent="0.25">
      <c r="A486" s="1"/>
      <c r="B486" s="1" t="s">
        <v>119</v>
      </c>
      <c r="C486" t="s">
        <v>110</v>
      </c>
    </row>
    <row r="487" spans="1:3" ht="25" x14ac:dyDescent="0.25">
      <c r="A487" s="1"/>
      <c r="B487" s="1" t="s">
        <v>120</v>
      </c>
      <c r="C487" t="s">
        <v>588</v>
      </c>
    </row>
    <row r="488" spans="1:3" ht="25" x14ac:dyDescent="0.25">
      <c r="A488" s="1"/>
      <c r="B488" s="1" t="s">
        <v>121</v>
      </c>
      <c r="C488" t="s">
        <v>108</v>
      </c>
    </row>
    <row r="489" spans="1:3" ht="25" x14ac:dyDescent="0.25">
      <c r="A489" s="1"/>
      <c r="B489" s="1" t="s">
        <v>122</v>
      </c>
      <c r="C489" t="s">
        <v>274</v>
      </c>
    </row>
    <row r="490" spans="1:3" ht="25" x14ac:dyDescent="0.25">
      <c r="A490" s="1"/>
      <c r="B490" s="1" t="s">
        <v>123</v>
      </c>
      <c r="C490" t="s">
        <v>589</v>
      </c>
    </row>
    <row r="491" spans="1:3" ht="25" x14ac:dyDescent="0.25">
      <c r="A491" s="1"/>
      <c r="B491" s="1" t="s">
        <v>124</v>
      </c>
      <c r="C491" t="s">
        <v>204</v>
      </c>
    </row>
    <row r="492" spans="1:3" ht="25" x14ac:dyDescent="0.25">
      <c r="A492" s="1"/>
      <c r="B492" s="1" t="s">
        <v>58</v>
      </c>
      <c r="C492" t="s">
        <v>264</v>
      </c>
    </row>
    <row r="493" spans="1:3" ht="25" x14ac:dyDescent="0.25">
      <c r="A493" s="1"/>
      <c r="B493" s="1" t="s">
        <v>59</v>
      </c>
      <c r="C493" t="s">
        <v>590</v>
      </c>
    </row>
    <row r="494" spans="1:3" ht="25" x14ac:dyDescent="0.25">
      <c r="A494" s="1"/>
      <c r="B494" s="1" t="s">
        <v>60</v>
      </c>
      <c r="C494" t="s">
        <v>108</v>
      </c>
    </row>
    <row r="495" spans="1:3" ht="25" x14ac:dyDescent="0.25">
      <c r="A495" s="1"/>
      <c r="B495" s="1" t="s">
        <v>127</v>
      </c>
      <c r="C495" t="s">
        <v>591</v>
      </c>
    </row>
    <row r="496" spans="1:3" ht="25" x14ac:dyDescent="0.25">
      <c r="A496" s="1"/>
      <c r="B496" s="1" t="s">
        <v>128</v>
      </c>
      <c r="C496" t="s">
        <v>592</v>
      </c>
    </row>
    <row r="497" spans="1:3" ht="25" x14ac:dyDescent="0.25">
      <c r="A497" s="1"/>
      <c r="B497" s="1" t="s">
        <v>129</v>
      </c>
      <c r="C497" t="s">
        <v>593</v>
      </c>
    </row>
    <row r="498" spans="1:3" ht="25" x14ac:dyDescent="0.25">
      <c r="A498" s="1"/>
      <c r="B498" s="1" t="s">
        <v>130</v>
      </c>
      <c r="C498" t="s">
        <v>594</v>
      </c>
    </row>
    <row r="499" spans="1:3" ht="25" x14ac:dyDescent="0.25">
      <c r="A499" s="1" t="s">
        <v>11</v>
      </c>
      <c r="B499" s="1" t="s">
        <v>131</v>
      </c>
      <c r="C499" t="s">
        <v>595</v>
      </c>
    </row>
    <row r="500" spans="1:3" ht="25" x14ac:dyDescent="0.25">
      <c r="A500" s="1"/>
      <c r="B500" s="1" t="s">
        <v>132</v>
      </c>
      <c r="C500" t="s">
        <v>596</v>
      </c>
    </row>
    <row r="501" spans="1:3" ht="25" x14ac:dyDescent="0.25">
      <c r="A501" s="1"/>
      <c r="B501" s="1" t="s">
        <v>118</v>
      </c>
      <c r="C501" t="s">
        <v>597</v>
      </c>
    </row>
    <row r="502" spans="1:3" ht="25" x14ac:dyDescent="0.25">
      <c r="A502" s="1"/>
      <c r="B502" s="1" t="s">
        <v>119</v>
      </c>
      <c r="C502" t="s">
        <v>534</v>
      </c>
    </row>
    <row r="503" spans="1:3" ht="25" x14ac:dyDescent="0.25">
      <c r="A503" s="1"/>
      <c r="B503" s="1" t="s">
        <v>120</v>
      </c>
      <c r="C503" t="s">
        <v>598</v>
      </c>
    </row>
    <row r="504" spans="1:3" ht="25" x14ac:dyDescent="0.25">
      <c r="A504" s="1"/>
      <c r="B504" s="1" t="s">
        <v>121</v>
      </c>
      <c r="C504" t="s">
        <v>599</v>
      </c>
    </row>
    <row r="505" spans="1:3" ht="25" x14ac:dyDescent="0.25">
      <c r="A505" s="1"/>
      <c r="B505" s="1" t="s">
        <v>122</v>
      </c>
      <c r="C505" t="s">
        <v>600</v>
      </c>
    </row>
    <row r="506" spans="1:3" ht="25" x14ac:dyDescent="0.25">
      <c r="A506" s="1"/>
      <c r="B506" s="1" t="s">
        <v>123</v>
      </c>
      <c r="C506" t="s">
        <v>601</v>
      </c>
    </row>
    <row r="507" spans="1:3" ht="25" x14ac:dyDescent="0.25">
      <c r="A507" s="1"/>
      <c r="B507" s="1" t="s">
        <v>124</v>
      </c>
      <c r="C507" t="s">
        <v>602</v>
      </c>
    </row>
    <row r="508" spans="1:3" ht="25" x14ac:dyDescent="0.25">
      <c r="A508" s="1"/>
      <c r="B508" s="1" t="s">
        <v>58</v>
      </c>
      <c r="C508" t="s">
        <v>531</v>
      </c>
    </row>
    <row r="509" spans="1:3" ht="25" x14ac:dyDescent="0.25">
      <c r="A509" s="1"/>
      <c r="B509" s="1" t="s">
        <v>59</v>
      </c>
      <c r="C509" t="s">
        <v>603</v>
      </c>
    </row>
    <row r="510" spans="1:3" ht="25" x14ac:dyDescent="0.25">
      <c r="A510" s="1"/>
      <c r="B510" s="1" t="s">
        <v>60</v>
      </c>
      <c r="C510" t="s">
        <v>599</v>
      </c>
    </row>
    <row r="511" spans="1:3" ht="25" x14ac:dyDescent="0.25">
      <c r="A511" s="1"/>
      <c r="B511" s="1" t="s">
        <v>125</v>
      </c>
      <c r="C511" t="s">
        <v>604</v>
      </c>
    </row>
    <row r="512" spans="1:3" ht="25" x14ac:dyDescent="0.25">
      <c r="A512" s="1"/>
      <c r="B512" s="1" t="s">
        <v>126</v>
      </c>
      <c r="C512" t="s">
        <v>598</v>
      </c>
    </row>
    <row r="513" spans="1:3" ht="25" x14ac:dyDescent="0.25">
      <c r="A513" s="1"/>
      <c r="B513" s="1" t="s">
        <v>127</v>
      </c>
      <c r="C513" t="s">
        <v>471</v>
      </c>
    </row>
    <row r="514" spans="1:3" ht="25" x14ac:dyDescent="0.25">
      <c r="A514" s="1"/>
      <c r="B514" s="1" t="s">
        <v>128</v>
      </c>
      <c r="C514" t="s">
        <v>312</v>
      </c>
    </row>
    <row r="515" spans="1:3" ht="25" x14ac:dyDescent="0.25">
      <c r="A515" s="1"/>
      <c r="B515" s="1" t="s">
        <v>129</v>
      </c>
      <c r="C515" t="s">
        <v>596</v>
      </c>
    </row>
    <row r="516" spans="1:3" ht="25" x14ac:dyDescent="0.25">
      <c r="A516" s="1"/>
      <c r="B516" s="1" t="s">
        <v>130</v>
      </c>
      <c r="C516" t="s">
        <v>605</v>
      </c>
    </row>
    <row r="517" spans="1:3" ht="25" x14ac:dyDescent="0.25">
      <c r="A517" s="1" t="s">
        <v>7</v>
      </c>
      <c r="B517" s="1" t="s">
        <v>131</v>
      </c>
      <c r="C517" t="s">
        <v>606</v>
      </c>
    </row>
    <row r="518" spans="1:3" ht="25" x14ac:dyDescent="0.25">
      <c r="A518" s="1"/>
      <c r="B518" s="1" t="s">
        <v>132</v>
      </c>
      <c r="C518" t="s">
        <v>607</v>
      </c>
    </row>
    <row r="519" spans="1:3" ht="25" x14ac:dyDescent="0.25">
      <c r="A519" s="1"/>
      <c r="B519" s="1" t="s">
        <v>118</v>
      </c>
      <c r="C519" t="s">
        <v>608</v>
      </c>
    </row>
    <row r="520" spans="1:3" ht="25" x14ac:dyDescent="0.25">
      <c r="A520" s="1"/>
      <c r="B520" s="1" t="s">
        <v>119</v>
      </c>
      <c r="C520" t="s">
        <v>609</v>
      </c>
    </row>
    <row r="521" spans="1:3" ht="25" x14ac:dyDescent="0.25">
      <c r="A521" s="1"/>
      <c r="B521" s="1" t="s">
        <v>120</v>
      </c>
      <c r="C521" t="s">
        <v>610</v>
      </c>
    </row>
    <row r="522" spans="1:3" ht="25" x14ac:dyDescent="0.25">
      <c r="A522" s="1"/>
      <c r="B522" s="1" t="s">
        <v>121</v>
      </c>
      <c r="C522" t="s">
        <v>611</v>
      </c>
    </row>
    <row r="523" spans="1:3" ht="25" x14ac:dyDescent="0.25">
      <c r="A523" s="1"/>
      <c r="B523" s="1" t="s">
        <v>122</v>
      </c>
      <c r="C523" t="s">
        <v>612</v>
      </c>
    </row>
    <row r="524" spans="1:3" ht="25" x14ac:dyDescent="0.25">
      <c r="A524" s="1"/>
      <c r="B524" s="1" t="s">
        <v>123</v>
      </c>
      <c r="C524" t="s">
        <v>318</v>
      </c>
    </row>
    <row r="525" spans="1:3" ht="25" x14ac:dyDescent="0.25">
      <c r="A525" s="1"/>
      <c r="B525" s="1" t="s">
        <v>124</v>
      </c>
      <c r="C525" t="s">
        <v>613</v>
      </c>
    </row>
    <row r="526" spans="1:3" ht="25" x14ac:dyDescent="0.25">
      <c r="A526" s="1"/>
      <c r="B526" s="1" t="s">
        <v>58</v>
      </c>
      <c r="C526" t="s">
        <v>614</v>
      </c>
    </row>
    <row r="527" spans="1:3" ht="25" x14ac:dyDescent="0.25">
      <c r="A527" s="1"/>
      <c r="B527" s="1" t="s">
        <v>59</v>
      </c>
      <c r="C527" t="s">
        <v>408</v>
      </c>
    </row>
    <row r="528" spans="1:3" ht="25" x14ac:dyDescent="0.25">
      <c r="A528" s="1"/>
      <c r="B528" s="1" t="s">
        <v>60</v>
      </c>
      <c r="C528" t="s">
        <v>615</v>
      </c>
    </row>
    <row r="529" spans="1:3" ht="25" x14ac:dyDescent="0.25">
      <c r="A529" s="1"/>
      <c r="B529" s="1" t="s">
        <v>125</v>
      </c>
      <c r="C529" t="s">
        <v>616</v>
      </c>
    </row>
    <row r="530" spans="1:3" ht="25" x14ac:dyDescent="0.25">
      <c r="A530" s="1"/>
      <c r="B530" s="1" t="s">
        <v>126</v>
      </c>
      <c r="C530" t="s">
        <v>617</v>
      </c>
    </row>
    <row r="531" spans="1:3" ht="25" x14ac:dyDescent="0.25">
      <c r="A531" s="1"/>
      <c r="B531" s="1" t="s">
        <v>127</v>
      </c>
      <c r="C531" t="s">
        <v>618</v>
      </c>
    </row>
    <row r="532" spans="1:3" ht="25" x14ac:dyDescent="0.25">
      <c r="A532" s="1"/>
      <c r="B532" s="1" t="s">
        <v>128</v>
      </c>
      <c r="C532" t="s">
        <v>619</v>
      </c>
    </row>
    <row r="533" spans="1:3" ht="25" x14ac:dyDescent="0.25">
      <c r="A533" s="1"/>
      <c r="B533" s="1" t="s">
        <v>129</v>
      </c>
      <c r="C533" t="s">
        <v>620</v>
      </c>
    </row>
    <row r="534" spans="1:3" ht="25" x14ac:dyDescent="0.25">
      <c r="A534" s="1"/>
      <c r="B534" s="1" t="s">
        <v>130</v>
      </c>
      <c r="C534" t="s">
        <v>621</v>
      </c>
    </row>
    <row r="535" spans="1:3" ht="25" x14ac:dyDescent="0.25">
      <c r="A535" s="1" t="s">
        <v>31</v>
      </c>
      <c r="B535" s="1" t="s">
        <v>131</v>
      </c>
      <c r="C535" t="s">
        <v>622</v>
      </c>
    </row>
    <row r="536" spans="1:3" ht="25" x14ac:dyDescent="0.25">
      <c r="A536" s="1"/>
      <c r="B536" s="1" t="s">
        <v>132</v>
      </c>
      <c r="C536" t="s">
        <v>623</v>
      </c>
    </row>
    <row r="537" spans="1:3" ht="25" x14ac:dyDescent="0.25">
      <c r="A537" s="1"/>
      <c r="B537" s="1" t="s">
        <v>118</v>
      </c>
      <c r="C537" t="s">
        <v>624</v>
      </c>
    </row>
    <row r="538" spans="1:3" ht="25" x14ac:dyDescent="0.25">
      <c r="A538" s="1"/>
      <c r="B538" s="1" t="s">
        <v>119</v>
      </c>
      <c r="C538" t="s">
        <v>625</v>
      </c>
    </row>
    <row r="539" spans="1:3" ht="25" x14ac:dyDescent="0.25">
      <c r="A539" s="1"/>
      <c r="B539" s="1" t="s">
        <v>120</v>
      </c>
      <c r="C539" t="s">
        <v>626</v>
      </c>
    </row>
    <row r="540" spans="1:3" ht="25" x14ac:dyDescent="0.25">
      <c r="A540" s="1"/>
      <c r="B540" s="1" t="s">
        <v>121</v>
      </c>
      <c r="C540" t="s">
        <v>627</v>
      </c>
    </row>
    <row r="541" spans="1:3" ht="25" x14ac:dyDescent="0.25">
      <c r="A541" s="1"/>
      <c r="B541" s="1" t="s">
        <v>122</v>
      </c>
      <c r="C541" t="s">
        <v>628</v>
      </c>
    </row>
    <row r="542" spans="1:3" ht="25" x14ac:dyDescent="0.25">
      <c r="A542" s="1"/>
      <c r="B542" s="1" t="s">
        <v>123</v>
      </c>
      <c r="C542" t="s">
        <v>263</v>
      </c>
    </row>
    <row r="543" spans="1:3" ht="25" x14ac:dyDescent="0.25">
      <c r="A543" s="1"/>
      <c r="B543" s="1" t="s">
        <v>124</v>
      </c>
      <c r="C543" t="s">
        <v>629</v>
      </c>
    </row>
    <row r="544" spans="1:3" ht="25" x14ac:dyDescent="0.25">
      <c r="A544" s="1"/>
      <c r="B544" s="1" t="s">
        <v>58</v>
      </c>
      <c r="C544" t="s">
        <v>630</v>
      </c>
    </row>
    <row r="545" spans="1:3" ht="25" x14ac:dyDescent="0.25">
      <c r="A545" s="1"/>
      <c r="B545" s="1" t="s">
        <v>59</v>
      </c>
      <c r="C545" t="s">
        <v>622</v>
      </c>
    </row>
    <row r="546" spans="1:3" ht="25" x14ac:dyDescent="0.25">
      <c r="A546" s="1"/>
      <c r="B546" s="1" t="s">
        <v>60</v>
      </c>
      <c r="C546" t="s">
        <v>517</v>
      </c>
    </row>
    <row r="547" spans="1:3" ht="25" x14ac:dyDescent="0.25">
      <c r="A547" s="1"/>
      <c r="B547" s="1" t="s">
        <v>125</v>
      </c>
      <c r="C547" t="s">
        <v>631</v>
      </c>
    </row>
    <row r="548" spans="1:3" ht="25" x14ac:dyDescent="0.25">
      <c r="A548" s="1"/>
      <c r="B548" s="1" t="s">
        <v>126</v>
      </c>
      <c r="C548" t="s">
        <v>632</v>
      </c>
    </row>
    <row r="549" spans="1:3" ht="25" x14ac:dyDescent="0.25">
      <c r="A549" s="1"/>
      <c r="B549" s="1" t="s">
        <v>127</v>
      </c>
      <c r="C549" t="s">
        <v>633</v>
      </c>
    </row>
    <row r="550" spans="1:3" ht="25" x14ac:dyDescent="0.25">
      <c r="A550" s="1"/>
      <c r="B550" s="1" t="s">
        <v>128</v>
      </c>
      <c r="C550" t="s">
        <v>95</v>
      </c>
    </row>
    <row r="551" spans="1:3" ht="25" x14ac:dyDescent="0.25">
      <c r="A551" s="1"/>
      <c r="B551" s="1" t="s">
        <v>129</v>
      </c>
      <c r="C551" t="s">
        <v>634</v>
      </c>
    </row>
    <row r="552" spans="1:3" ht="25" x14ac:dyDescent="0.25">
      <c r="A552" s="1"/>
      <c r="B552" s="1" t="s">
        <v>130</v>
      </c>
      <c r="C552" t="s">
        <v>635</v>
      </c>
    </row>
    <row r="553" spans="1:3" ht="25" x14ac:dyDescent="0.25">
      <c r="A553" s="1" t="s">
        <v>53</v>
      </c>
      <c r="B553" s="1" t="s">
        <v>131</v>
      </c>
      <c r="C553" t="s">
        <v>636</v>
      </c>
    </row>
    <row r="554" spans="1:3" ht="25" x14ac:dyDescent="0.25">
      <c r="A554" s="1"/>
      <c r="B554" s="1" t="s">
        <v>132</v>
      </c>
      <c r="C554" t="s">
        <v>570</v>
      </c>
    </row>
    <row r="555" spans="1:3" ht="25" x14ac:dyDescent="0.25">
      <c r="A555" s="1"/>
      <c r="B555" s="1" t="s">
        <v>118</v>
      </c>
      <c r="C555" t="s">
        <v>637</v>
      </c>
    </row>
    <row r="556" spans="1:3" ht="25" x14ac:dyDescent="0.25">
      <c r="A556" s="1"/>
      <c r="B556" s="1" t="s">
        <v>119</v>
      </c>
      <c r="C556" t="s">
        <v>638</v>
      </c>
    </row>
    <row r="557" spans="1:3" ht="25" x14ac:dyDescent="0.25">
      <c r="A557" s="1"/>
      <c r="B557" s="1" t="s">
        <v>120</v>
      </c>
      <c r="C557" t="s">
        <v>639</v>
      </c>
    </row>
    <row r="558" spans="1:3" ht="25" x14ac:dyDescent="0.25">
      <c r="A558" s="1"/>
      <c r="B558" s="1" t="s">
        <v>121</v>
      </c>
      <c r="C558" t="s">
        <v>640</v>
      </c>
    </row>
    <row r="559" spans="1:3" ht="25" x14ac:dyDescent="0.25">
      <c r="A559" s="1"/>
      <c r="B559" s="1" t="s">
        <v>122</v>
      </c>
      <c r="C559" t="s">
        <v>641</v>
      </c>
    </row>
    <row r="560" spans="1:3" ht="25" x14ac:dyDescent="0.25">
      <c r="A560" s="1"/>
      <c r="B560" s="1" t="s">
        <v>123</v>
      </c>
      <c r="C560" t="s">
        <v>642</v>
      </c>
    </row>
    <row r="561" spans="1:3" ht="25" x14ac:dyDescent="0.25">
      <c r="A561" s="1"/>
      <c r="B561" s="1" t="s">
        <v>124</v>
      </c>
      <c r="C561" t="s">
        <v>643</v>
      </c>
    </row>
    <row r="562" spans="1:3" ht="25" x14ac:dyDescent="0.25">
      <c r="A562" s="1"/>
      <c r="B562" s="1" t="s">
        <v>58</v>
      </c>
      <c r="C562" t="s">
        <v>644</v>
      </c>
    </row>
    <row r="563" spans="1:3" ht="25" x14ac:dyDescent="0.25">
      <c r="A563" s="1"/>
      <c r="B563" s="1" t="s">
        <v>59</v>
      </c>
      <c r="C563" t="s">
        <v>636</v>
      </c>
    </row>
    <row r="564" spans="1:3" ht="25" x14ac:dyDescent="0.25">
      <c r="A564" s="1"/>
      <c r="B564" s="1" t="s">
        <v>60</v>
      </c>
      <c r="C564" t="s">
        <v>645</v>
      </c>
    </row>
    <row r="565" spans="1:3" ht="25" x14ac:dyDescent="0.25">
      <c r="A565" s="1"/>
      <c r="B565" s="1" t="s">
        <v>125</v>
      </c>
      <c r="C565" t="s">
        <v>646</v>
      </c>
    </row>
    <row r="566" spans="1:3" ht="25" x14ac:dyDescent="0.25">
      <c r="A566" s="1"/>
      <c r="B566" s="1" t="s">
        <v>126</v>
      </c>
      <c r="C566" t="s">
        <v>647</v>
      </c>
    </row>
    <row r="567" spans="1:3" ht="25" x14ac:dyDescent="0.25">
      <c r="A567" s="1"/>
      <c r="B567" s="1" t="s">
        <v>127</v>
      </c>
      <c r="C567" t="s">
        <v>648</v>
      </c>
    </row>
    <row r="568" spans="1:3" ht="25" x14ac:dyDescent="0.25">
      <c r="A568" s="1"/>
      <c r="B568" s="1" t="s">
        <v>128</v>
      </c>
      <c r="C568" t="s">
        <v>649</v>
      </c>
    </row>
    <row r="569" spans="1:3" ht="25" x14ac:dyDescent="0.25">
      <c r="A569" s="1"/>
      <c r="B569" s="1" t="s">
        <v>129</v>
      </c>
      <c r="C569" t="s">
        <v>650</v>
      </c>
    </row>
    <row r="570" spans="1:3" ht="25" x14ac:dyDescent="0.25">
      <c r="A570" s="1"/>
      <c r="B570" s="1" t="s">
        <v>130</v>
      </c>
      <c r="C570" t="s">
        <v>651</v>
      </c>
    </row>
    <row r="571" spans="1:3" ht="25" x14ac:dyDescent="0.25">
      <c r="A571" s="1" t="s">
        <v>27</v>
      </c>
      <c r="B571" s="1" t="s">
        <v>131</v>
      </c>
      <c r="C571" t="s">
        <v>652</v>
      </c>
    </row>
    <row r="572" spans="1:3" ht="25" x14ac:dyDescent="0.25">
      <c r="A572" s="1"/>
      <c r="B572" s="1" t="s">
        <v>132</v>
      </c>
      <c r="C572" t="s">
        <v>653</v>
      </c>
    </row>
    <row r="573" spans="1:3" ht="25" x14ac:dyDescent="0.25">
      <c r="A573" s="1"/>
      <c r="B573" s="1" t="s">
        <v>118</v>
      </c>
      <c r="C573" t="s">
        <v>615</v>
      </c>
    </row>
    <row r="574" spans="1:3" ht="25" x14ac:dyDescent="0.25">
      <c r="A574" s="1"/>
      <c r="B574" s="1" t="s">
        <v>119</v>
      </c>
      <c r="C574" t="s">
        <v>654</v>
      </c>
    </row>
    <row r="575" spans="1:3" ht="25" x14ac:dyDescent="0.25">
      <c r="A575" s="1"/>
      <c r="B575" s="1" t="s">
        <v>120</v>
      </c>
      <c r="C575" t="s">
        <v>655</v>
      </c>
    </row>
    <row r="576" spans="1:3" ht="25" x14ac:dyDescent="0.25">
      <c r="A576" s="1"/>
      <c r="B576" s="1" t="s">
        <v>121</v>
      </c>
      <c r="C576" t="s">
        <v>656</v>
      </c>
    </row>
    <row r="577" spans="1:3" ht="25" x14ac:dyDescent="0.25">
      <c r="A577" s="1"/>
      <c r="B577" s="1" t="s">
        <v>122</v>
      </c>
      <c r="C577" t="s">
        <v>657</v>
      </c>
    </row>
    <row r="578" spans="1:3" ht="25" x14ac:dyDescent="0.25">
      <c r="A578" s="1"/>
      <c r="B578" s="1" t="s">
        <v>123</v>
      </c>
      <c r="C578" t="s">
        <v>658</v>
      </c>
    </row>
    <row r="579" spans="1:3" ht="25" x14ac:dyDescent="0.25">
      <c r="A579" s="1"/>
      <c r="B579" s="1" t="s">
        <v>124</v>
      </c>
      <c r="C579" t="s">
        <v>659</v>
      </c>
    </row>
    <row r="580" spans="1:3" ht="25" x14ac:dyDescent="0.25">
      <c r="A580" s="1"/>
      <c r="B580" s="1" t="s">
        <v>58</v>
      </c>
      <c r="C580" t="s">
        <v>659</v>
      </c>
    </row>
    <row r="581" spans="1:3" ht="25" x14ac:dyDescent="0.25">
      <c r="A581" s="1"/>
      <c r="B581" s="1" t="s">
        <v>59</v>
      </c>
      <c r="C581" t="s">
        <v>653</v>
      </c>
    </row>
    <row r="582" spans="1:3" ht="25" x14ac:dyDescent="0.25">
      <c r="A582" s="1"/>
      <c r="B582" s="1" t="s">
        <v>60</v>
      </c>
      <c r="C582" t="s">
        <v>377</v>
      </c>
    </row>
    <row r="583" spans="1:3" ht="25" x14ac:dyDescent="0.25">
      <c r="A583" s="1"/>
      <c r="B583" s="1" t="s">
        <v>125</v>
      </c>
      <c r="C583" t="s">
        <v>660</v>
      </c>
    </row>
    <row r="584" spans="1:3" ht="25" x14ac:dyDescent="0.25">
      <c r="A584" s="1"/>
      <c r="B584" s="1" t="s">
        <v>126</v>
      </c>
      <c r="C584" t="s">
        <v>661</v>
      </c>
    </row>
    <row r="585" spans="1:3" ht="25" x14ac:dyDescent="0.25">
      <c r="A585" s="1"/>
      <c r="B585" s="1" t="s">
        <v>127</v>
      </c>
      <c r="C585" t="s">
        <v>662</v>
      </c>
    </row>
    <row r="586" spans="1:3" ht="25" x14ac:dyDescent="0.25">
      <c r="A586" s="1"/>
      <c r="B586" s="1" t="s">
        <v>128</v>
      </c>
      <c r="C586" t="s">
        <v>663</v>
      </c>
    </row>
    <row r="587" spans="1:3" ht="25" x14ac:dyDescent="0.25">
      <c r="A587" s="1"/>
      <c r="B587" s="1" t="s">
        <v>129</v>
      </c>
      <c r="C587" t="s">
        <v>664</v>
      </c>
    </row>
    <row r="588" spans="1:3" ht="25" x14ac:dyDescent="0.25">
      <c r="A588" s="1"/>
      <c r="B588" s="1" t="s">
        <v>130</v>
      </c>
      <c r="C588" t="s">
        <v>665</v>
      </c>
    </row>
    <row r="589" spans="1:3" ht="25" x14ac:dyDescent="0.25">
      <c r="A589" s="1" t="s">
        <v>10</v>
      </c>
      <c r="B589" s="1" t="s">
        <v>131</v>
      </c>
      <c r="C589" t="s">
        <v>666</v>
      </c>
    </row>
    <row r="590" spans="1:3" ht="25" x14ac:dyDescent="0.25">
      <c r="A590" s="1"/>
      <c r="B590" s="1" t="s">
        <v>132</v>
      </c>
      <c r="C590" t="s">
        <v>299</v>
      </c>
    </row>
    <row r="591" spans="1:3" ht="25" x14ac:dyDescent="0.25">
      <c r="A591" s="1"/>
      <c r="B591" s="1" t="s">
        <v>118</v>
      </c>
      <c r="C591" t="s">
        <v>667</v>
      </c>
    </row>
    <row r="592" spans="1:3" ht="25" x14ac:dyDescent="0.25">
      <c r="A592" s="1"/>
      <c r="B592" s="1" t="s">
        <v>119</v>
      </c>
      <c r="C592" t="s">
        <v>668</v>
      </c>
    </row>
    <row r="593" spans="1:3" ht="25" x14ac:dyDescent="0.25">
      <c r="A593" s="1"/>
      <c r="B593" s="1" t="s">
        <v>120</v>
      </c>
      <c r="C593" t="s">
        <v>669</v>
      </c>
    </row>
    <row r="594" spans="1:3" ht="25" x14ac:dyDescent="0.25">
      <c r="A594" s="1"/>
      <c r="B594" s="1" t="s">
        <v>121</v>
      </c>
      <c r="C594" t="s">
        <v>70</v>
      </c>
    </row>
    <row r="595" spans="1:3" ht="25" x14ac:dyDescent="0.25">
      <c r="A595" s="1"/>
      <c r="B595" s="1" t="s">
        <v>122</v>
      </c>
      <c r="C595" t="s">
        <v>670</v>
      </c>
    </row>
    <row r="596" spans="1:3" ht="25" x14ac:dyDescent="0.25">
      <c r="A596" s="1"/>
      <c r="B596" s="1" t="s">
        <v>123</v>
      </c>
      <c r="C596" t="s">
        <v>671</v>
      </c>
    </row>
    <row r="597" spans="1:3" ht="25" x14ac:dyDescent="0.25">
      <c r="A597" s="1"/>
      <c r="B597" s="1" t="s">
        <v>124</v>
      </c>
      <c r="C597" t="s">
        <v>672</v>
      </c>
    </row>
    <row r="598" spans="1:3" ht="25" x14ac:dyDescent="0.25">
      <c r="A598" s="1"/>
      <c r="B598" s="1" t="s">
        <v>58</v>
      </c>
      <c r="C598" t="s">
        <v>673</v>
      </c>
    </row>
    <row r="599" spans="1:3" ht="25" x14ac:dyDescent="0.25">
      <c r="A599" s="1"/>
      <c r="B599" s="1" t="s">
        <v>59</v>
      </c>
      <c r="C599" t="s">
        <v>82</v>
      </c>
    </row>
    <row r="600" spans="1:3" ht="25" x14ac:dyDescent="0.25">
      <c r="A600" s="1"/>
      <c r="B600" s="1" t="s">
        <v>60</v>
      </c>
      <c r="C600" t="s">
        <v>672</v>
      </c>
    </row>
    <row r="601" spans="1:3" ht="25" x14ac:dyDescent="0.25">
      <c r="A601" s="1"/>
      <c r="B601" s="1" t="s">
        <v>125</v>
      </c>
      <c r="C601" t="s">
        <v>674</v>
      </c>
    </row>
    <row r="602" spans="1:3" ht="25" x14ac:dyDescent="0.25">
      <c r="A602" s="1"/>
      <c r="B602" s="1" t="s">
        <v>126</v>
      </c>
      <c r="C602" t="s">
        <v>675</v>
      </c>
    </row>
    <row r="603" spans="1:3" ht="25" x14ac:dyDescent="0.25">
      <c r="A603" s="1"/>
      <c r="B603" s="1" t="s">
        <v>127</v>
      </c>
      <c r="C603" t="s">
        <v>73</v>
      </c>
    </row>
    <row r="604" spans="1:3" ht="25" x14ac:dyDescent="0.25">
      <c r="A604" s="1"/>
      <c r="B604" s="1" t="s">
        <v>128</v>
      </c>
      <c r="C604" t="s">
        <v>668</v>
      </c>
    </row>
    <row r="605" spans="1:3" ht="25" x14ac:dyDescent="0.25">
      <c r="A605" s="1"/>
      <c r="B605" s="1" t="s">
        <v>129</v>
      </c>
      <c r="C605" t="s">
        <v>676</v>
      </c>
    </row>
    <row r="606" spans="1:3" ht="25" x14ac:dyDescent="0.25">
      <c r="A606" s="1"/>
      <c r="B606" s="1" t="s">
        <v>130</v>
      </c>
      <c r="C606" t="s">
        <v>677</v>
      </c>
    </row>
    <row r="607" spans="1:3" ht="25" x14ac:dyDescent="0.25">
      <c r="A607" s="1" t="s">
        <v>46</v>
      </c>
      <c r="B607" s="1" t="s">
        <v>131</v>
      </c>
      <c r="C607" t="s">
        <v>678</v>
      </c>
    </row>
    <row r="608" spans="1:3" ht="25" x14ac:dyDescent="0.25">
      <c r="A608" s="1"/>
      <c r="B608" s="1" t="s">
        <v>132</v>
      </c>
      <c r="C608" t="s">
        <v>679</v>
      </c>
    </row>
    <row r="609" spans="1:3" ht="25" x14ac:dyDescent="0.25">
      <c r="A609" s="1"/>
      <c r="B609" s="1" t="s">
        <v>118</v>
      </c>
      <c r="C609" t="s">
        <v>680</v>
      </c>
    </row>
    <row r="610" spans="1:3" ht="25" x14ac:dyDescent="0.25">
      <c r="A610" s="1"/>
      <c r="B610" s="1" t="s">
        <v>119</v>
      </c>
      <c r="C610" t="s">
        <v>681</v>
      </c>
    </row>
    <row r="611" spans="1:3" ht="25" x14ac:dyDescent="0.25">
      <c r="A611" s="1"/>
      <c r="B611" s="1" t="s">
        <v>120</v>
      </c>
      <c r="C611" t="s">
        <v>682</v>
      </c>
    </row>
    <row r="612" spans="1:3" ht="25" x14ac:dyDescent="0.25">
      <c r="A612" s="1"/>
      <c r="B612" s="1" t="s">
        <v>121</v>
      </c>
      <c r="C612" t="s">
        <v>683</v>
      </c>
    </row>
    <row r="613" spans="1:3" ht="25" x14ac:dyDescent="0.25">
      <c r="A613" s="1"/>
      <c r="B613" s="1" t="s">
        <v>122</v>
      </c>
      <c r="C613" t="s">
        <v>114</v>
      </c>
    </row>
    <row r="614" spans="1:3" ht="25" x14ac:dyDescent="0.25">
      <c r="A614" s="1"/>
      <c r="B614" s="1" t="s">
        <v>123</v>
      </c>
      <c r="C614" t="s">
        <v>635</v>
      </c>
    </row>
    <row r="615" spans="1:3" ht="25" x14ac:dyDescent="0.25">
      <c r="A615" s="1"/>
      <c r="B615" s="1" t="s">
        <v>124</v>
      </c>
      <c r="C615" t="s">
        <v>684</v>
      </c>
    </row>
    <row r="616" spans="1:3" ht="25" x14ac:dyDescent="0.25">
      <c r="A616" s="1"/>
      <c r="B616" s="1" t="s">
        <v>58</v>
      </c>
      <c r="C616" t="s">
        <v>685</v>
      </c>
    </row>
    <row r="617" spans="1:3" ht="25" x14ac:dyDescent="0.25">
      <c r="A617" s="1"/>
      <c r="B617" s="1" t="s">
        <v>59</v>
      </c>
      <c r="C617" t="s">
        <v>678</v>
      </c>
    </row>
    <row r="618" spans="1:3" ht="25" x14ac:dyDescent="0.25">
      <c r="A618" s="1"/>
      <c r="B618" s="1" t="s">
        <v>60</v>
      </c>
      <c r="C618" t="s">
        <v>683</v>
      </c>
    </row>
    <row r="619" spans="1:3" ht="25" x14ac:dyDescent="0.25">
      <c r="A619" s="1"/>
      <c r="B619" s="1" t="s">
        <v>125</v>
      </c>
      <c r="C619" t="s">
        <v>686</v>
      </c>
    </row>
    <row r="620" spans="1:3" ht="25" x14ac:dyDescent="0.25">
      <c r="A620" s="1"/>
      <c r="B620" s="1" t="s">
        <v>126</v>
      </c>
      <c r="C620" t="s">
        <v>687</v>
      </c>
    </row>
    <row r="621" spans="1:3" ht="25" x14ac:dyDescent="0.25">
      <c r="A621" s="1"/>
      <c r="B621" s="1" t="s">
        <v>127</v>
      </c>
      <c r="C621" t="s">
        <v>688</v>
      </c>
    </row>
    <row r="622" spans="1:3" ht="25" x14ac:dyDescent="0.25">
      <c r="A622" s="1"/>
      <c r="B622" s="1" t="s">
        <v>128</v>
      </c>
      <c r="C622" t="s">
        <v>689</v>
      </c>
    </row>
    <row r="623" spans="1:3" ht="25" x14ac:dyDescent="0.25">
      <c r="A623" s="1"/>
      <c r="B623" s="1" t="s">
        <v>129</v>
      </c>
      <c r="C623" t="s">
        <v>690</v>
      </c>
    </row>
    <row r="624" spans="1:3" ht="25" x14ac:dyDescent="0.25">
      <c r="A624" s="1"/>
      <c r="B624" s="1" t="s">
        <v>130</v>
      </c>
      <c r="C624" t="s">
        <v>691</v>
      </c>
    </row>
    <row r="625" spans="1:3" ht="25" x14ac:dyDescent="0.25">
      <c r="A625" s="1" t="s">
        <v>40</v>
      </c>
      <c r="B625" s="1" t="s">
        <v>131</v>
      </c>
      <c r="C625" t="s">
        <v>692</v>
      </c>
    </row>
    <row r="626" spans="1:3" ht="25" x14ac:dyDescent="0.25">
      <c r="A626" s="1"/>
      <c r="B626" s="1" t="s">
        <v>132</v>
      </c>
      <c r="C626" t="s">
        <v>693</v>
      </c>
    </row>
    <row r="627" spans="1:3" ht="25" x14ac:dyDescent="0.25">
      <c r="A627" s="1"/>
      <c r="B627" s="1" t="s">
        <v>118</v>
      </c>
      <c r="C627" t="s">
        <v>694</v>
      </c>
    </row>
    <row r="628" spans="1:3" ht="25" x14ac:dyDescent="0.25">
      <c r="A628" s="1"/>
      <c r="B628" s="1" t="s">
        <v>119</v>
      </c>
      <c r="C628" t="s">
        <v>695</v>
      </c>
    </row>
    <row r="629" spans="1:3" ht="25" x14ac:dyDescent="0.25">
      <c r="A629" s="1"/>
      <c r="B629" s="1" t="s">
        <v>120</v>
      </c>
      <c r="C629" t="s">
        <v>696</v>
      </c>
    </row>
    <row r="630" spans="1:3" ht="25" x14ac:dyDescent="0.25">
      <c r="A630" s="1"/>
      <c r="B630" s="1" t="s">
        <v>121</v>
      </c>
      <c r="C630" t="s">
        <v>697</v>
      </c>
    </row>
    <row r="631" spans="1:3" ht="25" x14ac:dyDescent="0.25">
      <c r="A631" s="1"/>
      <c r="B631" s="1" t="s">
        <v>122</v>
      </c>
      <c r="C631" t="s">
        <v>685</v>
      </c>
    </row>
    <row r="632" spans="1:3" ht="25" x14ac:dyDescent="0.25">
      <c r="A632" s="1"/>
      <c r="B632" s="1" t="s">
        <v>123</v>
      </c>
      <c r="C632" t="s">
        <v>352</v>
      </c>
    </row>
    <row r="633" spans="1:3" ht="25" x14ac:dyDescent="0.25">
      <c r="A633" s="1"/>
      <c r="B633" s="1" t="s">
        <v>124</v>
      </c>
      <c r="C633" t="s">
        <v>352</v>
      </c>
    </row>
    <row r="634" spans="1:3" ht="25" x14ac:dyDescent="0.25">
      <c r="A634" s="1"/>
      <c r="B634" s="1" t="s">
        <v>58</v>
      </c>
      <c r="C634" t="s">
        <v>698</v>
      </c>
    </row>
    <row r="635" spans="1:3" ht="25" x14ac:dyDescent="0.25">
      <c r="A635" s="1"/>
      <c r="B635" s="1" t="s">
        <v>59</v>
      </c>
      <c r="C635" t="s">
        <v>697</v>
      </c>
    </row>
    <row r="636" spans="1:3" ht="25" x14ac:dyDescent="0.25">
      <c r="A636" s="1"/>
      <c r="B636" s="1" t="s">
        <v>60</v>
      </c>
      <c r="C636" t="s">
        <v>692</v>
      </c>
    </row>
    <row r="637" spans="1:3" ht="25" x14ac:dyDescent="0.25">
      <c r="A637" s="1"/>
      <c r="B637" s="1" t="s">
        <v>125</v>
      </c>
      <c r="C637" t="s">
        <v>506</v>
      </c>
    </row>
    <row r="638" spans="1:3" ht="25" x14ac:dyDescent="0.25">
      <c r="A638" s="1"/>
      <c r="B638" s="1" t="s">
        <v>126</v>
      </c>
      <c r="C638" t="s">
        <v>699</v>
      </c>
    </row>
    <row r="639" spans="1:3" ht="25" x14ac:dyDescent="0.25">
      <c r="A639" s="1"/>
      <c r="B639" s="1" t="s">
        <v>127</v>
      </c>
      <c r="C639" t="s">
        <v>115</v>
      </c>
    </row>
    <row r="640" spans="1:3" ht="25" x14ac:dyDescent="0.25">
      <c r="A640" s="1"/>
      <c r="B640" s="1" t="s">
        <v>128</v>
      </c>
      <c r="C640" t="s">
        <v>101</v>
      </c>
    </row>
    <row r="641" spans="1:3" ht="25" x14ac:dyDescent="0.25">
      <c r="A641" s="1"/>
      <c r="B641" s="1" t="s">
        <v>129</v>
      </c>
      <c r="C641" t="s">
        <v>700</v>
      </c>
    </row>
    <row r="642" spans="1:3" ht="25" x14ac:dyDescent="0.25">
      <c r="A642" s="1"/>
      <c r="B642" s="1" t="s">
        <v>130</v>
      </c>
      <c r="C642" t="s">
        <v>701</v>
      </c>
    </row>
    <row r="643" spans="1:3" ht="25" x14ac:dyDescent="0.25">
      <c r="A643" s="1" t="s">
        <v>2</v>
      </c>
      <c r="B643" s="1" t="s">
        <v>131</v>
      </c>
      <c r="C643" t="s">
        <v>64</v>
      </c>
    </row>
    <row r="644" spans="1:3" ht="25" x14ac:dyDescent="0.25">
      <c r="A644" s="1"/>
      <c r="B644" s="1" t="s">
        <v>132</v>
      </c>
      <c r="C644" t="s">
        <v>702</v>
      </c>
    </row>
    <row r="645" spans="1:3" ht="25" x14ac:dyDescent="0.25">
      <c r="A645" s="1"/>
      <c r="B645" s="1" t="s">
        <v>118</v>
      </c>
      <c r="C645" t="s">
        <v>68</v>
      </c>
    </row>
    <row r="646" spans="1:3" ht="25" x14ac:dyDescent="0.25">
      <c r="A646" s="1"/>
      <c r="B646" s="1" t="s">
        <v>119</v>
      </c>
      <c r="C646" t="s">
        <v>703</v>
      </c>
    </row>
    <row r="647" spans="1:3" ht="25" x14ac:dyDescent="0.25">
      <c r="A647" s="1"/>
      <c r="B647" s="1" t="s">
        <v>120</v>
      </c>
      <c r="C647" t="s">
        <v>68</v>
      </c>
    </row>
    <row r="648" spans="1:3" ht="25" x14ac:dyDescent="0.25">
      <c r="A648" s="1"/>
      <c r="B648" s="1" t="s">
        <v>121</v>
      </c>
      <c r="C648" t="s">
        <v>704</v>
      </c>
    </row>
    <row r="649" spans="1:3" ht="25" x14ac:dyDescent="0.25">
      <c r="A649" s="1"/>
      <c r="B649" s="1" t="s">
        <v>122</v>
      </c>
      <c r="C649" t="s">
        <v>705</v>
      </c>
    </row>
    <row r="650" spans="1:3" ht="25" x14ac:dyDescent="0.25">
      <c r="A650" s="1"/>
      <c r="B650" s="1" t="s">
        <v>123</v>
      </c>
      <c r="C650" t="s">
        <v>706</v>
      </c>
    </row>
    <row r="651" spans="1:3" ht="25" x14ac:dyDescent="0.25">
      <c r="A651" s="1"/>
      <c r="B651" s="1" t="s">
        <v>124</v>
      </c>
      <c r="C651" t="s">
        <v>65</v>
      </c>
    </row>
    <row r="652" spans="1:3" ht="25" x14ac:dyDescent="0.25">
      <c r="A652" s="1"/>
      <c r="B652" s="1" t="s">
        <v>58</v>
      </c>
      <c r="C652" t="s">
        <v>707</v>
      </c>
    </row>
    <row r="653" spans="1:3" ht="25" x14ac:dyDescent="0.25">
      <c r="A653" s="1"/>
      <c r="B653" s="1" t="s">
        <v>59</v>
      </c>
      <c r="C653" t="s">
        <v>708</v>
      </c>
    </row>
    <row r="654" spans="1:3" ht="25" x14ac:dyDescent="0.25">
      <c r="A654" s="1"/>
      <c r="B654" s="1" t="s">
        <v>60</v>
      </c>
      <c r="C654" t="s">
        <v>62</v>
      </c>
    </row>
    <row r="655" spans="1:3" ht="25" x14ac:dyDescent="0.25">
      <c r="A655" s="1"/>
      <c r="B655" s="1" t="s">
        <v>125</v>
      </c>
      <c r="C655" t="s">
        <v>62</v>
      </c>
    </row>
    <row r="656" spans="1:3" ht="25" x14ac:dyDescent="0.25">
      <c r="A656" s="1"/>
      <c r="B656" s="1" t="s">
        <v>126</v>
      </c>
      <c r="C656" t="s">
        <v>709</v>
      </c>
    </row>
    <row r="657" spans="1:3" ht="25" x14ac:dyDescent="0.25">
      <c r="A657" s="1"/>
      <c r="B657" s="1" t="s">
        <v>127</v>
      </c>
      <c r="C657" t="s">
        <v>710</v>
      </c>
    </row>
    <row r="658" spans="1:3" ht="25" x14ac:dyDescent="0.25">
      <c r="A658" s="1"/>
      <c r="B658" s="1" t="s">
        <v>128</v>
      </c>
      <c r="C658" t="s">
        <v>68</v>
      </c>
    </row>
    <row r="659" spans="1:3" ht="25" x14ac:dyDescent="0.25">
      <c r="A659" s="1"/>
      <c r="B659" s="1" t="s">
        <v>129</v>
      </c>
      <c r="C659" t="s">
        <v>711</v>
      </c>
    </row>
    <row r="660" spans="1:3" ht="25" x14ac:dyDescent="0.25">
      <c r="A660" s="1"/>
      <c r="B660" s="1" t="s">
        <v>130</v>
      </c>
      <c r="C660" t="s">
        <v>703</v>
      </c>
    </row>
    <row r="661" spans="1:3" ht="25" x14ac:dyDescent="0.25">
      <c r="A661" s="1" t="s">
        <v>45</v>
      </c>
      <c r="B661" s="1" t="s">
        <v>131</v>
      </c>
      <c r="C661" t="s">
        <v>712</v>
      </c>
    </row>
    <row r="662" spans="1:3" ht="25" x14ac:dyDescent="0.25">
      <c r="A662" s="1"/>
      <c r="B662" s="1" t="s">
        <v>132</v>
      </c>
      <c r="C662" t="s">
        <v>713</v>
      </c>
    </row>
    <row r="663" spans="1:3" ht="25" x14ac:dyDescent="0.25">
      <c r="A663" s="1"/>
      <c r="B663" s="1" t="s">
        <v>118</v>
      </c>
      <c r="C663" t="s">
        <v>714</v>
      </c>
    </row>
    <row r="664" spans="1:3" ht="25" x14ac:dyDescent="0.25">
      <c r="A664" s="1"/>
      <c r="B664" s="1" t="s">
        <v>119</v>
      </c>
      <c r="C664" t="s">
        <v>715</v>
      </c>
    </row>
    <row r="665" spans="1:3" ht="25" x14ac:dyDescent="0.25">
      <c r="A665" s="1"/>
      <c r="B665" s="1" t="s">
        <v>120</v>
      </c>
      <c r="C665" t="s">
        <v>716</v>
      </c>
    </row>
    <row r="666" spans="1:3" ht="25" x14ac:dyDescent="0.25">
      <c r="A666" s="1"/>
      <c r="B666" s="1" t="s">
        <v>121</v>
      </c>
      <c r="C666" t="s">
        <v>717</v>
      </c>
    </row>
    <row r="667" spans="1:3" ht="25" x14ac:dyDescent="0.25">
      <c r="A667" s="1"/>
      <c r="B667" s="1" t="s">
        <v>122</v>
      </c>
      <c r="C667" t="s">
        <v>718</v>
      </c>
    </row>
    <row r="668" spans="1:3" ht="25" x14ac:dyDescent="0.25">
      <c r="A668" s="1"/>
      <c r="B668" s="1" t="s">
        <v>123</v>
      </c>
      <c r="C668" t="s">
        <v>719</v>
      </c>
    </row>
    <row r="669" spans="1:3" ht="25" x14ac:dyDescent="0.25">
      <c r="A669" s="1"/>
      <c r="B669" s="1" t="s">
        <v>124</v>
      </c>
      <c r="C669" t="s">
        <v>283</v>
      </c>
    </row>
    <row r="670" spans="1:3" ht="25" x14ac:dyDescent="0.25">
      <c r="A670" s="1"/>
      <c r="B670" s="1" t="s">
        <v>58</v>
      </c>
      <c r="C670" t="s">
        <v>720</v>
      </c>
    </row>
    <row r="671" spans="1:3" ht="25" x14ac:dyDescent="0.25">
      <c r="A671" s="1"/>
      <c r="B671" s="1" t="s">
        <v>59</v>
      </c>
      <c r="C671" t="s">
        <v>721</v>
      </c>
    </row>
    <row r="672" spans="1:3" ht="25" x14ac:dyDescent="0.25">
      <c r="A672" s="1"/>
      <c r="B672" s="1" t="s">
        <v>60</v>
      </c>
      <c r="C672" t="s">
        <v>722</v>
      </c>
    </row>
    <row r="673" spans="1:3" ht="25" x14ac:dyDescent="0.25">
      <c r="A673" s="1"/>
      <c r="B673" s="1" t="s">
        <v>125</v>
      </c>
      <c r="C673" t="s">
        <v>723</v>
      </c>
    </row>
    <row r="674" spans="1:3" ht="25" x14ac:dyDescent="0.25">
      <c r="A674" s="1"/>
      <c r="B674" s="1" t="s">
        <v>126</v>
      </c>
      <c r="C674" t="s">
        <v>724</v>
      </c>
    </row>
    <row r="675" spans="1:3" ht="25" x14ac:dyDescent="0.25">
      <c r="A675" s="1"/>
      <c r="B675" s="1" t="s">
        <v>127</v>
      </c>
      <c r="C675" t="s">
        <v>725</v>
      </c>
    </row>
    <row r="676" spans="1:3" ht="25" x14ac:dyDescent="0.25">
      <c r="A676" s="1"/>
      <c r="B676" s="1" t="s">
        <v>128</v>
      </c>
      <c r="C676" t="s">
        <v>726</v>
      </c>
    </row>
    <row r="677" spans="1:3" ht="25" x14ac:dyDescent="0.25">
      <c r="A677" s="1"/>
      <c r="B677" s="1" t="s">
        <v>129</v>
      </c>
      <c r="C677" t="s">
        <v>727</v>
      </c>
    </row>
    <row r="678" spans="1:3" ht="25" x14ac:dyDescent="0.25">
      <c r="A678" s="1"/>
      <c r="B678" s="1" t="s">
        <v>130</v>
      </c>
      <c r="C678" t="s">
        <v>279</v>
      </c>
    </row>
    <row r="679" spans="1:3" ht="25" x14ac:dyDescent="0.25">
      <c r="A679" s="1" t="s">
        <v>42</v>
      </c>
      <c r="B679" s="1" t="s">
        <v>131</v>
      </c>
      <c r="C679" t="s">
        <v>216</v>
      </c>
    </row>
    <row r="680" spans="1:3" ht="25" x14ac:dyDescent="0.25">
      <c r="A680" s="1"/>
      <c r="B680" s="1" t="s">
        <v>132</v>
      </c>
      <c r="C680" t="s">
        <v>728</v>
      </c>
    </row>
    <row r="681" spans="1:3" ht="25" x14ac:dyDescent="0.25">
      <c r="A681" s="1"/>
      <c r="B681" s="1" t="s">
        <v>118</v>
      </c>
      <c r="C681" t="s">
        <v>729</v>
      </c>
    </row>
    <row r="682" spans="1:3" ht="25" x14ac:dyDescent="0.25">
      <c r="A682" s="1"/>
      <c r="B682" s="1" t="s">
        <v>119</v>
      </c>
      <c r="C682" t="s">
        <v>730</v>
      </c>
    </row>
    <row r="683" spans="1:3" ht="25" x14ac:dyDescent="0.25">
      <c r="A683" s="1"/>
      <c r="B683" s="1" t="s">
        <v>120</v>
      </c>
      <c r="C683" t="s">
        <v>513</v>
      </c>
    </row>
    <row r="684" spans="1:3" ht="25" x14ac:dyDescent="0.25">
      <c r="A684" s="1"/>
      <c r="B684" s="1" t="s">
        <v>121</v>
      </c>
      <c r="C684" t="s">
        <v>731</v>
      </c>
    </row>
    <row r="685" spans="1:3" ht="25" x14ac:dyDescent="0.25">
      <c r="A685" s="1"/>
      <c r="B685" s="1" t="s">
        <v>122</v>
      </c>
      <c r="C685" t="s">
        <v>732</v>
      </c>
    </row>
    <row r="686" spans="1:3" ht="25" x14ac:dyDescent="0.25">
      <c r="A686" s="1"/>
      <c r="B686" s="1" t="s">
        <v>123</v>
      </c>
      <c r="C686" t="s">
        <v>733</v>
      </c>
    </row>
    <row r="687" spans="1:3" ht="25" x14ac:dyDescent="0.25">
      <c r="A687" s="1"/>
      <c r="B687" s="1" t="s">
        <v>124</v>
      </c>
      <c r="C687" t="s">
        <v>734</v>
      </c>
    </row>
    <row r="688" spans="1:3" ht="25" x14ac:dyDescent="0.25">
      <c r="A688" s="1"/>
      <c r="B688" s="1" t="s">
        <v>58</v>
      </c>
      <c r="C688" t="s">
        <v>735</v>
      </c>
    </row>
    <row r="689" spans="1:3" ht="25" x14ac:dyDescent="0.25">
      <c r="A689" s="1"/>
      <c r="B689" s="1" t="s">
        <v>59</v>
      </c>
      <c r="C689" t="s">
        <v>697</v>
      </c>
    </row>
    <row r="690" spans="1:3" ht="25" x14ac:dyDescent="0.25">
      <c r="A690" s="1"/>
      <c r="B690" s="1" t="s">
        <v>60</v>
      </c>
      <c r="C690" t="s">
        <v>736</v>
      </c>
    </row>
    <row r="691" spans="1:3" ht="25" x14ac:dyDescent="0.25">
      <c r="A691" s="1"/>
      <c r="B691" s="1" t="s">
        <v>125</v>
      </c>
      <c r="C691" t="s">
        <v>737</v>
      </c>
    </row>
    <row r="692" spans="1:3" ht="25" x14ac:dyDescent="0.25">
      <c r="A692" s="1"/>
      <c r="B692" s="1" t="s">
        <v>126</v>
      </c>
      <c r="C692" t="s">
        <v>738</v>
      </c>
    </row>
    <row r="693" spans="1:3" ht="25" x14ac:dyDescent="0.25">
      <c r="A693" s="1"/>
      <c r="B693" s="1" t="s">
        <v>127</v>
      </c>
      <c r="C693" t="s">
        <v>739</v>
      </c>
    </row>
    <row r="694" spans="1:3" ht="25" x14ac:dyDescent="0.25">
      <c r="A694" s="1"/>
      <c r="B694" s="1" t="s">
        <v>128</v>
      </c>
      <c r="C694" t="s">
        <v>740</v>
      </c>
    </row>
    <row r="695" spans="1:3" ht="25" x14ac:dyDescent="0.25">
      <c r="A695" s="1"/>
      <c r="B695" s="1" t="s">
        <v>129</v>
      </c>
      <c r="C695" t="s">
        <v>741</v>
      </c>
    </row>
    <row r="696" spans="1:3" ht="25" x14ac:dyDescent="0.25">
      <c r="A696" s="1"/>
      <c r="B696" s="1" t="s">
        <v>130</v>
      </c>
      <c r="C696" t="s">
        <v>742</v>
      </c>
    </row>
    <row r="697" spans="1:3" ht="25" x14ac:dyDescent="0.25">
      <c r="A697" s="1" t="s">
        <v>50</v>
      </c>
      <c r="B697" s="1" t="s">
        <v>131</v>
      </c>
      <c r="C697" t="s">
        <v>743</v>
      </c>
    </row>
    <row r="698" spans="1:3" ht="25" x14ac:dyDescent="0.25">
      <c r="A698" s="1"/>
      <c r="B698" s="1" t="s">
        <v>132</v>
      </c>
      <c r="C698" t="s">
        <v>744</v>
      </c>
    </row>
    <row r="699" spans="1:3" ht="25" x14ac:dyDescent="0.25">
      <c r="A699" s="1"/>
      <c r="B699" s="1" t="s">
        <v>118</v>
      </c>
      <c r="C699" t="s">
        <v>745</v>
      </c>
    </row>
    <row r="700" spans="1:3" ht="25" x14ac:dyDescent="0.25">
      <c r="A700" s="1"/>
      <c r="B700" s="1" t="s">
        <v>119</v>
      </c>
      <c r="C700" t="s">
        <v>746</v>
      </c>
    </row>
    <row r="701" spans="1:3" ht="25" x14ac:dyDescent="0.25">
      <c r="A701" s="1"/>
      <c r="B701" s="1" t="s">
        <v>120</v>
      </c>
      <c r="C701" t="s">
        <v>747</v>
      </c>
    </row>
    <row r="702" spans="1:3" ht="25" x14ac:dyDescent="0.25">
      <c r="A702" s="1"/>
      <c r="B702" s="1" t="s">
        <v>121</v>
      </c>
      <c r="C702" t="s">
        <v>748</v>
      </c>
    </row>
    <row r="703" spans="1:3" ht="25" x14ac:dyDescent="0.25">
      <c r="A703" s="1"/>
      <c r="B703" s="1" t="s">
        <v>122</v>
      </c>
      <c r="C703" t="s">
        <v>749</v>
      </c>
    </row>
    <row r="704" spans="1:3" ht="25" x14ac:dyDescent="0.25">
      <c r="A704" s="1"/>
      <c r="B704" s="1" t="s">
        <v>123</v>
      </c>
      <c r="C704" t="s">
        <v>750</v>
      </c>
    </row>
    <row r="705" spans="1:3" ht="25" x14ac:dyDescent="0.25">
      <c r="A705" s="1"/>
      <c r="B705" s="1" t="s">
        <v>124</v>
      </c>
      <c r="C705" t="s">
        <v>751</v>
      </c>
    </row>
    <row r="706" spans="1:3" ht="25" x14ac:dyDescent="0.25">
      <c r="A706" s="1"/>
      <c r="B706" s="1" t="s">
        <v>58</v>
      </c>
      <c r="C706" t="s">
        <v>752</v>
      </c>
    </row>
    <row r="707" spans="1:3" ht="25" x14ac:dyDescent="0.25">
      <c r="A707" s="1"/>
      <c r="B707" s="1" t="s">
        <v>59</v>
      </c>
      <c r="C707" t="s">
        <v>753</v>
      </c>
    </row>
    <row r="708" spans="1:3" ht="25" x14ac:dyDescent="0.25">
      <c r="A708" s="1"/>
      <c r="B708" s="1" t="s">
        <v>60</v>
      </c>
      <c r="C708" t="s">
        <v>754</v>
      </c>
    </row>
    <row r="709" spans="1:3" ht="25" x14ac:dyDescent="0.25">
      <c r="A709" s="1"/>
      <c r="B709" s="1" t="s">
        <v>125</v>
      </c>
      <c r="C709" t="s">
        <v>755</v>
      </c>
    </row>
    <row r="710" spans="1:3" ht="25" x14ac:dyDescent="0.25">
      <c r="A710" s="1"/>
      <c r="B710" s="1" t="s">
        <v>126</v>
      </c>
      <c r="C710" t="s">
        <v>756</v>
      </c>
    </row>
    <row r="711" spans="1:3" ht="25" x14ac:dyDescent="0.25">
      <c r="A711" s="1"/>
      <c r="B711" s="1" t="s">
        <v>127</v>
      </c>
      <c r="C711" t="s">
        <v>757</v>
      </c>
    </row>
    <row r="712" spans="1:3" ht="25" x14ac:dyDescent="0.25">
      <c r="A712" s="1"/>
      <c r="B712" s="1" t="s">
        <v>128</v>
      </c>
      <c r="C712" t="s">
        <v>758</v>
      </c>
    </row>
    <row r="713" spans="1:3" ht="25" x14ac:dyDescent="0.25">
      <c r="A713" s="1"/>
      <c r="B713" s="1" t="s">
        <v>129</v>
      </c>
      <c r="C713" t="s">
        <v>759</v>
      </c>
    </row>
    <row r="714" spans="1:3" ht="25" x14ac:dyDescent="0.25">
      <c r="A714" s="1"/>
      <c r="B714" s="1" t="s">
        <v>130</v>
      </c>
      <c r="C714" t="s">
        <v>760</v>
      </c>
    </row>
    <row r="715" spans="1:3" ht="25" x14ac:dyDescent="0.25">
      <c r="A715" s="1" t="s">
        <v>18</v>
      </c>
      <c r="B715" s="1" t="s">
        <v>131</v>
      </c>
      <c r="C715" t="s">
        <v>761</v>
      </c>
    </row>
    <row r="716" spans="1:3" ht="25" x14ac:dyDescent="0.25">
      <c r="A716" s="1"/>
      <c r="B716" s="1" t="s">
        <v>132</v>
      </c>
      <c r="C716" t="s">
        <v>446</v>
      </c>
    </row>
    <row r="717" spans="1:3" ht="25" x14ac:dyDescent="0.25">
      <c r="A717" s="1"/>
      <c r="B717" s="1" t="s">
        <v>118</v>
      </c>
      <c r="C717" t="s">
        <v>564</v>
      </c>
    </row>
    <row r="718" spans="1:3" ht="25" x14ac:dyDescent="0.25">
      <c r="A718" s="1"/>
      <c r="B718" s="1" t="s">
        <v>119</v>
      </c>
      <c r="C718" t="s">
        <v>762</v>
      </c>
    </row>
    <row r="719" spans="1:3" ht="25" x14ac:dyDescent="0.25">
      <c r="A719" s="1"/>
      <c r="B719" s="1" t="s">
        <v>120</v>
      </c>
      <c r="C719" t="s">
        <v>763</v>
      </c>
    </row>
    <row r="720" spans="1:3" ht="25" x14ac:dyDescent="0.25">
      <c r="A720" s="1"/>
      <c r="B720" s="1" t="s">
        <v>121</v>
      </c>
      <c r="C720" t="s">
        <v>764</v>
      </c>
    </row>
    <row r="721" spans="1:3" ht="25" x14ac:dyDescent="0.25">
      <c r="A721" s="1"/>
      <c r="B721" s="1" t="s">
        <v>122</v>
      </c>
      <c r="C721" t="s">
        <v>765</v>
      </c>
    </row>
    <row r="722" spans="1:3" ht="25" x14ac:dyDescent="0.25">
      <c r="A722" s="1"/>
      <c r="B722" s="1" t="s">
        <v>123</v>
      </c>
      <c r="C722" t="s">
        <v>766</v>
      </c>
    </row>
    <row r="723" spans="1:3" ht="25" x14ac:dyDescent="0.25">
      <c r="A723" s="1"/>
      <c r="B723" s="1" t="s">
        <v>124</v>
      </c>
      <c r="C723" t="s">
        <v>767</v>
      </c>
    </row>
    <row r="724" spans="1:3" ht="25" x14ac:dyDescent="0.25">
      <c r="A724" s="1"/>
      <c r="B724" s="1" t="s">
        <v>58</v>
      </c>
      <c r="C724" t="s">
        <v>768</v>
      </c>
    </row>
    <row r="725" spans="1:3" ht="25" x14ac:dyDescent="0.25">
      <c r="A725" s="1"/>
      <c r="B725" s="1" t="s">
        <v>59</v>
      </c>
      <c r="C725" t="s">
        <v>761</v>
      </c>
    </row>
    <row r="726" spans="1:3" ht="25" x14ac:dyDescent="0.25">
      <c r="A726" s="1"/>
      <c r="B726" s="1" t="s">
        <v>60</v>
      </c>
      <c r="C726" t="s">
        <v>769</v>
      </c>
    </row>
    <row r="727" spans="1:3" ht="25" x14ac:dyDescent="0.25">
      <c r="A727" s="1"/>
      <c r="B727" s="1" t="s">
        <v>125</v>
      </c>
      <c r="C727" t="s">
        <v>770</v>
      </c>
    </row>
    <row r="728" spans="1:3" ht="25" x14ac:dyDescent="0.25">
      <c r="A728" s="1"/>
      <c r="B728" s="1" t="s">
        <v>126</v>
      </c>
      <c r="C728" t="s">
        <v>92</v>
      </c>
    </row>
    <row r="729" spans="1:3" ht="25" x14ac:dyDescent="0.25">
      <c r="A729" s="1"/>
      <c r="B729" s="1" t="s">
        <v>127</v>
      </c>
      <c r="C729" t="s">
        <v>762</v>
      </c>
    </row>
    <row r="730" spans="1:3" ht="25" x14ac:dyDescent="0.25">
      <c r="A730" s="1"/>
      <c r="B730" s="1" t="s">
        <v>128</v>
      </c>
      <c r="C730" t="s">
        <v>771</v>
      </c>
    </row>
    <row r="731" spans="1:3" ht="25" x14ac:dyDescent="0.25">
      <c r="A731" s="1"/>
      <c r="B731" s="1" t="s">
        <v>129</v>
      </c>
      <c r="C731" t="s">
        <v>772</v>
      </c>
    </row>
    <row r="732" spans="1:3" ht="25" x14ac:dyDescent="0.25">
      <c r="A732" s="1"/>
      <c r="B732" s="1" t="s">
        <v>130</v>
      </c>
      <c r="C732" t="s">
        <v>773</v>
      </c>
    </row>
    <row r="733" spans="1:3" ht="25" x14ac:dyDescent="0.25">
      <c r="A733" s="1" t="s">
        <v>20</v>
      </c>
      <c r="B733" s="1" t="s">
        <v>131</v>
      </c>
      <c r="C733" t="s">
        <v>774</v>
      </c>
    </row>
    <row r="734" spans="1:3" ht="25" x14ac:dyDescent="0.25">
      <c r="A734" s="1"/>
      <c r="B734" s="1" t="s">
        <v>132</v>
      </c>
      <c r="C734" t="s">
        <v>775</v>
      </c>
    </row>
    <row r="735" spans="1:3" ht="25" x14ac:dyDescent="0.25">
      <c r="A735" s="1"/>
      <c r="B735" s="1" t="s">
        <v>118</v>
      </c>
      <c r="C735" t="s">
        <v>776</v>
      </c>
    </row>
    <row r="736" spans="1:3" ht="25" x14ac:dyDescent="0.25">
      <c r="A736" s="1"/>
      <c r="B736" s="1" t="s">
        <v>119</v>
      </c>
      <c r="C736" t="s">
        <v>777</v>
      </c>
    </row>
    <row r="737" spans="1:3" ht="25" x14ac:dyDescent="0.25">
      <c r="A737" s="1"/>
      <c r="B737" s="1" t="s">
        <v>120</v>
      </c>
      <c r="C737" t="s">
        <v>778</v>
      </c>
    </row>
    <row r="738" spans="1:3" ht="25" x14ac:dyDescent="0.25">
      <c r="A738" s="1"/>
      <c r="B738" s="1" t="s">
        <v>121</v>
      </c>
      <c r="C738" t="s">
        <v>321</v>
      </c>
    </row>
    <row r="739" spans="1:3" ht="25" x14ac:dyDescent="0.25">
      <c r="A739" s="1"/>
      <c r="B739" s="1" t="s">
        <v>122</v>
      </c>
      <c r="C739" t="s">
        <v>323</v>
      </c>
    </row>
    <row r="740" spans="1:3" ht="25" x14ac:dyDescent="0.25">
      <c r="A740" s="1"/>
      <c r="B740" s="1" t="s">
        <v>123</v>
      </c>
      <c r="C740" t="s">
        <v>779</v>
      </c>
    </row>
    <row r="741" spans="1:3" ht="25" x14ac:dyDescent="0.25">
      <c r="A741" s="1"/>
      <c r="B741" s="1" t="s">
        <v>124</v>
      </c>
      <c r="C741" t="s">
        <v>780</v>
      </c>
    </row>
    <row r="742" spans="1:3" ht="25" x14ac:dyDescent="0.25">
      <c r="A742" s="1"/>
      <c r="B742" s="1" t="s">
        <v>58</v>
      </c>
      <c r="C742" t="s">
        <v>781</v>
      </c>
    </row>
    <row r="743" spans="1:3" ht="25" x14ac:dyDescent="0.25">
      <c r="A743" s="1"/>
      <c r="B743" s="1" t="s">
        <v>59</v>
      </c>
      <c r="C743" t="s">
        <v>336</v>
      </c>
    </row>
    <row r="744" spans="1:3" ht="25" x14ac:dyDescent="0.25">
      <c r="A744" s="1"/>
      <c r="B744" s="1" t="s">
        <v>60</v>
      </c>
      <c r="C744" t="s">
        <v>782</v>
      </c>
    </row>
    <row r="745" spans="1:3" ht="25" x14ac:dyDescent="0.25">
      <c r="A745" s="1"/>
      <c r="B745" s="1" t="s">
        <v>125</v>
      </c>
      <c r="C745" t="s">
        <v>783</v>
      </c>
    </row>
    <row r="746" spans="1:3" ht="25" x14ac:dyDescent="0.25">
      <c r="A746" s="1"/>
      <c r="B746" s="1" t="s">
        <v>126</v>
      </c>
      <c r="C746" t="s">
        <v>784</v>
      </c>
    </row>
    <row r="747" spans="1:3" ht="25" x14ac:dyDescent="0.25">
      <c r="A747" s="1"/>
      <c r="B747" s="1" t="s">
        <v>127</v>
      </c>
      <c r="C747" t="s">
        <v>785</v>
      </c>
    </row>
    <row r="748" spans="1:3" ht="25" x14ac:dyDescent="0.25">
      <c r="A748" s="1"/>
      <c r="B748" s="1" t="s">
        <v>128</v>
      </c>
      <c r="C748" t="s">
        <v>786</v>
      </c>
    </row>
    <row r="749" spans="1:3" ht="25" x14ac:dyDescent="0.25">
      <c r="A749" s="1"/>
      <c r="B749" s="1" t="s">
        <v>129</v>
      </c>
      <c r="C749" t="s">
        <v>787</v>
      </c>
    </row>
    <row r="750" spans="1:3" ht="25" x14ac:dyDescent="0.25">
      <c r="A750" s="1"/>
      <c r="B750" s="1" t="s">
        <v>130</v>
      </c>
      <c r="C750" t="s">
        <v>347</v>
      </c>
    </row>
    <row r="751" spans="1:3" ht="25" x14ac:dyDescent="0.25">
      <c r="A751" s="1" t="s">
        <v>32</v>
      </c>
      <c r="B751" s="1" t="s">
        <v>131</v>
      </c>
      <c r="C751" t="s">
        <v>788</v>
      </c>
    </row>
    <row r="752" spans="1:3" ht="25" x14ac:dyDescent="0.25">
      <c r="A752" s="1"/>
      <c r="B752" s="1" t="s">
        <v>132</v>
      </c>
      <c r="C752" t="s">
        <v>789</v>
      </c>
    </row>
    <row r="753" spans="1:3" ht="25" x14ac:dyDescent="0.25">
      <c r="A753" s="1"/>
      <c r="B753" s="1" t="s">
        <v>118</v>
      </c>
      <c r="C753" t="s">
        <v>790</v>
      </c>
    </row>
    <row r="754" spans="1:3" ht="25" x14ac:dyDescent="0.25">
      <c r="A754" s="1"/>
      <c r="B754" s="1" t="s">
        <v>119</v>
      </c>
      <c r="C754" t="s">
        <v>791</v>
      </c>
    </row>
    <row r="755" spans="1:3" ht="25" x14ac:dyDescent="0.25">
      <c r="A755" s="1"/>
      <c r="B755" s="1" t="s">
        <v>120</v>
      </c>
      <c r="C755" t="s">
        <v>792</v>
      </c>
    </row>
    <row r="756" spans="1:3" ht="25" x14ac:dyDescent="0.25">
      <c r="A756" s="1"/>
      <c r="B756" s="1" t="s">
        <v>121</v>
      </c>
      <c r="C756" t="s">
        <v>793</v>
      </c>
    </row>
    <row r="757" spans="1:3" ht="25" x14ac:dyDescent="0.25">
      <c r="A757" s="1"/>
      <c r="B757" s="1" t="s">
        <v>122</v>
      </c>
      <c r="C757" t="s">
        <v>794</v>
      </c>
    </row>
    <row r="758" spans="1:3" ht="25" x14ac:dyDescent="0.25">
      <c r="A758" s="1"/>
      <c r="B758" s="1" t="s">
        <v>123</v>
      </c>
      <c r="C758" t="s">
        <v>795</v>
      </c>
    </row>
    <row r="759" spans="1:3" ht="25" x14ac:dyDescent="0.25">
      <c r="A759" s="1"/>
      <c r="B759" s="1" t="s">
        <v>124</v>
      </c>
      <c r="C759" t="s">
        <v>194</v>
      </c>
    </row>
    <row r="760" spans="1:3" ht="25" x14ac:dyDescent="0.25">
      <c r="A760" s="1"/>
      <c r="B760" s="1" t="s">
        <v>58</v>
      </c>
      <c r="C760" t="s">
        <v>796</v>
      </c>
    </row>
    <row r="761" spans="1:3" ht="25" x14ac:dyDescent="0.25">
      <c r="A761" s="1"/>
      <c r="B761" s="1" t="s">
        <v>59</v>
      </c>
      <c r="C761" t="s">
        <v>215</v>
      </c>
    </row>
    <row r="762" spans="1:3" ht="25" x14ac:dyDescent="0.25">
      <c r="A762" s="1"/>
      <c r="B762" s="1" t="s">
        <v>60</v>
      </c>
      <c r="C762" t="s">
        <v>797</v>
      </c>
    </row>
    <row r="763" spans="1:3" ht="25" x14ac:dyDescent="0.25">
      <c r="A763" s="1"/>
      <c r="B763" s="1" t="s">
        <v>125</v>
      </c>
      <c r="C763" t="s">
        <v>798</v>
      </c>
    </row>
    <row r="764" spans="1:3" ht="25" x14ac:dyDescent="0.25">
      <c r="A764" s="1"/>
      <c r="B764" s="1" t="s">
        <v>126</v>
      </c>
      <c r="C764" t="s">
        <v>372</v>
      </c>
    </row>
    <row r="765" spans="1:3" ht="25" x14ac:dyDescent="0.25">
      <c r="A765" s="1"/>
      <c r="B765" s="1" t="s">
        <v>127</v>
      </c>
      <c r="C765" t="s">
        <v>799</v>
      </c>
    </row>
    <row r="766" spans="1:3" ht="25" x14ac:dyDescent="0.25">
      <c r="A766" s="1"/>
      <c r="B766" s="1" t="s">
        <v>128</v>
      </c>
      <c r="C766" t="s">
        <v>800</v>
      </c>
    </row>
    <row r="767" spans="1:3" ht="25" x14ac:dyDescent="0.25">
      <c r="A767" s="1"/>
      <c r="B767" s="1" t="s">
        <v>129</v>
      </c>
      <c r="C767" t="s">
        <v>113</v>
      </c>
    </row>
    <row r="768" spans="1:3" ht="25" x14ac:dyDescent="0.25">
      <c r="A768" s="1"/>
      <c r="B768" s="1" t="s">
        <v>130</v>
      </c>
      <c r="C768" t="s">
        <v>801</v>
      </c>
    </row>
    <row r="769" spans="1:3" ht="25" x14ac:dyDescent="0.25">
      <c r="A769" s="1" t="s">
        <v>4</v>
      </c>
      <c r="B769" s="1" t="s">
        <v>131</v>
      </c>
      <c r="C769" t="s">
        <v>802</v>
      </c>
    </row>
    <row r="770" spans="1:3" ht="25" x14ac:dyDescent="0.25">
      <c r="A770" s="1"/>
      <c r="B770" s="1" t="s">
        <v>132</v>
      </c>
      <c r="C770" t="s">
        <v>294</v>
      </c>
    </row>
    <row r="771" spans="1:3" ht="25" x14ac:dyDescent="0.25">
      <c r="A771" s="1"/>
      <c r="B771" s="1" t="s">
        <v>118</v>
      </c>
      <c r="C771" t="s">
        <v>803</v>
      </c>
    </row>
    <row r="772" spans="1:3" ht="25" x14ac:dyDescent="0.25">
      <c r="A772" s="1"/>
      <c r="B772" s="1" t="s">
        <v>119</v>
      </c>
      <c r="C772" t="s">
        <v>804</v>
      </c>
    </row>
    <row r="773" spans="1:3" ht="25" x14ac:dyDescent="0.25">
      <c r="A773" s="1"/>
      <c r="B773" s="1" t="s">
        <v>120</v>
      </c>
      <c r="C773" t="s">
        <v>805</v>
      </c>
    </row>
    <row r="774" spans="1:3" ht="25" x14ac:dyDescent="0.25">
      <c r="A774" s="1"/>
      <c r="B774" s="1" t="s">
        <v>121</v>
      </c>
      <c r="C774" t="s">
        <v>806</v>
      </c>
    </row>
    <row r="775" spans="1:3" ht="25" x14ac:dyDescent="0.25">
      <c r="A775" s="1"/>
      <c r="B775" s="1" t="s">
        <v>122</v>
      </c>
      <c r="C775" t="s">
        <v>807</v>
      </c>
    </row>
    <row r="776" spans="1:3" ht="25" x14ac:dyDescent="0.25">
      <c r="A776" s="1"/>
      <c r="B776" s="1" t="s">
        <v>123</v>
      </c>
      <c r="C776" t="s">
        <v>808</v>
      </c>
    </row>
    <row r="777" spans="1:3" ht="25" x14ac:dyDescent="0.25">
      <c r="A777" s="1"/>
      <c r="B777" s="1" t="s">
        <v>124</v>
      </c>
      <c r="C777" t="s">
        <v>63</v>
      </c>
    </row>
    <row r="778" spans="1:3" ht="25" x14ac:dyDescent="0.25">
      <c r="A778" s="1"/>
      <c r="B778" s="1" t="s">
        <v>58</v>
      </c>
      <c r="C778" t="s">
        <v>809</v>
      </c>
    </row>
    <row r="779" spans="1:3" ht="25" x14ac:dyDescent="0.25">
      <c r="A779" s="1"/>
      <c r="B779" s="1" t="s">
        <v>59</v>
      </c>
      <c r="C779" t="s">
        <v>810</v>
      </c>
    </row>
    <row r="780" spans="1:3" ht="25" x14ac:dyDescent="0.25">
      <c r="A780" s="1"/>
      <c r="B780" s="1" t="s">
        <v>60</v>
      </c>
      <c r="C780" t="s">
        <v>806</v>
      </c>
    </row>
    <row r="781" spans="1:3" ht="25" x14ac:dyDescent="0.25">
      <c r="A781" s="1"/>
      <c r="B781" s="1" t="s">
        <v>125</v>
      </c>
      <c r="C781" t="s">
        <v>811</v>
      </c>
    </row>
    <row r="782" spans="1:3" ht="25" x14ac:dyDescent="0.25">
      <c r="A782" s="1"/>
      <c r="B782" s="1" t="s">
        <v>126</v>
      </c>
      <c r="C782" t="s">
        <v>812</v>
      </c>
    </row>
    <row r="783" spans="1:3" ht="25" x14ac:dyDescent="0.25">
      <c r="A783" s="1"/>
      <c r="B783" s="1" t="s">
        <v>127</v>
      </c>
      <c r="C783" t="s">
        <v>813</v>
      </c>
    </row>
    <row r="784" spans="1:3" ht="25" x14ac:dyDescent="0.25">
      <c r="A784" s="1"/>
      <c r="B784" s="1" t="s">
        <v>128</v>
      </c>
      <c r="C784" t="s">
        <v>67</v>
      </c>
    </row>
    <row r="785" spans="1:3" ht="25" x14ac:dyDescent="0.25">
      <c r="A785" s="1"/>
      <c r="B785" s="1" t="s">
        <v>129</v>
      </c>
      <c r="C785" t="s">
        <v>814</v>
      </c>
    </row>
    <row r="786" spans="1:3" ht="25" x14ac:dyDescent="0.25">
      <c r="A786" s="1"/>
      <c r="B786" s="1" t="s">
        <v>130</v>
      </c>
      <c r="C786" t="s">
        <v>815</v>
      </c>
    </row>
    <row r="787" spans="1:3" ht="25" x14ac:dyDescent="0.25">
      <c r="A787" s="1" t="s">
        <v>19</v>
      </c>
      <c r="B787" s="1" t="s">
        <v>131</v>
      </c>
      <c r="C787" t="s">
        <v>816</v>
      </c>
    </row>
    <row r="788" spans="1:3" ht="25" x14ac:dyDescent="0.25">
      <c r="A788" s="1"/>
      <c r="B788" s="1" t="s">
        <v>132</v>
      </c>
      <c r="C788" t="s">
        <v>817</v>
      </c>
    </row>
    <row r="789" spans="1:3" ht="25" x14ac:dyDescent="0.25">
      <c r="A789" s="1"/>
      <c r="B789" s="1" t="s">
        <v>118</v>
      </c>
      <c r="C789" t="s">
        <v>818</v>
      </c>
    </row>
    <row r="790" spans="1:3" ht="25" x14ac:dyDescent="0.25">
      <c r="A790" s="1"/>
      <c r="B790" s="1" t="s">
        <v>119</v>
      </c>
      <c r="C790" t="s">
        <v>796</v>
      </c>
    </row>
    <row r="791" spans="1:3" ht="25" x14ac:dyDescent="0.25">
      <c r="A791" s="1"/>
      <c r="B791" s="1" t="s">
        <v>120</v>
      </c>
      <c r="C791" t="s">
        <v>819</v>
      </c>
    </row>
    <row r="792" spans="1:3" ht="25" x14ac:dyDescent="0.25">
      <c r="A792" s="1"/>
      <c r="B792" s="1" t="s">
        <v>121</v>
      </c>
      <c r="C792" t="s">
        <v>820</v>
      </c>
    </row>
    <row r="793" spans="1:3" ht="25" x14ac:dyDescent="0.25">
      <c r="A793" s="1"/>
      <c r="B793" s="1" t="s">
        <v>122</v>
      </c>
      <c r="C793" t="s">
        <v>305</v>
      </c>
    </row>
    <row r="794" spans="1:3" ht="25" x14ac:dyDescent="0.25">
      <c r="A794" s="1"/>
      <c r="B794" s="1" t="s">
        <v>123</v>
      </c>
      <c r="C794" t="s">
        <v>764</v>
      </c>
    </row>
    <row r="795" spans="1:3" ht="25" x14ac:dyDescent="0.25">
      <c r="A795" s="1"/>
      <c r="B795" s="1" t="s">
        <v>124</v>
      </c>
      <c r="C795" t="s">
        <v>821</v>
      </c>
    </row>
    <row r="796" spans="1:3" ht="25" x14ac:dyDescent="0.25">
      <c r="A796" s="1"/>
      <c r="B796" s="1" t="s">
        <v>58</v>
      </c>
      <c r="C796" t="s">
        <v>446</v>
      </c>
    </row>
    <row r="797" spans="1:3" ht="25" x14ac:dyDescent="0.25">
      <c r="A797" s="1"/>
      <c r="B797" s="1" t="s">
        <v>59</v>
      </c>
      <c r="C797" t="s">
        <v>192</v>
      </c>
    </row>
    <row r="798" spans="1:3" ht="25" x14ac:dyDescent="0.25">
      <c r="A798" s="1"/>
      <c r="B798" s="1" t="s">
        <v>60</v>
      </c>
      <c r="C798" t="s">
        <v>822</v>
      </c>
    </row>
    <row r="799" spans="1:3" ht="25" x14ac:dyDescent="0.25">
      <c r="A799" s="1"/>
      <c r="B799" s="1" t="s">
        <v>125</v>
      </c>
      <c r="C799" t="s">
        <v>823</v>
      </c>
    </row>
    <row r="800" spans="1:3" ht="25" x14ac:dyDescent="0.25">
      <c r="A800" s="1"/>
      <c r="B800" s="1" t="s">
        <v>126</v>
      </c>
      <c r="C800" t="s">
        <v>824</v>
      </c>
    </row>
    <row r="801" spans="1:3" ht="25" x14ac:dyDescent="0.25">
      <c r="A801" s="1"/>
      <c r="B801" s="1" t="s">
        <v>127</v>
      </c>
      <c r="C801" t="s">
        <v>825</v>
      </c>
    </row>
    <row r="802" spans="1:3" ht="25" x14ac:dyDescent="0.25">
      <c r="A802" s="1"/>
      <c r="B802" s="1" t="s">
        <v>128</v>
      </c>
      <c r="C802" t="s">
        <v>90</v>
      </c>
    </row>
    <row r="803" spans="1:3" ht="25" x14ac:dyDescent="0.25">
      <c r="A803" s="1"/>
      <c r="B803" s="1" t="s">
        <v>129</v>
      </c>
      <c r="C803" t="s">
        <v>81</v>
      </c>
    </row>
    <row r="804" spans="1:3" ht="25" x14ac:dyDescent="0.25">
      <c r="A804" s="1"/>
      <c r="B804" s="1" t="s">
        <v>130</v>
      </c>
      <c r="C804" t="s">
        <v>559</v>
      </c>
    </row>
    <row r="805" spans="1:3" ht="25" x14ac:dyDescent="0.25">
      <c r="A805" s="1" t="s">
        <v>29</v>
      </c>
      <c r="B805" s="1" t="s">
        <v>131</v>
      </c>
      <c r="C805" t="s">
        <v>826</v>
      </c>
    </row>
    <row r="806" spans="1:3" ht="25" x14ac:dyDescent="0.25">
      <c r="A806" s="1"/>
      <c r="B806" s="1" t="s">
        <v>132</v>
      </c>
      <c r="C806" t="s">
        <v>827</v>
      </c>
    </row>
    <row r="807" spans="1:3" ht="25" x14ac:dyDescent="0.25">
      <c r="A807" s="1"/>
      <c r="B807" s="1" t="s">
        <v>118</v>
      </c>
      <c r="C807" t="s">
        <v>718</v>
      </c>
    </row>
    <row r="808" spans="1:3" ht="25" x14ac:dyDescent="0.25">
      <c r="A808" s="1"/>
      <c r="B808" s="1" t="s">
        <v>119</v>
      </c>
      <c r="C808" t="s">
        <v>828</v>
      </c>
    </row>
    <row r="809" spans="1:3" ht="25" x14ac:dyDescent="0.25">
      <c r="A809" s="1"/>
      <c r="B809" s="1" t="s">
        <v>120</v>
      </c>
      <c r="C809" t="s">
        <v>105</v>
      </c>
    </row>
    <row r="810" spans="1:3" ht="25" x14ac:dyDescent="0.25">
      <c r="A810" s="1"/>
      <c r="B810" s="1" t="s">
        <v>121</v>
      </c>
      <c r="C810" t="s">
        <v>829</v>
      </c>
    </row>
    <row r="811" spans="1:3" ht="25" x14ac:dyDescent="0.25">
      <c r="A811" s="1"/>
      <c r="B811" s="1" t="s">
        <v>122</v>
      </c>
      <c r="C811" t="s">
        <v>830</v>
      </c>
    </row>
    <row r="812" spans="1:3" ht="25" x14ac:dyDescent="0.25">
      <c r="A812" s="1"/>
      <c r="B812" s="1" t="s">
        <v>123</v>
      </c>
      <c r="C812" t="s">
        <v>831</v>
      </c>
    </row>
    <row r="813" spans="1:3" ht="25" x14ac:dyDescent="0.25">
      <c r="A813" s="1"/>
      <c r="B813" s="1" t="s">
        <v>124</v>
      </c>
      <c r="C813" t="s">
        <v>103</v>
      </c>
    </row>
    <row r="814" spans="1:3" ht="25" x14ac:dyDescent="0.25">
      <c r="A814" s="1"/>
      <c r="B814" s="1" t="s">
        <v>58</v>
      </c>
      <c r="C814" t="s">
        <v>103</v>
      </c>
    </row>
    <row r="815" spans="1:3" ht="25" x14ac:dyDescent="0.25">
      <c r="A815" s="1"/>
      <c r="B815" s="1" t="s">
        <v>59</v>
      </c>
      <c r="C815" t="s">
        <v>556</v>
      </c>
    </row>
    <row r="816" spans="1:3" ht="25" x14ac:dyDescent="0.25">
      <c r="A816" s="1"/>
      <c r="B816" s="1" t="s">
        <v>60</v>
      </c>
      <c r="C816" t="s">
        <v>832</v>
      </c>
    </row>
    <row r="817" spans="1:3" ht="25" x14ac:dyDescent="0.25">
      <c r="A817" s="1"/>
      <c r="B817" s="1" t="s">
        <v>125</v>
      </c>
      <c r="C817" t="s">
        <v>204</v>
      </c>
    </row>
    <row r="818" spans="1:3" ht="25" x14ac:dyDescent="0.25">
      <c r="A818" s="1"/>
      <c r="B818" s="1" t="s">
        <v>126</v>
      </c>
      <c r="C818" t="s">
        <v>833</v>
      </c>
    </row>
    <row r="819" spans="1:3" ht="25" x14ac:dyDescent="0.25">
      <c r="A819" s="1"/>
      <c r="B819" s="1" t="s">
        <v>127</v>
      </c>
      <c r="C819" t="s">
        <v>97</v>
      </c>
    </row>
    <row r="820" spans="1:3" ht="25" x14ac:dyDescent="0.25">
      <c r="A820" s="1"/>
      <c r="B820" s="1" t="s">
        <v>128</v>
      </c>
      <c r="C820" t="s">
        <v>834</v>
      </c>
    </row>
    <row r="821" spans="1:3" ht="25" x14ac:dyDescent="0.25">
      <c r="A821" s="1"/>
      <c r="B821" s="1" t="s">
        <v>129</v>
      </c>
      <c r="C821" t="s">
        <v>276</v>
      </c>
    </row>
    <row r="822" spans="1:3" ht="25" x14ac:dyDescent="0.25">
      <c r="A822" s="1"/>
      <c r="B822" s="1" t="s">
        <v>130</v>
      </c>
      <c r="C822" t="s">
        <v>835</v>
      </c>
    </row>
    <row r="823" spans="1:3" ht="25" x14ac:dyDescent="0.25">
      <c r="A823" s="1" t="s">
        <v>39</v>
      </c>
      <c r="B823" s="1" t="s">
        <v>131</v>
      </c>
      <c r="C823" t="s">
        <v>836</v>
      </c>
    </row>
    <row r="824" spans="1:3" ht="25" x14ac:dyDescent="0.25">
      <c r="A824" s="1"/>
      <c r="B824" s="1" t="s">
        <v>132</v>
      </c>
      <c r="C824" t="s">
        <v>837</v>
      </c>
    </row>
    <row r="825" spans="1:3" ht="25" x14ac:dyDescent="0.25">
      <c r="A825" s="1"/>
      <c r="B825" s="1" t="s">
        <v>118</v>
      </c>
      <c r="C825" t="s">
        <v>838</v>
      </c>
    </row>
    <row r="826" spans="1:3" ht="25" x14ac:dyDescent="0.25">
      <c r="A826" s="1"/>
      <c r="B826" s="1" t="s">
        <v>119</v>
      </c>
      <c r="C826" t="s">
        <v>839</v>
      </c>
    </row>
    <row r="827" spans="1:3" ht="25" x14ac:dyDescent="0.25">
      <c r="A827" s="1"/>
      <c r="B827" s="1" t="s">
        <v>120</v>
      </c>
      <c r="C827" t="s">
        <v>840</v>
      </c>
    </row>
    <row r="828" spans="1:3" ht="25" x14ac:dyDescent="0.25">
      <c r="A828" s="1"/>
      <c r="B828" s="1" t="s">
        <v>121</v>
      </c>
      <c r="C828" t="s">
        <v>841</v>
      </c>
    </row>
    <row r="829" spans="1:3" ht="25" x14ac:dyDescent="0.25">
      <c r="A829" s="1"/>
      <c r="B829" s="1" t="s">
        <v>122</v>
      </c>
      <c r="C829" t="s">
        <v>500</v>
      </c>
    </row>
    <row r="830" spans="1:3" ht="25" x14ac:dyDescent="0.25">
      <c r="A830" s="1"/>
      <c r="B830" s="1" t="s">
        <v>123</v>
      </c>
      <c r="C830" t="s">
        <v>842</v>
      </c>
    </row>
    <row r="831" spans="1:3" ht="25" x14ac:dyDescent="0.25">
      <c r="A831" s="1"/>
      <c r="B831" s="1" t="s">
        <v>124</v>
      </c>
      <c r="C831" t="s">
        <v>274</v>
      </c>
    </row>
    <row r="832" spans="1:3" ht="25" x14ac:dyDescent="0.25">
      <c r="A832" s="1"/>
      <c r="B832" s="1" t="s">
        <v>58</v>
      </c>
      <c r="C832" t="s">
        <v>207</v>
      </c>
    </row>
    <row r="833" spans="1:3" ht="25" x14ac:dyDescent="0.25">
      <c r="A833" s="1"/>
      <c r="B833" s="1" t="s">
        <v>59</v>
      </c>
      <c r="C833" t="s">
        <v>843</v>
      </c>
    </row>
    <row r="834" spans="1:3" ht="25" x14ac:dyDescent="0.25">
      <c r="A834" s="1"/>
      <c r="B834" s="1" t="s">
        <v>60</v>
      </c>
      <c r="C834" t="s">
        <v>844</v>
      </c>
    </row>
    <row r="835" spans="1:3" ht="25" x14ac:dyDescent="0.25">
      <c r="A835" s="1"/>
      <c r="B835" s="1" t="s">
        <v>125</v>
      </c>
      <c r="C835" t="s">
        <v>845</v>
      </c>
    </row>
    <row r="836" spans="1:3" ht="25" x14ac:dyDescent="0.25">
      <c r="A836" s="1"/>
      <c r="B836" s="1" t="s">
        <v>126</v>
      </c>
      <c r="C836" t="s">
        <v>846</v>
      </c>
    </row>
    <row r="837" spans="1:3" ht="25" x14ac:dyDescent="0.25">
      <c r="A837" s="1"/>
      <c r="B837" s="1" t="s">
        <v>127</v>
      </c>
      <c r="C837" t="s">
        <v>847</v>
      </c>
    </row>
    <row r="838" spans="1:3" ht="25" x14ac:dyDescent="0.25">
      <c r="A838" s="1"/>
      <c r="B838" s="1" t="s">
        <v>128</v>
      </c>
      <c r="C838" t="s">
        <v>848</v>
      </c>
    </row>
    <row r="839" spans="1:3" ht="25" x14ac:dyDescent="0.25">
      <c r="A839" s="1"/>
      <c r="B839" s="1" t="s">
        <v>129</v>
      </c>
      <c r="C839" t="s">
        <v>849</v>
      </c>
    </row>
    <row r="840" spans="1:3" ht="25" x14ac:dyDescent="0.25">
      <c r="A840" s="1"/>
      <c r="B840" s="1" t="s">
        <v>130</v>
      </c>
      <c r="C840" t="s">
        <v>850</v>
      </c>
    </row>
    <row r="841" spans="1:3" ht="25" x14ac:dyDescent="0.25">
      <c r="A841" s="1" t="s">
        <v>47</v>
      </c>
      <c r="B841" s="1" t="s">
        <v>131</v>
      </c>
      <c r="C841" t="s">
        <v>587</v>
      </c>
    </row>
    <row r="842" spans="1:3" ht="25" x14ac:dyDescent="0.25">
      <c r="A842" s="1"/>
      <c r="B842" s="1" t="s">
        <v>132</v>
      </c>
      <c r="C842" t="s">
        <v>851</v>
      </c>
    </row>
    <row r="843" spans="1:3" ht="25" x14ac:dyDescent="0.25">
      <c r="A843" s="1"/>
      <c r="B843" s="1" t="s">
        <v>118</v>
      </c>
      <c r="C843" t="s">
        <v>852</v>
      </c>
    </row>
    <row r="844" spans="1:3" ht="25" x14ac:dyDescent="0.25">
      <c r="A844" s="1"/>
      <c r="B844" s="1" t="s">
        <v>119</v>
      </c>
      <c r="C844" t="s">
        <v>853</v>
      </c>
    </row>
    <row r="845" spans="1:3" ht="25" x14ac:dyDescent="0.25">
      <c r="A845" s="1"/>
      <c r="B845" s="1" t="s">
        <v>120</v>
      </c>
      <c r="C845" t="s">
        <v>854</v>
      </c>
    </row>
    <row r="846" spans="1:3" ht="25" x14ac:dyDescent="0.25">
      <c r="A846" s="1"/>
      <c r="B846" s="1" t="s">
        <v>121</v>
      </c>
      <c r="C846" t="s">
        <v>855</v>
      </c>
    </row>
    <row r="847" spans="1:3" ht="25" x14ac:dyDescent="0.25">
      <c r="A847" s="1"/>
      <c r="B847" s="1" t="s">
        <v>122</v>
      </c>
      <c r="C847" t="s">
        <v>856</v>
      </c>
    </row>
    <row r="848" spans="1:3" ht="25" x14ac:dyDescent="0.25">
      <c r="A848" s="1"/>
      <c r="B848" s="1" t="s">
        <v>123</v>
      </c>
      <c r="C848" t="s">
        <v>857</v>
      </c>
    </row>
    <row r="849" spans="1:3" ht="25" x14ac:dyDescent="0.25">
      <c r="A849" s="1"/>
      <c r="B849" s="1" t="s">
        <v>124</v>
      </c>
      <c r="C849" t="s">
        <v>858</v>
      </c>
    </row>
    <row r="850" spans="1:3" ht="25" x14ac:dyDescent="0.25">
      <c r="A850" s="1"/>
      <c r="B850" s="1" t="s">
        <v>58</v>
      </c>
      <c r="C850" t="s">
        <v>859</v>
      </c>
    </row>
    <row r="851" spans="1:3" ht="25" x14ac:dyDescent="0.25">
      <c r="A851" s="1"/>
      <c r="B851" s="1" t="s">
        <v>59</v>
      </c>
      <c r="C851" t="s">
        <v>693</v>
      </c>
    </row>
    <row r="852" spans="1:3" ht="25" x14ac:dyDescent="0.25">
      <c r="A852" s="1"/>
      <c r="B852" s="1" t="s">
        <v>60</v>
      </c>
      <c r="C852" t="s">
        <v>239</v>
      </c>
    </row>
    <row r="853" spans="1:3" ht="25" x14ac:dyDescent="0.25">
      <c r="A853" s="1"/>
      <c r="B853" s="1" t="s">
        <v>125</v>
      </c>
      <c r="C853" t="s">
        <v>212</v>
      </c>
    </row>
    <row r="854" spans="1:3" ht="25" x14ac:dyDescent="0.25">
      <c r="A854" s="1"/>
      <c r="B854" s="1" t="s">
        <v>126</v>
      </c>
      <c r="C854" t="s">
        <v>860</v>
      </c>
    </row>
    <row r="855" spans="1:3" ht="25" x14ac:dyDescent="0.25">
      <c r="A855" s="1"/>
      <c r="B855" s="1" t="s">
        <v>127</v>
      </c>
      <c r="C855" t="s">
        <v>861</v>
      </c>
    </row>
    <row r="856" spans="1:3" ht="25" x14ac:dyDescent="0.25">
      <c r="A856" s="1"/>
      <c r="B856" s="1" t="s">
        <v>128</v>
      </c>
      <c r="C856" t="s">
        <v>862</v>
      </c>
    </row>
    <row r="857" spans="1:3" ht="25" x14ac:dyDescent="0.25">
      <c r="A857" s="1"/>
      <c r="B857" s="1" t="s">
        <v>129</v>
      </c>
      <c r="C857" t="s">
        <v>863</v>
      </c>
    </row>
    <row r="858" spans="1:3" ht="25" x14ac:dyDescent="0.25">
      <c r="A858" s="1"/>
      <c r="B858" s="1" t="s">
        <v>130</v>
      </c>
      <c r="C858" t="s">
        <v>864</v>
      </c>
    </row>
    <row r="859" spans="1:3" ht="25" x14ac:dyDescent="0.25">
      <c r="A859" s="1" t="s">
        <v>1</v>
      </c>
      <c r="B859" s="1" t="s">
        <v>131</v>
      </c>
      <c r="C859" t="s">
        <v>865</v>
      </c>
    </row>
    <row r="860" spans="1:3" ht="25" x14ac:dyDescent="0.25">
      <c r="A860" s="1"/>
      <c r="B860" s="1" t="s">
        <v>132</v>
      </c>
      <c r="C860" t="s">
        <v>866</v>
      </c>
    </row>
    <row r="861" spans="1:3" ht="25" x14ac:dyDescent="0.25">
      <c r="A861" s="1"/>
      <c r="B861" s="1" t="s">
        <v>118</v>
      </c>
      <c r="C861" t="s">
        <v>867</v>
      </c>
    </row>
    <row r="862" spans="1:3" ht="25" x14ac:dyDescent="0.25">
      <c r="A862" s="1"/>
      <c r="B862" s="1" t="s">
        <v>119</v>
      </c>
      <c r="C862" t="s">
        <v>867</v>
      </c>
    </row>
    <row r="863" spans="1:3" ht="25" x14ac:dyDescent="0.25">
      <c r="A863" s="1"/>
      <c r="B863" s="1" t="s">
        <v>120</v>
      </c>
      <c r="C863" t="s">
        <v>868</v>
      </c>
    </row>
    <row r="864" spans="1:3" ht="25" x14ac:dyDescent="0.25">
      <c r="A864" s="1"/>
      <c r="B864" s="1" t="s">
        <v>121</v>
      </c>
      <c r="C864" t="s">
        <v>869</v>
      </c>
    </row>
    <row r="865" spans="1:3" ht="25" x14ac:dyDescent="0.25">
      <c r="A865" s="1"/>
      <c r="B865" s="1" t="s">
        <v>122</v>
      </c>
      <c r="C865" t="s">
        <v>870</v>
      </c>
    </row>
    <row r="866" spans="1:3" ht="25" x14ac:dyDescent="0.25">
      <c r="A866" s="1"/>
      <c r="B866" s="1" t="s">
        <v>123</v>
      </c>
      <c r="C866" t="s">
        <v>871</v>
      </c>
    </row>
    <row r="867" spans="1:3" ht="25" x14ac:dyDescent="0.25">
      <c r="A867" s="1"/>
      <c r="B867" s="1" t="s">
        <v>124</v>
      </c>
      <c r="C867" t="s">
        <v>869</v>
      </c>
    </row>
    <row r="868" spans="1:3" ht="25" x14ac:dyDescent="0.25">
      <c r="A868" s="1"/>
      <c r="B868" s="1" t="s">
        <v>58</v>
      </c>
      <c r="C868" t="s">
        <v>872</v>
      </c>
    </row>
    <row r="869" spans="1:3" ht="25" x14ac:dyDescent="0.25">
      <c r="A869" s="1"/>
      <c r="B869" s="1" t="s">
        <v>59</v>
      </c>
      <c r="C869" t="s">
        <v>873</v>
      </c>
    </row>
    <row r="870" spans="1:3" ht="25" x14ac:dyDescent="0.25">
      <c r="A870" s="1"/>
      <c r="B870" s="1" t="s">
        <v>60</v>
      </c>
      <c r="C870" t="s">
        <v>869</v>
      </c>
    </row>
    <row r="871" spans="1:3" ht="25" x14ac:dyDescent="0.25">
      <c r="A871" s="1"/>
      <c r="B871" s="1" t="s">
        <v>125</v>
      </c>
      <c r="C871" t="s">
        <v>874</v>
      </c>
    </row>
    <row r="872" spans="1:3" ht="25" x14ac:dyDescent="0.25">
      <c r="A872" s="1"/>
      <c r="B872" s="1" t="s">
        <v>126</v>
      </c>
      <c r="C872" t="s">
        <v>875</v>
      </c>
    </row>
    <row r="873" spans="1:3" ht="25" x14ac:dyDescent="0.25">
      <c r="A873" s="1"/>
      <c r="B873" s="1" t="s">
        <v>127</v>
      </c>
      <c r="C873" t="s">
        <v>876</v>
      </c>
    </row>
    <row r="874" spans="1:3" ht="25" x14ac:dyDescent="0.25">
      <c r="A874" s="1"/>
      <c r="B874" s="1" t="s">
        <v>128</v>
      </c>
      <c r="C874" t="s">
        <v>877</v>
      </c>
    </row>
    <row r="875" spans="1:3" ht="25" x14ac:dyDescent="0.25">
      <c r="A875" s="1"/>
      <c r="B875" s="1" t="s">
        <v>129</v>
      </c>
      <c r="C875" t="s">
        <v>878</v>
      </c>
    </row>
    <row r="876" spans="1:3" ht="25" x14ac:dyDescent="0.25">
      <c r="A876" s="1"/>
      <c r="B876" s="1" t="s">
        <v>130</v>
      </c>
      <c r="C876" t="s">
        <v>879</v>
      </c>
    </row>
    <row r="877" spans="1:3" ht="25" x14ac:dyDescent="0.25">
      <c r="A877" s="1" t="s">
        <v>5</v>
      </c>
      <c r="B877" s="1" t="s">
        <v>131</v>
      </c>
      <c r="C877" t="s">
        <v>293</v>
      </c>
    </row>
    <row r="878" spans="1:3" ht="25" x14ac:dyDescent="0.25">
      <c r="A878" s="1"/>
      <c r="B878" s="1" t="s">
        <v>132</v>
      </c>
      <c r="C878" t="s">
        <v>66</v>
      </c>
    </row>
    <row r="879" spans="1:3" ht="25" x14ac:dyDescent="0.25">
      <c r="A879" s="1"/>
      <c r="B879" s="1" t="s">
        <v>118</v>
      </c>
      <c r="C879" t="s">
        <v>880</v>
      </c>
    </row>
    <row r="880" spans="1:3" ht="25" x14ac:dyDescent="0.25">
      <c r="A880" s="1"/>
      <c r="B880" s="1" t="s">
        <v>119</v>
      </c>
      <c r="C880" t="s">
        <v>290</v>
      </c>
    </row>
    <row r="881" spans="1:3" ht="25" x14ac:dyDescent="0.25">
      <c r="A881" s="1"/>
      <c r="B881" s="1" t="s">
        <v>120</v>
      </c>
      <c r="C881" t="s">
        <v>296</v>
      </c>
    </row>
    <row r="882" spans="1:3" ht="25" x14ac:dyDescent="0.25">
      <c r="A882" s="1"/>
      <c r="B882" s="1" t="s">
        <v>121</v>
      </c>
      <c r="C882" t="s">
        <v>812</v>
      </c>
    </row>
    <row r="883" spans="1:3" ht="25" x14ac:dyDescent="0.25">
      <c r="A883" s="1"/>
      <c r="B883" s="1" t="s">
        <v>122</v>
      </c>
      <c r="C883" t="s">
        <v>66</v>
      </c>
    </row>
    <row r="884" spans="1:3" ht="25" x14ac:dyDescent="0.25">
      <c r="A884" s="1"/>
      <c r="B884" s="1" t="s">
        <v>123</v>
      </c>
      <c r="C884" t="s">
        <v>881</v>
      </c>
    </row>
    <row r="885" spans="1:3" ht="25" x14ac:dyDescent="0.25">
      <c r="A885" s="1"/>
      <c r="B885" s="1" t="s">
        <v>124</v>
      </c>
      <c r="C885" t="s">
        <v>882</v>
      </c>
    </row>
    <row r="886" spans="1:3" ht="25" x14ac:dyDescent="0.25">
      <c r="A886" s="1"/>
      <c r="B886" s="1" t="s">
        <v>58</v>
      </c>
      <c r="C886" t="s">
        <v>883</v>
      </c>
    </row>
    <row r="887" spans="1:3" ht="25" x14ac:dyDescent="0.25">
      <c r="A887" s="1"/>
      <c r="B887" s="1" t="s">
        <v>59</v>
      </c>
      <c r="C887" t="s">
        <v>884</v>
      </c>
    </row>
    <row r="888" spans="1:3" ht="25" x14ac:dyDescent="0.25">
      <c r="A888" s="1"/>
      <c r="B888" s="1" t="s">
        <v>60</v>
      </c>
      <c r="C888" t="s">
        <v>885</v>
      </c>
    </row>
    <row r="889" spans="1:3" ht="25" x14ac:dyDescent="0.25">
      <c r="A889" s="1"/>
      <c r="B889" s="1" t="s">
        <v>129</v>
      </c>
      <c r="C889" t="s">
        <v>804</v>
      </c>
    </row>
    <row r="890" spans="1:3" ht="25" x14ac:dyDescent="0.25">
      <c r="A890" s="1"/>
      <c r="B890" s="1" t="s">
        <v>130</v>
      </c>
      <c r="C890" t="s">
        <v>69</v>
      </c>
    </row>
    <row r="891" spans="1:3" ht="25" x14ac:dyDescent="0.25">
      <c r="A891" s="1" t="s">
        <v>9</v>
      </c>
      <c r="B891" s="1" t="s">
        <v>131</v>
      </c>
      <c r="C891" t="s">
        <v>674</v>
      </c>
    </row>
    <row r="892" spans="1:3" ht="25" x14ac:dyDescent="0.25">
      <c r="A892" s="1"/>
      <c r="B892" s="1" t="s">
        <v>132</v>
      </c>
      <c r="C892" t="s">
        <v>886</v>
      </c>
    </row>
    <row r="893" spans="1:3" ht="25" x14ac:dyDescent="0.25">
      <c r="A893" s="1"/>
      <c r="B893" s="1" t="s">
        <v>118</v>
      </c>
      <c r="C893" t="s">
        <v>887</v>
      </c>
    </row>
    <row r="894" spans="1:3" ht="25" x14ac:dyDescent="0.25">
      <c r="A894" s="1"/>
      <c r="B894" s="1" t="s">
        <v>119</v>
      </c>
      <c r="C894" t="s">
        <v>89</v>
      </c>
    </row>
    <row r="895" spans="1:3" ht="25" x14ac:dyDescent="0.25">
      <c r="A895" s="1"/>
      <c r="B895" s="1" t="s">
        <v>120</v>
      </c>
      <c r="C895" t="s">
        <v>888</v>
      </c>
    </row>
    <row r="896" spans="1:3" ht="25" x14ac:dyDescent="0.25">
      <c r="A896" s="1"/>
      <c r="B896" s="1" t="s">
        <v>121</v>
      </c>
      <c r="C896" t="s">
        <v>76</v>
      </c>
    </row>
    <row r="897" spans="1:3" ht="25" x14ac:dyDescent="0.25">
      <c r="A897" s="1"/>
      <c r="B897" s="1" t="s">
        <v>122</v>
      </c>
      <c r="C897" t="s">
        <v>302</v>
      </c>
    </row>
    <row r="898" spans="1:3" ht="25" x14ac:dyDescent="0.25">
      <c r="A898" s="1"/>
      <c r="B898" s="1" t="s">
        <v>123</v>
      </c>
      <c r="C898" t="s">
        <v>889</v>
      </c>
    </row>
    <row r="899" spans="1:3" ht="25" x14ac:dyDescent="0.25">
      <c r="A899" s="1"/>
      <c r="B899" s="1" t="s">
        <v>124</v>
      </c>
      <c r="C899" t="s">
        <v>890</v>
      </c>
    </row>
    <row r="900" spans="1:3" ht="25" x14ac:dyDescent="0.25">
      <c r="A900" s="1"/>
      <c r="B900" s="1" t="s">
        <v>58</v>
      </c>
      <c r="C900" t="s">
        <v>890</v>
      </c>
    </row>
    <row r="901" spans="1:3" ht="25" x14ac:dyDescent="0.25">
      <c r="A901" s="1"/>
      <c r="B901" s="1" t="s">
        <v>59</v>
      </c>
      <c r="C901" t="s">
        <v>891</v>
      </c>
    </row>
    <row r="902" spans="1:3" ht="25" x14ac:dyDescent="0.25">
      <c r="A902" s="1"/>
      <c r="B902" s="1" t="s">
        <v>60</v>
      </c>
      <c r="C902" t="s">
        <v>892</v>
      </c>
    </row>
    <row r="903" spans="1:3" ht="25" x14ac:dyDescent="0.25">
      <c r="A903" s="1"/>
      <c r="B903" s="1" t="s">
        <v>125</v>
      </c>
      <c r="C903" t="s">
        <v>601</v>
      </c>
    </row>
    <row r="904" spans="1:3" ht="25" x14ac:dyDescent="0.25">
      <c r="A904" s="1"/>
      <c r="B904" s="1" t="s">
        <v>126</v>
      </c>
      <c r="C904" t="s">
        <v>893</v>
      </c>
    </row>
    <row r="905" spans="1:3" ht="25" x14ac:dyDescent="0.25">
      <c r="A905" s="1"/>
      <c r="B905" s="1" t="s">
        <v>127</v>
      </c>
      <c r="C905" t="s">
        <v>89</v>
      </c>
    </row>
    <row r="906" spans="1:3" ht="25" x14ac:dyDescent="0.25">
      <c r="A906" s="1"/>
      <c r="B906" s="1" t="s">
        <v>128</v>
      </c>
      <c r="C906" t="s">
        <v>894</v>
      </c>
    </row>
    <row r="907" spans="1:3" ht="25" x14ac:dyDescent="0.25">
      <c r="A907" s="1"/>
      <c r="B907" s="1" t="s">
        <v>129</v>
      </c>
      <c r="C907" t="s">
        <v>895</v>
      </c>
    </row>
    <row r="908" spans="1:3" ht="25" x14ac:dyDescent="0.25">
      <c r="A908" s="1"/>
      <c r="B908" s="1" t="s">
        <v>130</v>
      </c>
      <c r="C908" t="s">
        <v>896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C7321-DA4C-4F7A-9619-A79854D81F63}">
  <dimension ref="A1:B54"/>
  <sheetViews>
    <sheetView workbookViewId="0">
      <selection activeCell="F11" sqref="F11"/>
    </sheetView>
  </sheetViews>
  <sheetFormatPr defaultRowHeight="12.5" x14ac:dyDescent="0.25"/>
  <cols>
    <col min="3" max="3" width="8.08984375" customWidth="1"/>
  </cols>
  <sheetData>
    <row r="1" spans="1:2" x14ac:dyDescent="0.25">
      <c r="A1" t="s">
        <v>0</v>
      </c>
      <c r="B1" t="s">
        <v>134</v>
      </c>
    </row>
    <row r="2" spans="1:2" ht="25" x14ac:dyDescent="0.25">
      <c r="A2" t="s">
        <v>135</v>
      </c>
      <c r="B2" t="s">
        <v>57</v>
      </c>
    </row>
    <row r="3" spans="1:2" ht="25" x14ac:dyDescent="0.25">
      <c r="A3" t="s">
        <v>136</v>
      </c>
      <c r="B3" t="s">
        <v>57</v>
      </c>
    </row>
    <row r="4" spans="1:2" ht="25" x14ac:dyDescent="0.25">
      <c r="A4" t="s">
        <v>137</v>
      </c>
      <c r="B4" t="s">
        <v>54</v>
      </c>
    </row>
    <row r="5" spans="1:2" ht="25" x14ac:dyDescent="0.25">
      <c r="A5" t="s">
        <v>138</v>
      </c>
      <c r="B5" t="s">
        <v>57</v>
      </c>
    </row>
    <row r="6" spans="1:2" ht="25" x14ac:dyDescent="0.25">
      <c r="A6" t="s">
        <v>139</v>
      </c>
      <c r="B6" t="s">
        <v>54</v>
      </c>
    </row>
    <row r="7" spans="1:2" ht="25" x14ac:dyDescent="0.25">
      <c r="A7" t="s">
        <v>140</v>
      </c>
      <c r="B7" t="s">
        <v>57</v>
      </c>
    </row>
    <row r="8" spans="1:2" ht="25" x14ac:dyDescent="0.25">
      <c r="A8" t="s">
        <v>141</v>
      </c>
      <c r="B8" t="s">
        <v>57</v>
      </c>
    </row>
    <row r="9" spans="1:2" ht="25" x14ac:dyDescent="0.25">
      <c r="A9" t="s">
        <v>142</v>
      </c>
      <c r="B9" t="s">
        <v>57</v>
      </c>
    </row>
    <row r="10" spans="1:2" ht="25" x14ac:dyDescent="0.25">
      <c r="A10" t="s">
        <v>143</v>
      </c>
      <c r="B10" t="s">
        <v>56</v>
      </c>
    </row>
    <row r="11" spans="1:2" ht="25" x14ac:dyDescent="0.25">
      <c r="A11" t="s">
        <v>144</v>
      </c>
      <c r="B11" t="s">
        <v>55</v>
      </c>
    </row>
    <row r="12" spans="1:2" ht="25" x14ac:dyDescent="0.25">
      <c r="A12" t="s">
        <v>145</v>
      </c>
      <c r="B12" t="s">
        <v>57</v>
      </c>
    </row>
    <row r="13" spans="1:2" ht="25" x14ac:dyDescent="0.25">
      <c r="A13" t="s">
        <v>146</v>
      </c>
      <c r="B13" t="s">
        <v>56</v>
      </c>
    </row>
    <row r="14" spans="1:2" ht="25" x14ac:dyDescent="0.25">
      <c r="A14" t="s">
        <v>147</v>
      </c>
      <c r="B14" t="s">
        <v>57</v>
      </c>
    </row>
    <row r="15" spans="1:2" ht="25" x14ac:dyDescent="0.25">
      <c r="A15" t="s">
        <v>148</v>
      </c>
      <c r="B15" t="s">
        <v>55</v>
      </c>
    </row>
    <row r="16" spans="1:2" ht="25" x14ac:dyDescent="0.25">
      <c r="A16" t="s">
        <v>149</v>
      </c>
      <c r="B16" t="s">
        <v>57</v>
      </c>
    </row>
    <row r="17" spans="1:2" ht="25" x14ac:dyDescent="0.25">
      <c r="A17" t="s">
        <v>150</v>
      </c>
      <c r="B17" t="s">
        <v>57</v>
      </c>
    </row>
    <row r="18" spans="1:2" ht="25" x14ac:dyDescent="0.25">
      <c r="A18" t="s">
        <v>151</v>
      </c>
      <c r="B18" t="s">
        <v>57</v>
      </c>
    </row>
    <row r="19" spans="1:2" ht="25" x14ac:dyDescent="0.25">
      <c r="A19" t="s">
        <v>152</v>
      </c>
      <c r="B19" t="s">
        <v>57</v>
      </c>
    </row>
    <row r="20" spans="1:2" ht="25" x14ac:dyDescent="0.25">
      <c r="A20" t="s">
        <v>153</v>
      </c>
      <c r="B20" t="s">
        <v>57</v>
      </c>
    </row>
    <row r="21" spans="1:2" ht="25" x14ac:dyDescent="0.25">
      <c r="A21" t="s">
        <v>154</v>
      </c>
      <c r="B21" t="s">
        <v>57</v>
      </c>
    </row>
    <row r="22" spans="1:2" ht="25" x14ac:dyDescent="0.25">
      <c r="A22" t="s">
        <v>155</v>
      </c>
      <c r="B22" t="s">
        <v>55</v>
      </c>
    </row>
    <row r="23" spans="1:2" ht="25" x14ac:dyDescent="0.25">
      <c r="A23" t="s">
        <v>156</v>
      </c>
      <c r="B23" t="s">
        <v>56</v>
      </c>
    </row>
    <row r="24" spans="1:2" ht="25" x14ac:dyDescent="0.25">
      <c r="A24" t="s">
        <v>157</v>
      </c>
      <c r="B24" t="s">
        <v>55</v>
      </c>
    </row>
    <row r="25" spans="1:2" ht="25" x14ac:dyDescent="0.25">
      <c r="A25" t="s">
        <v>158</v>
      </c>
      <c r="B25" t="s">
        <v>55</v>
      </c>
    </row>
    <row r="26" spans="1:2" ht="25" x14ac:dyDescent="0.25">
      <c r="A26" t="s">
        <v>159</v>
      </c>
      <c r="B26" t="s">
        <v>56</v>
      </c>
    </row>
    <row r="27" spans="1:2" ht="25" x14ac:dyDescent="0.25">
      <c r="A27" t="s">
        <v>160</v>
      </c>
      <c r="B27" t="s">
        <v>57</v>
      </c>
    </row>
    <row r="28" spans="1:2" ht="25" x14ac:dyDescent="0.25">
      <c r="A28" t="s">
        <v>161</v>
      </c>
      <c r="B28" t="s">
        <v>57</v>
      </c>
    </row>
    <row r="29" spans="1:2" ht="25" x14ac:dyDescent="0.25">
      <c r="A29" t="s">
        <v>162</v>
      </c>
      <c r="B29" t="s">
        <v>57</v>
      </c>
    </row>
    <row r="30" spans="1:2" ht="25" x14ac:dyDescent="0.25">
      <c r="A30" t="s">
        <v>163</v>
      </c>
      <c r="B30" t="s">
        <v>57</v>
      </c>
    </row>
    <row r="31" spans="1:2" ht="25" x14ac:dyDescent="0.25">
      <c r="A31" t="s">
        <v>164</v>
      </c>
      <c r="B31" t="s">
        <v>54</v>
      </c>
    </row>
    <row r="32" spans="1:2" ht="25" x14ac:dyDescent="0.25">
      <c r="A32" t="s">
        <v>165</v>
      </c>
      <c r="B32" t="s">
        <v>54</v>
      </c>
    </row>
    <row r="33" spans="1:2" ht="25" x14ac:dyDescent="0.25">
      <c r="A33" t="s">
        <v>166</v>
      </c>
      <c r="B33" t="s">
        <v>56</v>
      </c>
    </row>
    <row r="34" spans="1:2" ht="25" x14ac:dyDescent="0.25">
      <c r="A34" t="s">
        <v>167</v>
      </c>
      <c r="B34" t="s">
        <v>56</v>
      </c>
    </row>
    <row r="35" spans="1:2" ht="25" x14ac:dyDescent="0.25">
      <c r="A35" t="s">
        <v>168</v>
      </c>
      <c r="B35" t="s">
        <v>55</v>
      </c>
    </row>
    <row r="36" spans="1:2" ht="25" x14ac:dyDescent="0.25">
      <c r="A36" t="s">
        <v>169</v>
      </c>
      <c r="B36" t="s">
        <v>57</v>
      </c>
    </row>
    <row r="37" spans="1:2" ht="25" x14ac:dyDescent="0.25">
      <c r="A37" t="s">
        <v>170</v>
      </c>
      <c r="B37" t="s">
        <v>56</v>
      </c>
    </row>
    <row r="38" spans="1:2" ht="25" x14ac:dyDescent="0.25">
      <c r="A38" t="s">
        <v>171</v>
      </c>
      <c r="B38" t="s">
        <v>56</v>
      </c>
    </row>
    <row r="39" spans="1:2" ht="25" x14ac:dyDescent="0.25">
      <c r="A39" t="s">
        <v>172</v>
      </c>
      <c r="B39" t="s">
        <v>55</v>
      </c>
    </row>
    <row r="40" spans="1:2" ht="25" x14ac:dyDescent="0.25">
      <c r="A40" t="s">
        <v>173</v>
      </c>
      <c r="B40" t="s">
        <v>54</v>
      </c>
    </row>
    <row r="41" spans="1:2" ht="25" x14ac:dyDescent="0.25">
      <c r="A41" t="s">
        <v>174</v>
      </c>
      <c r="B41" t="s">
        <v>57</v>
      </c>
    </row>
    <row r="42" spans="1:2" ht="25" x14ac:dyDescent="0.25">
      <c r="A42" t="s">
        <v>175</v>
      </c>
      <c r="B42" t="s">
        <v>54</v>
      </c>
    </row>
    <row r="43" spans="1:2" ht="25" x14ac:dyDescent="0.25">
      <c r="A43" t="s">
        <v>176</v>
      </c>
      <c r="B43" t="s">
        <v>55</v>
      </c>
    </row>
    <row r="44" spans="1:2" ht="25" x14ac:dyDescent="0.25">
      <c r="A44" t="s">
        <v>177</v>
      </c>
      <c r="B44" t="s">
        <v>54</v>
      </c>
    </row>
    <row r="45" spans="1:2" ht="25" x14ac:dyDescent="0.25">
      <c r="A45" t="s">
        <v>178</v>
      </c>
      <c r="B45" t="s">
        <v>55</v>
      </c>
    </row>
    <row r="46" spans="1:2" ht="25" x14ac:dyDescent="0.25">
      <c r="A46" t="s">
        <v>179</v>
      </c>
      <c r="B46" t="s">
        <v>56</v>
      </c>
    </row>
    <row r="47" spans="1:2" ht="25" x14ac:dyDescent="0.25">
      <c r="A47" t="s">
        <v>180</v>
      </c>
      <c r="B47" t="s">
        <v>56</v>
      </c>
    </row>
    <row r="48" spans="1:2" ht="25" x14ac:dyDescent="0.25">
      <c r="A48" t="s">
        <v>181</v>
      </c>
      <c r="B48" t="s">
        <v>55</v>
      </c>
    </row>
    <row r="49" spans="1:2" ht="25" x14ac:dyDescent="0.25">
      <c r="A49" t="s">
        <v>182</v>
      </c>
      <c r="B49" t="s">
        <v>56</v>
      </c>
    </row>
    <row r="50" spans="1:2" ht="25" x14ac:dyDescent="0.25">
      <c r="A50" t="s">
        <v>183</v>
      </c>
      <c r="B50" t="s">
        <v>56</v>
      </c>
    </row>
    <row r="51" spans="1:2" ht="25" x14ac:dyDescent="0.25">
      <c r="A51" t="s">
        <v>184</v>
      </c>
      <c r="B51" t="s">
        <v>55</v>
      </c>
    </row>
    <row r="52" spans="1:2" ht="25" x14ac:dyDescent="0.25">
      <c r="A52" t="s">
        <v>185</v>
      </c>
      <c r="B52" t="s">
        <v>56</v>
      </c>
    </row>
    <row r="53" spans="1:2" ht="25" x14ac:dyDescent="0.25">
      <c r="A53" t="s">
        <v>186</v>
      </c>
      <c r="B53" t="s">
        <v>54</v>
      </c>
    </row>
    <row r="54" spans="1:2" ht="25" x14ac:dyDescent="0.25">
      <c r="A54" t="s">
        <v>187</v>
      </c>
      <c r="B54" t="s">
        <v>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74F2B-BB96-4BFB-B6FB-E78CDF78F32C}">
  <dimension ref="A1:J54"/>
  <sheetViews>
    <sheetView workbookViewId="0">
      <selection activeCell="I6" sqref="I6"/>
    </sheetView>
  </sheetViews>
  <sheetFormatPr defaultRowHeight="12.5" x14ac:dyDescent="0.25"/>
  <cols>
    <col min="1" max="1" width="10" style="2" bestFit="1" customWidth="1"/>
    <col min="2" max="2" width="8.90625" style="2" bestFit="1" customWidth="1"/>
    <col min="3" max="3" width="8.08984375" style="2" customWidth="1"/>
    <col min="4" max="6" width="8.7265625" style="2"/>
    <col min="7" max="7" width="12.26953125" style="2" customWidth="1"/>
    <col min="8" max="9" width="8.7265625" style="2"/>
    <col min="10" max="10" width="12.7265625" style="2" bestFit="1" customWidth="1"/>
    <col min="11" max="16384" width="8.7265625" style="2"/>
  </cols>
  <sheetData>
    <row r="1" spans="1:10" x14ac:dyDescent="0.25">
      <c r="A1" s="2" t="s">
        <v>0</v>
      </c>
      <c r="B1" s="2" t="s">
        <v>134</v>
      </c>
      <c r="C1" s="7" t="s">
        <v>900</v>
      </c>
      <c r="D1" s="7" t="s">
        <v>902</v>
      </c>
      <c r="E1" s="7" t="s">
        <v>901</v>
      </c>
      <c r="H1" s="4" t="s">
        <v>134</v>
      </c>
      <c r="I1" s="7" t="s">
        <v>899</v>
      </c>
      <c r="J1" s="7" t="s">
        <v>906</v>
      </c>
    </row>
    <row r="2" spans="1:10" x14ac:dyDescent="0.25">
      <c r="A2" s="2" t="s">
        <v>135</v>
      </c>
      <c r="B2" s="2" t="s">
        <v>57</v>
      </c>
      <c r="C2" s="2">
        <f>LEN(GeoByClient[[#This Row],[CLID]])</f>
        <v>9</v>
      </c>
      <c r="D2" s="2" t="str">
        <f>MID(GeoByClient[[#This Row],[CLID]],3,7)</f>
        <v>CL69323</v>
      </c>
      <c r="E2" s="2" t="str">
        <f>RIGHT(GeoByClient[[#This Row],[CLID]],7)</f>
        <v>CL69323</v>
      </c>
      <c r="H2" s="2" t="s">
        <v>57</v>
      </c>
      <c r="I2" s="7" t="s">
        <v>897</v>
      </c>
      <c r="J2" s="8">
        <f>SUMIFS(Table2[Vol],Table2[Xlookup Region ID],GEONames[[#This Row],[GEOID]])</f>
        <v>3008286</v>
      </c>
    </row>
    <row r="3" spans="1:10" x14ac:dyDescent="0.25">
      <c r="A3" s="2" t="s">
        <v>136</v>
      </c>
      <c r="B3" s="2" t="s">
        <v>57</v>
      </c>
      <c r="C3" s="2">
        <f>LEN(GeoByClient[[#This Row],[CLID]])</f>
        <v>9</v>
      </c>
      <c r="D3" s="2" t="str">
        <f>MID(GeoByClient[[#This Row],[CLID]],3,7)</f>
        <v>CL97995</v>
      </c>
      <c r="E3" s="2" t="str">
        <f>RIGHT(GeoByClient[[#This Row],[CLID]],7)</f>
        <v>CL97995</v>
      </c>
      <c r="H3" s="2" t="s">
        <v>54</v>
      </c>
      <c r="I3" s="7" t="s">
        <v>898</v>
      </c>
      <c r="J3" s="8">
        <f>SUMIFS(Table2[Vol],Table2[Xlookup Region ID],GEONames[[#This Row],[GEOID]])</f>
        <v>880760</v>
      </c>
    </row>
    <row r="4" spans="1:10" x14ac:dyDescent="0.25">
      <c r="A4" s="2" t="s">
        <v>137</v>
      </c>
      <c r="B4" s="2" t="s">
        <v>54</v>
      </c>
      <c r="C4" s="2">
        <f>LEN(GeoByClient[[#This Row],[CLID]])</f>
        <v>9</v>
      </c>
      <c r="D4" s="2" t="str">
        <f>MID(GeoByClient[[#This Row],[CLID]],3,7)</f>
        <v>CL87299</v>
      </c>
      <c r="E4" s="2" t="str">
        <f>RIGHT(GeoByClient[[#This Row],[CLID]],7)</f>
        <v>CL87299</v>
      </c>
      <c r="H4" s="2" t="s">
        <v>56</v>
      </c>
      <c r="I4" s="2" t="s">
        <v>907</v>
      </c>
      <c r="J4" s="8">
        <f>SUMIFS(Table2[Vol],Table2[Xlookup Region ID],GEONames[[#This Row],[GEOID]])</f>
        <v>562005</v>
      </c>
    </row>
    <row r="5" spans="1:10" x14ac:dyDescent="0.25">
      <c r="A5" s="2" t="s">
        <v>138</v>
      </c>
      <c r="B5" s="2" t="s">
        <v>57</v>
      </c>
      <c r="C5" s="2">
        <f>LEN(GeoByClient[[#This Row],[CLID]])</f>
        <v>9</v>
      </c>
      <c r="D5" s="2" t="str">
        <f>MID(GeoByClient[[#This Row],[CLID]],3,7)</f>
        <v>CL38496</v>
      </c>
      <c r="E5" s="2" t="str">
        <f>RIGHT(GeoByClient[[#This Row],[CLID]],7)</f>
        <v>CL38496</v>
      </c>
      <c r="H5" s="2" t="s">
        <v>55</v>
      </c>
      <c r="I5" s="2" t="s">
        <v>909</v>
      </c>
      <c r="J5" s="8">
        <f>SUMIFS(Table2[Vol],Table2[Xlookup Region ID],GEONames[[#This Row],[GEOID]])</f>
        <v>425262</v>
      </c>
    </row>
    <row r="6" spans="1:10" x14ac:dyDescent="0.25">
      <c r="A6" s="2" t="s">
        <v>139</v>
      </c>
      <c r="B6" s="2" t="s">
        <v>54</v>
      </c>
      <c r="C6" s="2">
        <f>LEN(GeoByClient[[#This Row],[CLID]])</f>
        <v>9</v>
      </c>
      <c r="D6" s="2" t="str">
        <f>MID(GeoByClient[[#This Row],[CLID]],3,7)</f>
        <v>CL75562</v>
      </c>
      <c r="E6" s="2" t="str">
        <f>RIGHT(GeoByClient[[#This Row],[CLID]],7)</f>
        <v>CL75562</v>
      </c>
      <c r="F6"/>
      <c r="H6" s="7"/>
      <c r="J6" s="8">
        <f>SUBTOTAL(109,GEONames[Volume])</f>
        <v>4876313</v>
      </c>
    </row>
    <row r="7" spans="1:10" x14ac:dyDescent="0.25">
      <c r="A7" s="2" t="s">
        <v>140</v>
      </c>
      <c r="B7" s="2" t="s">
        <v>57</v>
      </c>
      <c r="C7" s="2">
        <f>LEN(GeoByClient[[#This Row],[CLID]])</f>
        <v>9</v>
      </c>
      <c r="D7" s="2" t="str">
        <f>MID(GeoByClient[[#This Row],[CLID]],3,7)</f>
        <v>CL31601</v>
      </c>
      <c r="E7" s="2" t="str">
        <f>RIGHT(GeoByClient[[#This Row],[CLID]],7)</f>
        <v>CL31601</v>
      </c>
      <c r="F7"/>
      <c r="H7" s="7"/>
      <c r="J7" s="9">
        <f>GEONames[[#Totals],[Volume]]-SUM(Table2[Vol])</f>
        <v>0</v>
      </c>
    </row>
    <row r="8" spans="1:10" x14ac:dyDescent="0.25">
      <c r="A8" s="2" t="s">
        <v>141</v>
      </c>
      <c r="B8" s="2" t="s">
        <v>57</v>
      </c>
      <c r="C8" s="2">
        <f>LEN(GeoByClient[[#This Row],[CLID]])</f>
        <v>9</v>
      </c>
      <c r="D8" s="2" t="str">
        <f>MID(GeoByClient[[#This Row],[CLID]],3,7)</f>
        <v>CL33189</v>
      </c>
      <c r="E8" s="2" t="str">
        <f>RIGHT(GeoByClient[[#This Row],[CLID]],7)</f>
        <v>CL33189</v>
      </c>
      <c r="F8"/>
      <c r="H8" s="7"/>
    </row>
    <row r="9" spans="1:10" x14ac:dyDescent="0.25">
      <c r="A9" s="2" t="s">
        <v>142</v>
      </c>
      <c r="B9" s="2" t="s">
        <v>57</v>
      </c>
      <c r="C9" s="2">
        <f>LEN(GeoByClient[[#This Row],[CLID]])</f>
        <v>9</v>
      </c>
      <c r="D9" s="2" t="str">
        <f>MID(GeoByClient[[#This Row],[CLID]],3,7)</f>
        <v>CL22140</v>
      </c>
      <c r="E9" s="2" t="str">
        <f>RIGHT(GeoByClient[[#This Row],[CLID]],7)</f>
        <v>CL22140</v>
      </c>
      <c r="F9"/>
      <c r="H9" s="7"/>
    </row>
    <row r="10" spans="1:10" x14ac:dyDescent="0.25">
      <c r="A10" s="2" t="s">
        <v>143</v>
      </c>
      <c r="B10" s="2" t="s">
        <v>56</v>
      </c>
      <c r="C10" s="2">
        <f>LEN(GeoByClient[[#This Row],[CLID]])</f>
        <v>9</v>
      </c>
      <c r="D10" s="2" t="str">
        <f>MID(GeoByClient[[#This Row],[CLID]],3,7)</f>
        <v>CL49960</v>
      </c>
      <c r="E10" s="2" t="str">
        <f>RIGHT(GeoByClient[[#This Row],[CLID]],7)</f>
        <v>CL49960</v>
      </c>
      <c r="F10"/>
      <c r="H10" s="7"/>
    </row>
    <row r="11" spans="1:10" x14ac:dyDescent="0.25">
      <c r="A11" s="2" t="s">
        <v>144</v>
      </c>
      <c r="B11" s="2" t="s">
        <v>55</v>
      </c>
      <c r="C11" s="2">
        <f>LEN(GeoByClient[[#This Row],[CLID]])</f>
        <v>9</v>
      </c>
      <c r="D11" s="2" t="str">
        <f>MID(GeoByClient[[#This Row],[CLID]],3,7)</f>
        <v>CL43946</v>
      </c>
      <c r="E11" s="2" t="str">
        <f>RIGHT(GeoByClient[[#This Row],[CLID]],7)</f>
        <v>CL43946</v>
      </c>
      <c r="F11"/>
      <c r="H11" s="7"/>
    </row>
    <row r="12" spans="1:10" x14ac:dyDescent="0.25">
      <c r="A12" s="2" t="s">
        <v>145</v>
      </c>
      <c r="B12" s="2" t="s">
        <v>57</v>
      </c>
      <c r="C12" s="2">
        <f>LEN(GeoByClient[[#This Row],[CLID]])</f>
        <v>9</v>
      </c>
      <c r="D12" s="2" t="str">
        <f>MID(GeoByClient[[#This Row],[CLID]],3,7)</f>
        <v>CL37714</v>
      </c>
      <c r="E12" s="2" t="str">
        <f>RIGHT(GeoByClient[[#This Row],[CLID]],7)</f>
        <v>CL37714</v>
      </c>
      <c r="F12"/>
      <c r="H12" s="7"/>
    </row>
    <row r="13" spans="1:10" x14ac:dyDescent="0.25">
      <c r="A13" s="2" t="s">
        <v>146</v>
      </c>
      <c r="B13" s="2" t="s">
        <v>56</v>
      </c>
      <c r="C13" s="2">
        <f>LEN(GeoByClient[[#This Row],[CLID]])</f>
        <v>9</v>
      </c>
      <c r="D13" s="2" t="str">
        <f>MID(GeoByClient[[#This Row],[CLID]],3,7)</f>
        <v>CL75274</v>
      </c>
      <c r="E13" s="2" t="str">
        <f>RIGHT(GeoByClient[[#This Row],[CLID]],7)</f>
        <v>CL75274</v>
      </c>
      <c r="F13"/>
      <c r="H13" s="7"/>
    </row>
    <row r="14" spans="1:10" x14ac:dyDescent="0.25">
      <c r="A14" s="2" t="s">
        <v>147</v>
      </c>
      <c r="B14" s="2" t="s">
        <v>57</v>
      </c>
      <c r="C14" s="2">
        <f>LEN(GeoByClient[[#This Row],[CLID]])</f>
        <v>9</v>
      </c>
      <c r="D14" s="2" t="str">
        <f>MID(GeoByClient[[#This Row],[CLID]],3,7)</f>
        <v>CL61534</v>
      </c>
      <c r="E14" s="2" t="str">
        <f>RIGHT(GeoByClient[[#This Row],[CLID]],7)</f>
        <v>CL61534</v>
      </c>
      <c r="F14"/>
      <c r="H14" s="7"/>
    </row>
    <row r="15" spans="1:10" x14ac:dyDescent="0.25">
      <c r="A15" s="2" t="s">
        <v>148</v>
      </c>
      <c r="B15" s="2" t="s">
        <v>55</v>
      </c>
      <c r="C15" s="2">
        <f>LEN(GeoByClient[[#This Row],[CLID]])</f>
        <v>9</v>
      </c>
      <c r="D15" s="2" t="str">
        <f>MID(GeoByClient[[#This Row],[CLID]],3,7)</f>
        <v>CL85641</v>
      </c>
      <c r="E15" s="2" t="str">
        <f>RIGHT(GeoByClient[[#This Row],[CLID]],7)</f>
        <v>CL85641</v>
      </c>
      <c r="F15"/>
      <c r="H15" s="7"/>
    </row>
    <row r="16" spans="1:10" x14ac:dyDescent="0.25">
      <c r="A16" s="2" t="s">
        <v>149</v>
      </c>
      <c r="B16" s="2" t="s">
        <v>57</v>
      </c>
      <c r="C16" s="2">
        <f>LEN(GeoByClient[[#This Row],[CLID]])</f>
        <v>9</v>
      </c>
      <c r="D16" s="2" t="str">
        <f>MID(GeoByClient[[#This Row],[CLID]],3,7)</f>
        <v>CL46663</v>
      </c>
      <c r="E16" s="2" t="str">
        <f>RIGHT(GeoByClient[[#This Row],[CLID]],7)</f>
        <v>CL46663</v>
      </c>
      <c r="F16"/>
      <c r="H16" s="7"/>
    </row>
    <row r="17" spans="1:8" x14ac:dyDescent="0.25">
      <c r="A17" s="2" t="s">
        <v>150</v>
      </c>
      <c r="B17" s="2" t="s">
        <v>57</v>
      </c>
      <c r="C17" s="2">
        <f>LEN(GeoByClient[[#This Row],[CLID]])</f>
        <v>9</v>
      </c>
      <c r="D17" s="2" t="str">
        <f>MID(GeoByClient[[#This Row],[CLID]],3,7)</f>
        <v>CL17270</v>
      </c>
      <c r="E17" s="2" t="str">
        <f>RIGHT(GeoByClient[[#This Row],[CLID]],7)</f>
        <v>CL17270</v>
      </c>
      <c r="F17"/>
      <c r="H17" s="7"/>
    </row>
    <row r="18" spans="1:8" x14ac:dyDescent="0.25">
      <c r="A18" s="2" t="s">
        <v>151</v>
      </c>
      <c r="B18" s="2" t="s">
        <v>57</v>
      </c>
      <c r="C18" s="2">
        <f>LEN(GeoByClient[[#This Row],[CLID]])</f>
        <v>9</v>
      </c>
      <c r="D18" s="2" t="str">
        <f>MID(GeoByClient[[#This Row],[CLID]],3,7)</f>
        <v>CL57593</v>
      </c>
      <c r="E18" s="2" t="str">
        <f>RIGHT(GeoByClient[[#This Row],[CLID]],7)</f>
        <v>CL57593</v>
      </c>
      <c r="F18"/>
      <c r="H18" s="7"/>
    </row>
    <row r="19" spans="1:8" x14ac:dyDescent="0.25">
      <c r="A19" s="2" t="s">
        <v>152</v>
      </c>
      <c r="B19" s="2" t="s">
        <v>57</v>
      </c>
      <c r="C19" s="2">
        <f>LEN(GeoByClient[[#This Row],[CLID]])</f>
        <v>9</v>
      </c>
      <c r="D19" s="2" t="str">
        <f>MID(GeoByClient[[#This Row],[CLID]],3,7)</f>
        <v>CL96680</v>
      </c>
      <c r="E19" s="2" t="str">
        <f>RIGHT(GeoByClient[[#This Row],[CLID]],7)</f>
        <v>CL96680</v>
      </c>
      <c r="F19"/>
      <c r="H19" s="7"/>
    </row>
    <row r="20" spans="1:8" x14ac:dyDescent="0.25">
      <c r="A20" s="2" t="s">
        <v>153</v>
      </c>
      <c r="B20" s="2" t="s">
        <v>57</v>
      </c>
      <c r="C20" s="2">
        <f>LEN(GeoByClient[[#This Row],[CLID]])</f>
        <v>9</v>
      </c>
      <c r="D20" s="2" t="str">
        <f>MID(GeoByClient[[#This Row],[CLID]],3,7)</f>
        <v>CL79204</v>
      </c>
      <c r="E20" s="2" t="str">
        <f>RIGHT(GeoByClient[[#This Row],[CLID]],7)</f>
        <v>CL79204</v>
      </c>
      <c r="F20"/>
      <c r="H20" s="7"/>
    </row>
    <row r="21" spans="1:8" x14ac:dyDescent="0.25">
      <c r="A21" s="2" t="s">
        <v>154</v>
      </c>
      <c r="B21" s="2" t="s">
        <v>57</v>
      </c>
      <c r="C21" s="2">
        <f>LEN(GeoByClient[[#This Row],[CLID]])</f>
        <v>9</v>
      </c>
      <c r="D21" s="2" t="str">
        <f>MID(GeoByClient[[#This Row],[CLID]],3,7)</f>
        <v>CL83029</v>
      </c>
      <c r="E21" s="2" t="str">
        <f>RIGHT(GeoByClient[[#This Row],[CLID]],7)</f>
        <v>CL83029</v>
      </c>
      <c r="F21"/>
      <c r="H21" s="7"/>
    </row>
    <row r="22" spans="1:8" x14ac:dyDescent="0.25">
      <c r="A22" s="2" t="s">
        <v>155</v>
      </c>
      <c r="B22" s="2" t="s">
        <v>55</v>
      </c>
      <c r="C22" s="2">
        <f>LEN(GeoByClient[[#This Row],[CLID]])</f>
        <v>9</v>
      </c>
      <c r="D22" s="2" t="str">
        <f>MID(GeoByClient[[#This Row],[CLID]],3,7)</f>
        <v>CL22675</v>
      </c>
      <c r="E22" s="2" t="str">
        <f>RIGHT(GeoByClient[[#This Row],[CLID]],7)</f>
        <v>CL22675</v>
      </c>
      <c r="F22"/>
      <c r="H22" s="7"/>
    </row>
    <row r="23" spans="1:8" x14ac:dyDescent="0.25">
      <c r="A23" s="2" t="s">
        <v>156</v>
      </c>
      <c r="B23" s="2" t="s">
        <v>56</v>
      </c>
      <c r="C23" s="2">
        <f>LEN(GeoByClient[[#This Row],[CLID]])</f>
        <v>9</v>
      </c>
      <c r="D23" s="2" t="str">
        <f>MID(GeoByClient[[#This Row],[CLID]],3,7)</f>
        <v>CL83083</v>
      </c>
      <c r="E23" s="2" t="str">
        <f>RIGHT(GeoByClient[[#This Row],[CLID]],7)</f>
        <v>CL83083</v>
      </c>
      <c r="F23"/>
      <c r="H23" s="7"/>
    </row>
    <row r="24" spans="1:8" x14ac:dyDescent="0.25">
      <c r="A24" s="2" t="s">
        <v>157</v>
      </c>
      <c r="B24" s="2" t="s">
        <v>55</v>
      </c>
      <c r="C24" s="2">
        <f>LEN(GeoByClient[[#This Row],[CLID]])</f>
        <v>9</v>
      </c>
      <c r="D24" s="2" t="str">
        <f>MID(GeoByClient[[#This Row],[CLID]],3,7)</f>
        <v>CL36191</v>
      </c>
      <c r="E24" s="2" t="str">
        <f>RIGHT(GeoByClient[[#This Row],[CLID]],7)</f>
        <v>CL36191</v>
      </c>
      <c r="F24"/>
      <c r="H24" s="7"/>
    </row>
    <row r="25" spans="1:8" x14ac:dyDescent="0.25">
      <c r="A25" s="2" t="s">
        <v>158</v>
      </c>
      <c r="B25" s="2" t="s">
        <v>55</v>
      </c>
      <c r="C25" s="2">
        <f>LEN(GeoByClient[[#This Row],[CLID]])</f>
        <v>9</v>
      </c>
      <c r="D25" s="2" t="str">
        <f>MID(GeoByClient[[#This Row],[CLID]],3,7)</f>
        <v>CL81431</v>
      </c>
      <c r="E25" s="2" t="str">
        <f>RIGHT(GeoByClient[[#This Row],[CLID]],7)</f>
        <v>CL81431</v>
      </c>
      <c r="F25"/>
      <c r="H25" s="7"/>
    </row>
    <row r="26" spans="1:8" x14ac:dyDescent="0.25">
      <c r="A26" s="2" t="s">
        <v>159</v>
      </c>
      <c r="B26" s="2" t="s">
        <v>56</v>
      </c>
      <c r="C26" s="2">
        <f>LEN(GeoByClient[[#This Row],[CLID]])</f>
        <v>9</v>
      </c>
      <c r="D26" s="2" t="str">
        <f>MID(GeoByClient[[#This Row],[CLID]],3,7)</f>
        <v>CL96487</v>
      </c>
      <c r="E26" s="2" t="str">
        <f>RIGHT(GeoByClient[[#This Row],[CLID]],7)</f>
        <v>CL96487</v>
      </c>
      <c r="F26"/>
      <c r="H26" s="7"/>
    </row>
    <row r="27" spans="1:8" x14ac:dyDescent="0.25">
      <c r="A27" s="2" t="s">
        <v>160</v>
      </c>
      <c r="B27" s="2" t="s">
        <v>57</v>
      </c>
      <c r="C27" s="2">
        <f>LEN(GeoByClient[[#This Row],[CLID]])</f>
        <v>9</v>
      </c>
      <c r="D27" s="2" t="str">
        <f>MID(GeoByClient[[#This Row],[CLID]],3,7)</f>
        <v>CL52426</v>
      </c>
      <c r="E27" s="2" t="str">
        <f>RIGHT(GeoByClient[[#This Row],[CLID]],7)</f>
        <v>CL52426</v>
      </c>
      <c r="F27"/>
      <c r="H27" s="7"/>
    </row>
    <row r="28" spans="1:8" x14ac:dyDescent="0.25">
      <c r="A28" s="2" t="s">
        <v>161</v>
      </c>
      <c r="B28" s="2" t="s">
        <v>57</v>
      </c>
      <c r="C28" s="2">
        <f>LEN(GeoByClient[[#This Row],[CLID]])</f>
        <v>9</v>
      </c>
      <c r="D28" s="2" t="str">
        <f>MID(GeoByClient[[#This Row],[CLID]],3,7)</f>
        <v>CL64939</v>
      </c>
      <c r="E28" s="2" t="str">
        <f>RIGHT(GeoByClient[[#This Row],[CLID]],7)</f>
        <v>CL64939</v>
      </c>
      <c r="F28"/>
      <c r="H28" s="7"/>
    </row>
    <row r="29" spans="1:8" x14ac:dyDescent="0.25">
      <c r="A29" s="2" t="s">
        <v>162</v>
      </c>
      <c r="B29" s="2" t="s">
        <v>57</v>
      </c>
      <c r="C29" s="2">
        <f>LEN(GeoByClient[[#This Row],[CLID]])</f>
        <v>9</v>
      </c>
      <c r="D29" s="2" t="str">
        <f>MID(GeoByClient[[#This Row],[CLID]],3,7)</f>
        <v>CL50651</v>
      </c>
      <c r="E29" s="2" t="str">
        <f>RIGHT(GeoByClient[[#This Row],[CLID]],7)</f>
        <v>CL50651</v>
      </c>
      <c r="F29"/>
      <c r="H29" s="7"/>
    </row>
    <row r="30" spans="1:8" x14ac:dyDescent="0.25">
      <c r="A30" s="2" t="s">
        <v>163</v>
      </c>
      <c r="B30" s="2" t="s">
        <v>57</v>
      </c>
      <c r="C30" s="2">
        <f>LEN(GeoByClient[[#This Row],[CLID]])</f>
        <v>9</v>
      </c>
      <c r="D30" s="2" t="str">
        <f>MID(GeoByClient[[#This Row],[CLID]],3,7)</f>
        <v>CL13213</v>
      </c>
      <c r="E30" s="2" t="str">
        <f>RIGHT(GeoByClient[[#This Row],[CLID]],7)</f>
        <v>CL13213</v>
      </c>
      <c r="F30"/>
      <c r="H30" s="7"/>
    </row>
    <row r="31" spans="1:8" x14ac:dyDescent="0.25">
      <c r="A31" s="2" t="s">
        <v>164</v>
      </c>
      <c r="B31" s="2" t="s">
        <v>54</v>
      </c>
      <c r="C31" s="2">
        <f>LEN(GeoByClient[[#This Row],[CLID]])</f>
        <v>9</v>
      </c>
      <c r="D31" s="2" t="str">
        <f>MID(GeoByClient[[#This Row],[CLID]],3,7)</f>
        <v>CL90358</v>
      </c>
      <c r="E31" s="2" t="str">
        <f>RIGHT(GeoByClient[[#This Row],[CLID]],7)</f>
        <v>CL90358</v>
      </c>
      <c r="F31"/>
      <c r="H31" s="7"/>
    </row>
    <row r="32" spans="1:8" x14ac:dyDescent="0.25">
      <c r="A32" s="2" t="s">
        <v>165</v>
      </c>
      <c r="B32" s="2" t="s">
        <v>54</v>
      </c>
      <c r="C32" s="2">
        <f>LEN(GeoByClient[[#This Row],[CLID]])</f>
        <v>9</v>
      </c>
      <c r="D32" s="2" t="str">
        <f>MID(GeoByClient[[#This Row],[CLID]],3,7)</f>
        <v>CL71409</v>
      </c>
      <c r="E32" s="2" t="str">
        <f>RIGHT(GeoByClient[[#This Row],[CLID]],7)</f>
        <v>CL71409</v>
      </c>
      <c r="F32"/>
      <c r="H32" s="7"/>
    </row>
    <row r="33" spans="1:8" x14ac:dyDescent="0.25">
      <c r="A33" s="2" t="s">
        <v>166</v>
      </c>
      <c r="B33" s="2" t="s">
        <v>56</v>
      </c>
      <c r="C33" s="2">
        <f>LEN(GeoByClient[[#This Row],[CLID]])</f>
        <v>9</v>
      </c>
      <c r="D33" s="2" t="str">
        <f>MID(GeoByClient[[#This Row],[CLID]],3,7)</f>
        <v>CL24510</v>
      </c>
      <c r="E33" s="2" t="str">
        <f>RIGHT(GeoByClient[[#This Row],[CLID]],7)</f>
        <v>CL24510</v>
      </c>
      <c r="F33"/>
      <c r="H33" s="7"/>
    </row>
    <row r="34" spans="1:8" x14ac:dyDescent="0.25">
      <c r="A34" s="2" t="s">
        <v>167</v>
      </c>
      <c r="B34" s="2" t="s">
        <v>56</v>
      </c>
      <c r="C34" s="2">
        <f>LEN(GeoByClient[[#This Row],[CLID]])</f>
        <v>9</v>
      </c>
      <c r="D34" s="2" t="str">
        <f>MID(GeoByClient[[#This Row],[CLID]],3,7)</f>
        <v>CL95487</v>
      </c>
      <c r="E34" s="2" t="str">
        <f>RIGHT(GeoByClient[[#This Row],[CLID]],7)</f>
        <v>CL95487</v>
      </c>
      <c r="F34"/>
      <c r="H34" s="7"/>
    </row>
    <row r="35" spans="1:8" x14ac:dyDescent="0.25">
      <c r="A35" s="2" t="s">
        <v>168</v>
      </c>
      <c r="B35" s="2" t="s">
        <v>55</v>
      </c>
      <c r="C35" s="2">
        <f>LEN(GeoByClient[[#This Row],[CLID]])</f>
        <v>9</v>
      </c>
      <c r="D35" s="2" t="str">
        <f>MID(GeoByClient[[#This Row],[CLID]],3,7)</f>
        <v>CL23634</v>
      </c>
      <c r="E35" s="2" t="str">
        <f>RIGHT(GeoByClient[[#This Row],[CLID]],7)</f>
        <v>CL23634</v>
      </c>
      <c r="F35"/>
      <c r="H35" s="7"/>
    </row>
    <row r="36" spans="1:8" x14ac:dyDescent="0.25">
      <c r="A36" s="2" t="s">
        <v>169</v>
      </c>
      <c r="B36" s="2" t="s">
        <v>57</v>
      </c>
      <c r="C36" s="2">
        <f>LEN(GeoByClient[[#This Row],[CLID]])</f>
        <v>9</v>
      </c>
      <c r="D36" s="2" t="str">
        <f>MID(GeoByClient[[#This Row],[CLID]],3,7)</f>
        <v>CL50297</v>
      </c>
      <c r="E36" s="2" t="str">
        <f>RIGHT(GeoByClient[[#This Row],[CLID]],7)</f>
        <v>CL50297</v>
      </c>
      <c r="F36"/>
      <c r="H36" s="7"/>
    </row>
    <row r="37" spans="1:8" x14ac:dyDescent="0.25">
      <c r="A37" s="2" t="s">
        <v>170</v>
      </c>
      <c r="B37" s="2" t="s">
        <v>56</v>
      </c>
      <c r="C37" s="2">
        <f>LEN(GeoByClient[[#This Row],[CLID]])</f>
        <v>9</v>
      </c>
      <c r="D37" s="2" t="str">
        <f>MID(GeoByClient[[#This Row],[CLID]],3,7)</f>
        <v>CL35993</v>
      </c>
      <c r="E37" s="2" t="str">
        <f>RIGHT(GeoByClient[[#This Row],[CLID]],7)</f>
        <v>CL35993</v>
      </c>
      <c r="F37"/>
      <c r="H37" s="7"/>
    </row>
    <row r="38" spans="1:8" x14ac:dyDescent="0.25">
      <c r="A38" s="2" t="s">
        <v>171</v>
      </c>
      <c r="B38" s="2" t="s">
        <v>56</v>
      </c>
      <c r="C38" s="2">
        <f>LEN(GeoByClient[[#This Row],[CLID]])</f>
        <v>9</v>
      </c>
      <c r="D38" s="2" t="str">
        <f>MID(GeoByClient[[#This Row],[CLID]],3,7)</f>
        <v>CL60563</v>
      </c>
      <c r="E38" s="2" t="str">
        <f>RIGHT(GeoByClient[[#This Row],[CLID]],7)</f>
        <v>CL60563</v>
      </c>
      <c r="F38"/>
      <c r="H38" s="7"/>
    </row>
    <row r="39" spans="1:8" x14ac:dyDescent="0.25">
      <c r="A39" s="2" t="s">
        <v>172</v>
      </c>
      <c r="B39" s="2" t="s">
        <v>55</v>
      </c>
      <c r="C39" s="2">
        <f>LEN(GeoByClient[[#This Row],[CLID]])</f>
        <v>9</v>
      </c>
      <c r="D39" s="2" t="str">
        <f>MID(GeoByClient[[#This Row],[CLID]],3,7)</f>
        <v>CL11420</v>
      </c>
      <c r="E39" s="2" t="str">
        <f>RIGHT(GeoByClient[[#This Row],[CLID]],7)</f>
        <v>CL11420</v>
      </c>
      <c r="F39"/>
      <c r="H39" s="7"/>
    </row>
    <row r="40" spans="1:8" x14ac:dyDescent="0.25">
      <c r="A40" s="2" t="s">
        <v>173</v>
      </c>
      <c r="B40" s="2" t="s">
        <v>54</v>
      </c>
      <c r="C40" s="2">
        <f>LEN(GeoByClient[[#This Row],[CLID]])</f>
        <v>9</v>
      </c>
      <c r="D40" s="2" t="str">
        <f>MID(GeoByClient[[#This Row],[CLID]],3,7)</f>
        <v>CL13257</v>
      </c>
      <c r="E40" s="2" t="str">
        <f>RIGHT(GeoByClient[[#This Row],[CLID]],7)</f>
        <v>CL13257</v>
      </c>
      <c r="F40"/>
      <c r="H40" s="7"/>
    </row>
    <row r="41" spans="1:8" x14ac:dyDescent="0.25">
      <c r="A41" s="2" t="s">
        <v>174</v>
      </c>
      <c r="B41" s="2" t="s">
        <v>57</v>
      </c>
      <c r="C41" s="2">
        <f>LEN(GeoByClient[[#This Row],[CLID]])</f>
        <v>9</v>
      </c>
      <c r="D41" s="2" t="str">
        <f>MID(GeoByClient[[#This Row],[CLID]],3,7)</f>
        <v>CL94846</v>
      </c>
      <c r="E41" s="2" t="str">
        <f>RIGHT(GeoByClient[[#This Row],[CLID]],7)</f>
        <v>CL94846</v>
      </c>
      <c r="F41"/>
      <c r="H41" s="7"/>
    </row>
    <row r="42" spans="1:8" x14ac:dyDescent="0.25">
      <c r="A42" s="2" t="s">
        <v>175</v>
      </c>
      <c r="B42" s="2" t="s">
        <v>54</v>
      </c>
      <c r="C42" s="2">
        <f>LEN(GeoByClient[[#This Row],[CLID]])</f>
        <v>9</v>
      </c>
      <c r="D42" s="2" t="str">
        <f>MID(GeoByClient[[#This Row],[CLID]],3,7)</f>
        <v>CL87149</v>
      </c>
      <c r="E42" s="2" t="str">
        <f>RIGHT(GeoByClient[[#This Row],[CLID]],7)</f>
        <v>CL87149</v>
      </c>
      <c r="F42"/>
      <c r="H42" s="7"/>
    </row>
    <row r="43" spans="1:8" x14ac:dyDescent="0.25">
      <c r="A43" s="2" t="s">
        <v>176</v>
      </c>
      <c r="B43" s="2" t="s">
        <v>55</v>
      </c>
      <c r="C43" s="2">
        <f>LEN(GeoByClient[[#This Row],[CLID]])</f>
        <v>9</v>
      </c>
      <c r="D43" s="2" t="str">
        <f>MID(GeoByClient[[#This Row],[CLID]],3,7)</f>
        <v>CL49900</v>
      </c>
      <c r="E43" s="2" t="str">
        <f>RIGHT(GeoByClient[[#This Row],[CLID]],7)</f>
        <v>CL49900</v>
      </c>
      <c r="F43"/>
      <c r="H43" s="7"/>
    </row>
    <row r="44" spans="1:8" x14ac:dyDescent="0.25">
      <c r="A44" s="2" t="s">
        <v>177</v>
      </c>
      <c r="B44" s="2" t="s">
        <v>54</v>
      </c>
      <c r="C44" s="2">
        <f>LEN(GeoByClient[[#This Row],[CLID]])</f>
        <v>9</v>
      </c>
      <c r="D44" s="2" t="str">
        <f>MID(GeoByClient[[#This Row],[CLID]],3,7)</f>
        <v>CL29380</v>
      </c>
      <c r="E44" s="2" t="str">
        <f>RIGHT(GeoByClient[[#This Row],[CLID]],7)</f>
        <v>CL29380</v>
      </c>
      <c r="F44"/>
      <c r="H44" s="7"/>
    </row>
    <row r="45" spans="1:8" x14ac:dyDescent="0.25">
      <c r="A45" s="2" t="s">
        <v>178</v>
      </c>
      <c r="B45" s="2" t="s">
        <v>55</v>
      </c>
      <c r="C45" s="2">
        <f>LEN(GeoByClient[[#This Row],[CLID]])</f>
        <v>9</v>
      </c>
      <c r="D45" s="2" t="str">
        <f>MID(GeoByClient[[#This Row],[CLID]],3,7)</f>
        <v>CL37879</v>
      </c>
      <c r="E45" s="2" t="str">
        <f>RIGHT(GeoByClient[[#This Row],[CLID]],7)</f>
        <v>CL37879</v>
      </c>
      <c r="F45"/>
      <c r="H45" s="7"/>
    </row>
    <row r="46" spans="1:8" x14ac:dyDescent="0.25">
      <c r="A46" s="2" t="s">
        <v>179</v>
      </c>
      <c r="B46" s="2" t="s">
        <v>56</v>
      </c>
      <c r="C46" s="2">
        <f>LEN(GeoByClient[[#This Row],[CLID]])</f>
        <v>9</v>
      </c>
      <c r="D46" s="2" t="str">
        <f>MID(GeoByClient[[#This Row],[CLID]],3,7)</f>
        <v>CL55399</v>
      </c>
      <c r="E46" s="2" t="str">
        <f>RIGHT(GeoByClient[[#This Row],[CLID]],7)</f>
        <v>CL55399</v>
      </c>
      <c r="F46"/>
      <c r="H46" s="7"/>
    </row>
    <row r="47" spans="1:8" x14ac:dyDescent="0.25">
      <c r="A47" s="2" t="s">
        <v>180</v>
      </c>
      <c r="B47" s="2" t="s">
        <v>56</v>
      </c>
      <c r="C47" s="2">
        <f>LEN(GeoByClient[[#This Row],[CLID]])</f>
        <v>9</v>
      </c>
      <c r="D47" s="2" t="str">
        <f>MID(GeoByClient[[#This Row],[CLID]],3,7)</f>
        <v>CL44634</v>
      </c>
      <c r="E47" s="2" t="str">
        <f>RIGHT(GeoByClient[[#This Row],[CLID]],7)</f>
        <v>CL44634</v>
      </c>
      <c r="F47"/>
      <c r="H47" s="7"/>
    </row>
    <row r="48" spans="1:8" x14ac:dyDescent="0.25">
      <c r="A48" s="2" t="s">
        <v>181</v>
      </c>
      <c r="B48" s="2" t="s">
        <v>55</v>
      </c>
      <c r="C48" s="2">
        <f>LEN(GeoByClient[[#This Row],[CLID]])</f>
        <v>9</v>
      </c>
      <c r="D48" s="2" t="str">
        <f>MID(GeoByClient[[#This Row],[CLID]],3,7)</f>
        <v>CL67438</v>
      </c>
      <c r="E48" s="2" t="str">
        <f>RIGHT(GeoByClient[[#This Row],[CLID]],7)</f>
        <v>CL67438</v>
      </c>
      <c r="F48"/>
      <c r="H48" s="7"/>
    </row>
    <row r="49" spans="1:8" x14ac:dyDescent="0.25">
      <c r="A49" s="2" t="s">
        <v>182</v>
      </c>
      <c r="B49" s="2" t="s">
        <v>56</v>
      </c>
      <c r="C49" s="2">
        <f>LEN(GeoByClient[[#This Row],[CLID]])</f>
        <v>9</v>
      </c>
      <c r="D49" s="2" t="str">
        <f>MID(GeoByClient[[#This Row],[CLID]],3,7)</f>
        <v>CL79103</v>
      </c>
      <c r="E49" s="2" t="str">
        <f>RIGHT(GeoByClient[[#This Row],[CLID]],7)</f>
        <v>CL79103</v>
      </c>
      <c r="F49"/>
      <c r="H49" s="7"/>
    </row>
    <row r="50" spans="1:8" x14ac:dyDescent="0.25">
      <c r="A50" s="2" t="s">
        <v>183</v>
      </c>
      <c r="B50" s="2" t="s">
        <v>56</v>
      </c>
      <c r="C50" s="2">
        <f>LEN(GeoByClient[[#This Row],[CLID]])</f>
        <v>9</v>
      </c>
      <c r="D50" s="2" t="str">
        <f>MID(GeoByClient[[#This Row],[CLID]],3,7)</f>
        <v>CL99768</v>
      </c>
      <c r="E50" s="2" t="str">
        <f>RIGHT(GeoByClient[[#This Row],[CLID]],7)</f>
        <v>CL99768</v>
      </c>
      <c r="F50"/>
      <c r="H50" s="7"/>
    </row>
    <row r="51" spans="1:8" x14ac:dyDescent="0.25">
      <c r="A51" s="2" t="s">
        <v>184</v>
      </c>
      <c r="B51" s="2" t="s">
        <v>55</v>
      </c>
      <c r="C51" s="2">
        <f>LEN(GeoByClient[[#This Row],[CLID]])</f>
        <v>9</v>
      </c>
      <c r="D51" s="2" t="str">
        <f>MID(GeoByClient[[#This Row],[CLID]],3,7)</f>
        <v>CL28683</v>
      </c>
      <c r="E51" s="2" t="str">
        <f>RIGHT(GeoByClient[[#This Row],[CLID]],7)</f>
        <v>CL28683</v>
      </c>
      <c r="F51"/>
      <c r="H51" s="7"/>
    </row>
    <row r="52" spans="1:8" x14ac:dyDescent="0.25">
      <c r="A52" s="2" t="s">
        <v>185</v>
      </c>
      <c r="B52" s="2" t="s">
        <v>56</v>
      </c>
      <c r="C52" s="2">
        <f>LEN(GeoByClient[[#This Row],[CLID]])</f>
        <v>9</v>
      </c>
      <c r="D52" s="2" t="str">
        <f>MID(GeoByClient[[#This Row],[CLID]],3,7)</f>
        <v>CL99496</v>
      </c>
      <c r="E52" s="2" t="str">
        <f>RIGHT(GeoByClient[[#This Row],[CLID]],7)</f>
        <v>CL99496</v>
      </c>
      <c r="F52"/>
      <c r="H52" s="7"/>
    </row>
    <row r="53" spans="1:8" x14ac:dyDescent="0.25">
      <c r="A53" s="2" t="s">
        <v>186</v>
      </c>
      <c r="B53" s="2" t="s">
        <v>54</v>
      </c>
      <c r="C53" s="2">
        <f>LEN(GeoByClient[[#This Row],[CLID]])</f>
        <v>9</v>
      </c>
      <c r="D53" s="2" t="str">
        <f>MID(GeoByClient[[#This Row],[CLID]],3,7)</f>
        <v>CL92654</v>
      </c>
      <c r="E53" s="2" t="str">
        <f>RIGHT(GeoByClient[[#This Row],[CLID]],7)</f>
        <v>CL92654</v>
      </c>
      <c r="F53"/>
      <c r="H53" s="7"/>
    </row>
    <row r="54" spans="1:8" x14ac:dyDescent="0.25">
      <c r="A54" s="2" t="s">
        <v>187</v>
      </c>
      <c r="B54" s="2" t="s">
        <v>56</v>
      </c>
      <c r="C54" s="2">
        <f>LEN(GeoByClient[[#This Row],[CLID]])</f>
        <v>9</v>
      </c>
      <c r="D54" s="2" t="str">
        <f>MID(GeoByClient[[#This Row],[CLID]],3,7)</f>
        <v>CL82440</v>
      </c>
      <c r="E54" s="2" t="str">
        <f>RIGHT(GeoByClient[[#This Row],[CLID]],7)</f>
        <v>CL82440</v>
      </c>
      <c r="F54"/>
      <c r="H54" s="7"/>
    </row>
  </sheetData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822F2-A503-4A09-AAA4-00C80123D8B1}">
  <dimension ref="A1:I908"/>
  <sheetViews>
    <sheetView workbookViewId="0">
      <selection activeCell="D16" sqref="D16"/>
    </sheetView>
  </sheetViews>
  <sheetFormatPr defaultRowHeight="12.5" x14ac:dyDescent="0.25"/>
  <cols>
    <col min="1" max="1" width="8.08984375" style="2" bestFit="1" customWidth="1"/>
    <col min="2" max="2" width="9.90625" style="2" bestFit="1" customWidth="1"/>
    <col min="3" max="3" width="10.1796875" style="2" bestFit="1" customWidth="1"/>
    <col min="4" max="8" width="8.7265625" style="2"/>
    <col min="9" max="9" width="8.7265625" style="2" customWidth="1"/>
    <col min="10" max="16384" width="8.7265625" style="2"/>
  </cols>
  <sheetData>
    <row r="1" spans="1:9" x14ac:dyDescent="0.25">
      <c r="A1" s="4" t="s">
        <v>0</v>
      </c>
      <c r="B1" s="2" t="s">
        <v>61</v>
      </c>
      <c r="C1" s="2" t="s">
        <v>133</v>
      </c>
      <c r="D1" s="2" t="s">
        <v>903</v>
      </c>
    </row>
    <row r="2" spans="1:9" x14ac:dyDescent="0.25">
      <c r="A2" s="5" t="s">
        <v>23</v>
      </c>
      <c r="B2" s="3">
        <v>43921</v>
      </c>
      <c r="C2" s="6">
        <v>884</v>
      </c>
      <c r="D2" s="2">
        <f>LEN(Table3[[#This Row],[CLID]])</f>
        <v>7</v>
      </c>
      <c r="I2" s="3"/>
    </row>
    <row r="3" spans="1:9" x14ac:dyDescent="0.25">
      <c r="A3" s="3" t="s">
        <v>23</v>
      </c>
      <c r="B3" s="3">
        <v>43951</v>
      </c>
      <c r="C3" s="6">
        <v>886</v>
      </c>
      <c r="D3" s="2">
        <f>LEN(Table3[[#This Row],[CLID]])</f>
        <v>7</v>
      </c>
      <c r="I3" s="3"/>
    </row>
    <row r="4" spans="1:9" x14ac:dyDescent="0.25">
      <c r="A4" s="3" t="s">
        <v>23</v>
      </c>
      <c r="B4" s="3">
        <v>43982</v>
      </c>
      <c r="C4" s="6">
        <v>968</v>
      </c>
      <c r="D4" s="2">
        <f>LEN(Table3[[#This Row],[CLID]])</f>
        <v>7</v>
      </c>
      <c r="I4" s="3"/>
    </row>
    <row r="5" spans="1:9" x14ac:dyDescent="0.25">
      <c r="A5" s="3" t="s">
        <v>23</v>
      </c>
      <c r="B5" s="3">
        <v>44012</v>
      </c>
      <c r="C5" s="6">
        <v>564</v>
      </c>
      <c r="D5" s="2">
        <f>LEN(Table3[[#This Row],[CLID]])</f>
        <v>7</v>
      </c>
      <c r="I5" s="3"/>
    </row>
    <row r="6" spans="1:9" x14ac:dyDescent="0.25">
      <c r="A6" s="3" t="s">
        <v>23</v>
      </c>
      <c r="B6" s="3">
        <v>44043</v>
      </c>
      <c r="C6" s="6">
        <v>648</v>
      </c>
      <c r="D6" s="2">
        <f>LEN(Table3[[#This Row],[CLID]])</f>
        <v>7</v>
      </c>
      <c r="I6" s="3"/>
    </row>
    <row r="7" spans="1:9" x14ac:dyDescent="0.25">
      <c r="A7" s="3" t="s">
        <v>23</v>
      </c>
      <c r="B7" s="3">
        <v>44074</v>
      </c>
      <c r="C7" s="6">
        <v>406</v>
      </c>
      <c r="D7" s="2">
        <f>LEN(Table3[[#This Row],[CLID]])</f>
        <v>7</v>
      </c>
      <c r="I7" s="3"/>
    </row>
    <row r="8" spans="1:9" x14ac:dyDescent="0.25">
      <c r="A8" s="3" t="s">
        <v>23</v>
      </c>
      <c r="B8" s="3">
        <v>44104</v>
      </c>
      <c r="C8" s="6">
        <v>569</v>
      </c>
      <c r="D8" s="2">
        <f>LEN(Table3[[#This Row],[CLID]])</f>
        <v>7</v>
      </c>
      <c r="I8" s="3"/>
    </row>
    <row r="9" spans="1:9" x14ac:dyDescent="0.25">
      <c r="A9" s="3" t="s">
        <v>23</v>
      </c>
      <c r="B9" s="3">
        <v>44135</v>
      </c>
      <c r="C9" s="6">
        <v>487</v>
      </c>
      <c r="D9" s="2">
        <f>LEN(Table3[[#This Row],[CLID]])</f>
        <v>7</v>
      </c>
      <c r="I9" s="3"/>
    </row>
    <row r="10" spans="1:9" x14ac:dyDescent="0.25">
      <c r="A10" s="3" t="s">
        <v>23</v>
      </c>
      <c r="B10" s="3">
        <v>44165</v>
      </c>
      <c r="C10" s="6">
        <v>729</v>
      </c>
      <c r="D10" s="2">
        <f>LEN(Table3[[#This Row],[CLID]])</f>
        <v>7</v>
      </c>
      <c r="I10" s="3"/>
    </row>
    <row r="11" spans="1:9" x14ac:dyDescent="0.25">
      <c r="A11" s="3" t="s">
        <v>23</v>
      </c>
      <c r="B11" s="3">
        <v>44196</v>
      </c>
      <c r="C11" s="6">
        <v>565</v>
      </c>
      <c r="D11" s="2">
        <f>LEN(Table3[[#This Row],[CLID]])</f>
        <v>7</v>
      </c>
      <c r="I11" s="3"/>
    </row>
    <row r="12" spans="1:9" x14ac:dyDescent="0.25">
      <c r="A12" s="3" t="s">
        <v>23</v>
      </c>
      <c r="B12" s="3">
        <v>44377</v>
      </c>
      <c r="C12" s="6">
        <v>561</v>
      </c>
      <c r="D12" s="2">
        <f>LEN(Table3[[#This Row],[CLID]])</f>
        <v>7</v>
      </c>
      <c r="I12" s="3"/>
    </row>
    <row r="13" spans="1:9" x14ac:dyDescent="0.25">
      <c r="A13" s="3" t="s">
        <v>23</v>
      </c>
      <c r="B13" s="3">
        <v>44347</v>
      </c>
      <c r="C13" s="6">
        <v>1014</v>
      </c>
      <c r="D13" s="2">
        <f>LEN(Table3[[#This Row],[CLID]])</f>
        <v>7</v>
      </c>
      <c r="I13" s="3"/>
    </row>
    <row r="14" spans="1:9" x14ac:dyDescent="0.25">
      <c r="A14" s="3" t="s">
        <v>23</v>
      </c>
      <c r="B14" s="3">
        <v>44316</v>
      </c>
      <c r="C14" s="6">
        <v>878</v>
      </c>
      <c r="D14" s="2">
        <f>LEN(Table3[[#This Row],[CLID]])</f>
        <v>7</v>
      </c>
      <c r="I14" s="3"/>
    </row>
    <row r="15" spans="1:9" x14ac:dyDescent="0.25">
      <c r="A15" s="3" t="s">
        <v>23</v>
      </c>
      <c r="B15" s="3">
        <v>44286</v>
      </c>
      <c r="C15" s="6">
        <v>922</v>
      </c>
      <c r="D15" s="2">
        <f>LEN(Table3[[#This Row],[CLID]])</f>
        <v>7</v>
      </c>
      <c r="I15" s="3"/>
    </row>
    <row r="16" spans="1:9" x14ac:dyDescent="0.25">
      <c r="A16" s="3" t="s">
        <v>23</v>
      </c>
      <c r="B16" s="3">
        <v>44255</v>
      </c>
      <c r="C16" s="6">
        <v>668</v>
      </c>
      <c r="D16" s="2">
        <f>LEN(Table3[[#This Row],[CLID]])</f>
        <v>7</v>
      </c>
      <c r="I16" s="3"/>
    </row>
    <row r="17" spans="1:9" x14ac:dyDescent="0.25">
      <c r="A17" s="3" t="s">
        <v>23</v>
      </c>
      <c r="B17" s="3">
        <v>44227</v>
      </c>
      <c r="C17" s="6">
        <v>725</v>
      </c>
      <c r="D17" s="2">
        <f>LEN(Table3[[#This Row],[CLID]])</f>
        <v>7</v>
      </c>
      <c r="I17" s="3"/>
    </row>
    <row r="18" spans="1:9" x14ac:dyDescent="0.25">
      <c r="A18" s="3" t="s">
        <v>33</v>
      </c>
      <c r="B18" s="3">
        <v>43861</v>
      </c>
      <c r="C18" s="6">
        <v>1194</v>
      </c>
      <c r="D18" s="2">
        <f>LEN(Table3[[#This Row],[CLID]])</f>
        <v>7</v>
      </c>
      <c r="I18" s="3"/>
    </row>
    <row r="19" spans="1:9" x14ac:dyDescent="0.25">
      <c r="A19" s="3" t="s">
        <v>33</v>
      </c>
      <c r="B19" s="3">
        <v>43890</v>
      </c>
      <c r="C19" s="6">
        <v>942</v>
      </c>
      <c r="D19" s="2">
        <f>LEN(Table3[[#This Row],[CLID]])</f>
        <v>7</v>
      </c>
      <c r="I19" s="3"/>
    </row>
    <row r="20" spans="1:9" x14ac:dyDescent="0.25">
      <c r="A20" s="3" t="s">
        <v>33</v>
      </c>
      <c r="B20" s="3">
        <v>43921</v>
      </c>
      <c r="C20" s="6">
        <v>1448</v>
      </c>
      <c r="D20" s="2">
        <f>LEN(Table3[[#This Row],[CLID]])</f>
        <v>7</v>
      </c>
      <c r="I20" s="3"/>
    </row>
    <row r="21" spans="1:9" x14ac:dyDescent="0.25">
      <c r="A21" s="3" t="s">
        <v>33</v>
      </c>
      <c r="B21" s="3">
        <v>43951</v>
      </c>
      <c r="C21" s="6">
        <v>1323</v>
      </c>
      <c r="D21" s="2">
        <f>LEN(Table3[[#This Row],[CLID]])</f>
        <v>7</v>
      </c>
      <c r="I21" s="3"/>
    </row>
    <row r="22" spans="1:9" x14ac:dyDescent="0.25">
      <c r="A22" s="3" t="s">
        <v>33</v>
      </c>
      <c r="B22" s="3">
        <v>43982</v>
      </c>
      <c r="C22" s="6">
        <v>1573</v>
      </c>
      <c r="D22" s="2">
        <f>LEN(Table3[[#This Row],[CLID]])</f>
        <v>7</v>
      </c>
      <c r="I22" s="3"/>
    </row>
    <row r="23" spans="1:9" x14ac:dyDescent="0.25">
      <c r="A23" s="3" t="s">
        <v>33</v>
      </c>
      <c r="B23" s="3">
        <v>44012</v>
      </c>
      <c r="C23" s="6">
        <v>820</v>
      </c>
      <c r="D23" s="2">
        <f>LEN(Table3[[#This Row],[CLID]])</f>
        <v>7</v>
      </c>
      <c r="I23" s="3"/>
    </row>
    <row r="24" spans="1:9" x14ac:dyDescent="0.25">
      <c r="A24" s="3" t="s">
        <v>33</v>
      </c>
      <c r="B24" s="3">
        <v>44043</v>
      </c>
      <c r="C24" s="6">
        <v>1069</v>
      </c>
      <c r="D24" s="2">
        <f>LEN(Table3[[#This Row],[CLID]])</f>
        <v>7</v>
      </c>
      <c r="I24" s="3"/>
    </row>
    <row r="25" spans="1:9" x14ac:dyDescent="0.25">
      <c r="A25" s="3" t="s">
        <v>33</v>
      </c>
      <c r="B25" s="3">
        <v>44074</v>
      </c>
      <c r="C25" s="6">
        <v>571</v>
      </c>
      <c r="D25" s="2">
        <f>LEN(Table3[[#This Row],[CLID]])</f>
        <v>7</v>
      </c>
      <c r="I25" s="3"/>
    </row>
    <row r="26" spans="1:9" x14ac:dyDescent="0.25">
      <c r="A26" s="3" t="s">
        <v>33</v>
      </c>
      <c r="B26" s="3">
        <v>44104</v>
      </c>
      <c r="C26" s="6">
        <v>947</v>
      </c>
      <c r="D26" s="2">
        <f>LEN(Table3[[#This Row],[CLID]])</f>
        <v>7</v>
      </c>
      <c r="I26" s="3"/>
    </row>
    <row r="27" spans="1:9" x14ac:dyDescent="0.25">
      <c r="A27" s="3" t="s">
        <v>33</v>
      </c>
      <c r="B27" s="3">
        <v>44135</v>
      </c>
      <c r="C27" s="6">
        <v>694</v>
      </c>
      <c r="D27" s="2">
        <f>LEN(Table3[[#This Row],[CLID]])</f>
        <v>7</v>
      </c>
      <c r="I27" s="3"/>
    </row>
    <row r="28" spans="1:9" x14ac:dyDescent="0.25">
      <c r="A28" s="3" t="s">
        <v>33</v>
      </c>
      <c r="B28" s="3">
        <v>44165</v>
      </c>
      <c r="C28" s="6">
        <v>1197</v>
      </c>
      <c r="D28" s="2">
        <f>LEN(Table3[[#This Row],[CLID]])</f>
        <v>7</v>
      </c>
      <c r="I28" s="3"/>
    </row>
    <row r="29" spans="1:9" x14ac:dyDescent="0.25">
      <c r="A29" s="3" t="s">
        <v>33</v>
      </c>
      <c r="B29" s="3">
        <v>44196</v>
      </c>
      <c r="C29" s="6">
        <v>822</v>
      </c>
      <c r="D29" s="2">
        <f>LEN(Table3[[#This Row],[CLID]])</f>
        <v>7</v>
      </c>
      <c r="I29" s="3"/>
    </row>
    <row r="30" spans="1:9" x14ac:dyDescent="0.25">
      <c r="A30" s="3" t="s">
        <v>33</v>
      </c>
      <c r="B30" s="3">
        <v>44377</v>
      </c>
      <c r="C30" s="6">
        <v>846</v>
      </c>
      <c r="D30" s="2">
        <f>LEN(Table3[[#This Row],[CLID]])</f>
        <v>7</v>
      </c>
      <c r="I30" s="3"/>
    </row>
    <row r="31" spans="1:9" x14ac:dyDescent="0.25">
      <c r="A31" s="3" t="s">
        <v>33</v>
      </c>
      <c r="B31" s="3">
        <v>44347</v>
      </c>
      <c r="C31" s="6">
        <v>1553</v>
      </c>
      <c r="D31" s="2">
        <f>LEN(Table3[[#This Row],[CLID]])</f>
        <v>7</v>
      </c>
      <c r="I31" s="3"/>
    </row>
    <row r="32" spans="1:9" x14ac:dyDescent="0.25">
      <c r="A32" s="3" t="s">
        <v>33</v>
      </c>
      <c r="B32" s="3">
        <v>44316</v>
      </c>
      <c r="C32" s="6">
        <v>1344</v>
      </c>
      <c r="D32" s="2">
        <f>LEN(Table3[[#This Row],[CLID]])</f>
        <v>7</v>
      </c>
      <c r="I32" s="3"/>
    </row>
    <row r="33" spans="1:9" x14ac:dyDescent="0.25">
      <c r="A33" s="3" t="s">
        <v>33</v>
      </c>
      <c r="B33" s="3">
        <v>44286</v>
      </c>
      <c r="C33" s="6">
        <v>1436</v>
      </c>
      <c r="D33" s="2">
        <f>LEN(Table3[[#This Row],[CLID]])</f>
        <v>7</v>
      </c>
      <c r="I33" s="3"/>
    </row>
    <row r="34" spans="1:9" x14ac:dyDescent="0.25">
      <c r="A34" s="3" t="s">
        <v>33</v>
      </c>
      <c r="B34" s="3">
        <v>44255</v>
      </c>
      <c r="C34" s="6">
        <v>970</v>
      </c>
      <c r="D34" s="2">
        <f>LEN(Table3[[#This Row],[CLID]])</f>
        <v>7</v>
      </c>
      <c r="I34" s="3"/>
    </row>
    <row r="35" spans="1:9" x14ac:dyDescent="0.25">
      <c r="A35" s="3" t="s">
        <v>33</v>
      </c>
      <c r="B35" s="3">
        <v>44227</v>
      </c>
      <c r="C35" s="6">
        <v>1207</v>
      </c>
      <c r="D35" s="2">
        <f>LEN(Table3[[#This Row],[CLID]])</f>
        <v>7</v>
      </c>
      <c r="I35" s="3"/>
    </row>
    <row r="36" spans="1:9" x14ac:dyDescent="0.25">
      <c r="A36" s="3" t="s">
        <v>22</v>
      </c>
      <c r="B36" s="3">
        <v>43861</v>
      </c>
      <c r="C36" s="6">
        <v>532</v>
      </c>
      <c r="D36" s="2">
        <f>LEN(Table3[[#This Row],[CLID]])</f>
        <v>7</v>
      </c>
      <c r="I36" s="3"/>
    </row>
    <row r="37" spans="1:9" x14ac:dyDescent="0.25">
      <c r="A37" s="3" t="s">
        <v>22</v>
      </c>
      <c r="B37" s="3">
        <v>43890</v>
      </c>
      <c r="C37" s="6">
        <v>760</v>
      </c>
      <c r="D37" s="2">
        <f>LEN(Table3[[#This Row],[CLID]])</f>
        <v>7</v>
      </c>
      <c r="I37" s="3"/>
    </row>
    <row r="38" spans="1:9" x14ac:dyDescent="0.25">
      <c r="A38" s="3" t="s">
        <v>22</v>
      </c>
      <c r="B38" s="3">
        <v>43921</v>
      </c>
      <c r="C38" s="6">
        <v>682</v>
      </c>
      <c r="D38" s="2">
        <f>LEN(Table3[[#This Row],[CLID]])</f>
        <v>7</v>
      </c>
      <c r="I38" s="3"/>
    </row>
    <row r="39" spans="1:9" x14ac:dyDescent="0.25">
      <c r="A39" s="3" t="s">
        <v>22</v>
      </c>
      <c r="B39" s="3">
        <v>43951</v>
      </c>
      <c r="C39" s="6">
        <v>984</v>
      </c>
      <c r="D39" s="2">
        <f>LEN(Table3[[#This Row],[CLID]])</f>
        <v>7</v>
      </c>
      <c r="I39" s="3"/>
    </row>
    <row r="40" spans="1:9" x14ac:dyDescent="0.25">
      <c r="A40" s="3" t="s">
        <v>22</v>
      </c>
      <c r="B40" s="3">
        <v>43982</v>
      </c>
      <c r="C40" s="6">
        <v>760</v>
      </c>
      <c r="D40" s="2">
        <f>LEN(Table3[[#This Row],[CLID]])</f>
        <v>7</v>
      </c>
      <c r="I40" s="3"/>
    </row>
    <row r="41" spans="1:9" x14ac:dyDescent="0.25">
      <c r="A41" s="3" t="s">
        <v>22</v>
      </c>
      <c r="B41" s="3">
        <v>44012</v>
      </c>
      <c r="C41" s="6">
        <v>681</v>
      </c>
      <c r="D41" s="2">
        <f>LEN(Table3[[#This Row],[CLID]])</f>
        <v>7</v>
      </c>
      <c r="I41" s="3"/>
    </row>
    <row r="42" spans="1:9" x14ac:dyDescent="0.25">
      <c r="A42" s="3" t="s">
        <v>22</v>
      </c>
      <c r="B42" s="3">
        <v>44043</v>
      </c>
      <c r="C42" s="6">
        <v>457</v>
      </c>
      <c r="D42" s="2">
        <f>LEN(Table3[[#This Row],[CLID]])</f>
        <v>7</v>
      </c>
      <c r="I42" s="3"/>
    </row>
    <row r="43" spans="1:9" x14ac:dyDescent="0.25">
      <c r="A43" s="3" t="s">
        <v>22</v>
      </c>
      <c r="B43" s="3">
        <v>44074</v>
      </c>
      <c r="C43" s="6">
        <v>528</v>
      </c>
      <c r="D43" s="2">
        <f>LEN(Table3[[#This Row],[CLID]])</f>
        <v>7</v>
      </c>
      <c r="I43" s="3"/>
    </row>
    <row r="44" spans="1:9" x14ac:dyDescent="0.25">
      <c r="A44" s="3" t="s">
        <v>22</v>
      </c>
      <c r="B44" s="3">
        <v>44104</v>
      </c>
      <c r="C44" s="6">
        <v>377</v>
      </c>
      <c r="D44" s="2">
        <f>LEN(Table3[[#This Row],[CLID]])</f>
        <v>7</v>
      </c>
      <c r="I44" s="3"/>
    </row>
    <row r="45" spans="1:9" x14ac:dyDescent="0.25">
      <c r="A45" s="3" t="s">
        <v>22</v>
      </c>
      <c r="B45" s="3">
        <v>44135</v>
      </c>
      <c r="C45" s="6">
        <v>606</v>
      </c>
      <c r="D45" s="2">
        <f>LEN(Table3[[#This Row],[CLID]])</f>
        <v>7</v>
      </c>
      <c r="I45" s="3"/>
    </row>
    <row r="46" spans="1:9" x14ac:dyDescent="0.25">
      <c r="A46" s="3" t="s">
        <v>22</v>
      </c>
      <c r="B46" s="3">
        <v>44165</v>
      </c>
      <c r="C46" s="6">
        <v>534</v>
      </c>
      <c r="D46" s="2">
        <f>LEN(Table3[[#This Row],[CLID]])</f>
        <v>7</v>
      </c>
      <c r="I46" s="3"/>
    </row>
    <row r="47" spans="1:9" x14ac:dyDescent="0.25">
      <c r="A47" s="3" t="s">
        <v>22</v>
      </c>
      <c r="B47" s="3">
        <v>44196</v>
      </c>
      <c r="C47" s="6">
        <v>681</v>
      </c>
      <c r="D47" s="2">
        <f>LEN(Table3[[#This Row],[CLID]])</f>
        <v>7</v>
      </c>
      <c r="I47" s="3"/>
    </row>
    <row r="48" spans="1:9" x14ac:dyDescent="0.25">
      <c r="A48" s="3" t="s">
        <v>22</v>
      </c>
      <c r="B48" s="3">
        <v>44347</v>
      </c>
      <c r="C48" s="6">
        <v>764</v>
      </c>
      <c r="D48" s="2">
        <f>LEN(Table3[[#This Row],[CLID]])</f>
        <v>7</v>
      </c>
      <c r="I48" s="3"/>
    </row>
    <row r="49" spans="1:9" x14ac:dyDescent="0.25">
      <c r="A49" s="3" t="s">
        <v>22</v>
      </c>
      <c r="B49" s="3">
        <v>44316</v>
      </c>
      <c r="C49" s="6">
        <v>973</v>
      </c>
      <c r="D49" s="2">
        <f>LEN(Table3[[#This Row],[CLID]])</f>
        <v>7</v>
      </c>
      <c r="I49" s="3"/>
    </row>
    <row r="50" spans="1:9" x14ac:dyDescent="0.25">
      <c r="A50" s="3" t="s">
        <v>22</v>
      </c>
      <c r="B50" s="3">
        <v>44286</v>
      </c>
      <c r="C50" s="6">
        <v>688</v>
      </c>
      <c r="D50" s="2">
        <f>LEN(Table3[[#This Row],[CLID]])</f>
        <v>7</v>
      </c>
      <c r="I50" s="3"/>
    </row>
    <row r="51" spans="1:9" x14ac:dyDescent="0.25">
      <c r="A51" s="3" t="s">
        <v>22</v>
      </c>
      <c r="B51" s="3">
        <v>44255</v>
      </c>
      <c r="C51" s="6">
        <v>750</v>
      </c>
      <c r="D51" s="2">
        <f>LEN(Table3[[#This Row],[CLID]])</f>
        <v>7</v>
      </c>
      <c r="I51" s="3"/>
    </row>
    <row r="52" spans="1:9" x14ac:dyDescent="0.25">
      <c r="A52" s="3" t="s">
        <v>22</v>
      </c>
      <c r="B52" s="3">
        <v>44227</v>
      </c>
      <c r="C52" s="6">
        <v>554</v>
      </c>
      <c r="D52" s="2">
        <f>LEN(Table3[[#This Row],[CLID]])</f>
        <v>7</v>
      </c>
      <c r="I52" s="3"/>
    </row>
    <row r="53" spans="1:9" x14ac:dyDescent="0.25">
      <c r="A53" s="3" t="s">
        <v>49</v>
      </c>
      <c r="B53" s="3">
        <v>44012</v>
      </c>
      <c r="C53" s="6">
        <v>1342</v>
      </c>
      <c r="D53" s="2">
        <f>LEN(Table3[[#This Row],[CLID]])</f>
        <v>7</v>
      </c>
      <c r="I53" s="3"/>
    </row>
    <row r="54" spans="1:9" x14ac:dyDescent="0.25">
      <c r="A54" s="3" t="s">
        <v>49</v>
      </c>
      <c r="B54" s="3">
        <v>44043</v>
      </c>
      <c r="C54" s="6">
        <v>1526</v>
      </c>
      <c r="D54" s="2">
        <f>LEN(Table3[[#This Row],[CLID]])</f>
        <v>7</v>
      </c>
      <c r="I54" s="3"/>
    </row>
    <row r="55" spans="1:9" x14ac:dyDescent="0.25">
      <c r="A55" s="3" t="s">
        <v>49</v>
      </c>
      <c r="B55" s="3">
        <v>44074</v>
      </c>
      <c r="C55" s="6">
        <v>958</v>
      </c>
      <c r="D55" s="2">
        <f>LEN(Table3[[#This Row],[CLID]])</f>
        <v>7</v>
      </c>
      <c r="I55" s="3"/>
    </row>
    <row r="56" spans="1:9" x14ac:dyDescent="0.25">
      <c r="A56" s="3" t="s">
        <v>49</v>
      </c>
      <c r="B56" s="3">
        <v>44104</v>
      </c>
      <c r="C56" s="6">
        <v>1340</v>
      </c>
      <c r="D56" s="2">
        <f>LEN(Table3[[#This Row],[CLID]])</f>
        <v>7</v>
      </c>
      <c r="I56" s="3"/>
    </row>
    <row r="57" spans="1:9" x14ac:dyDescent="0.25">
      <c r="A57" s="3" t="s">
        <v>49</v>
      </c>
      <c r="B57" s="3">
        <v>44135</v>
      </c>
      <c r="C57" s="6">
        <v>1150</v>
      </c>
      <c r="D57" s="2">
        <f>LEN(Table3[[#This Row],[CLID]])</f>
        <v>7</v>
      </c>
      <c r="I57" s="3"/>
    </row>
    <row r="58" spans="1:9" x14ac:dyDescent="0.25">
      <c r="A58" s="3" t="s">
        <v>49</v>
      </c>
      <c r="B58" s="3">
        <v>44165</v>
      </c>
      <c r="C58" s="6">
        <v>1721</v>
      </c>
      <c r="D58" s="2">
        <f>LEN(Table3[[#This Row],[CLID]])</f>
        <v>7</v>
      </c>
      <c r="I58" s="3"/>
    </row>
    <row r="59" spans="1:9" x14ac:dyDescent="0.25">
      <c r="A59" s="3" t="s">
        <v>49</v>
      </c>
      <c r="B59" s="3">
        <v>44196</v>
      </c>
      <c r="C59" s="6">
        <v>1342</v>
      </c>
      <c r="D59" s="2">
        <f>LEN(Table3[[#This Row],[CLID]])</f>
        <v>7</v>
      </c>
      <c r="I59" s="3"/>
    </row>
    <row r="60" spans="1:9" x14ac:dyDescent="0.25">
      <c r="A60" s="3" t="s">
        <v>49</v>
      </c>
      <c r="B60" s="3">
        <v>44377</v>
      </c>
      <c r="C60" s="6">
        <v>1325</v>
      </c>
      <c r="D60" s="2">
        <f>LEN(Table3[[#This Row],[CLID]])</f>
        <v>7</v>
      </c>
      <c r="I60" s="3"/>
    </row>
    <row r="61" spans="1:9" x14ac:dyDescent="0.25">
      <c r="A61" s="3" t="s">
        <v>49</v>
      </c>
      <c r="B61" s="3">
        <v>44347</v>
      </c>
      <c r="C61" s="6">
        <v>2403</v>
      </c>
      <c r="D61" s="2">
        <f>LEN(Table3[[#This Row],[CLID]])</f>
        <v>7</v>
      </c>
      <c r="I61" s="3"/>
    </row>
    <row r="62" spans="1:9" x14ac:dyDescent="0.25">
      <c r="A62" s="3" t="s">
        <v>49</v>
      </c>
      <c r="B62" s="3">
        <v>44316</v>
      </c>
      <c r="C62" s="6">
        <v>2089</v>
      </c>
      <c r="D62" s="2">
        <f>LEN(Table3[[#This Row],[CLID]])</f>
        <v>7</v>
      </c>
      <c r="I62" s="3"/>
    </row>
    <row r="63" spans="1:9" x14ac:dyDescent="0.25">
      <c r="A63" s="3" t="s">
        <v>49</v>
      </c>
      <c r="B63" s="3">
        <v>44286</v>
      </c>
      <c r="C63" s="6">
        <v>2185</v>
      </c>
      <c r="D63" s="2">
        <f>LEN(Table3[[#This Row],[CLID]])</f>
        <v>7</v>
      </c>
      <c r="I63" s="3"/>
    </row>
    <row r="64" spans="1:9" x14ac:dyDescent="0.25">
      <c r="A64" s="3" t="s">
        <v>49</v>
      </c>
      <c r="B64" s="3">
        <v>44255</v>
      </c>
      <c r="C64" s="6">
        <v>1542</v>
      </c>
      <c r="D64" s="2">
        <f>LEN(Table3[[#This Row],[CLID]])</f>
        <v>7</v>
      </c>
      <c r="I64" s="3"/>
    </row>
    <row r="65" spans="1:9" x14ac:dyDescent="0.25">
      <c r="A65" s="3" t="s">
        <v>49</v>
      </c>
      <c r="B65" s="3">
        <v>44227</v>
      </c>
      <c r="C65" s="6">
        <v>1804</v>
      </c>
      <c r="D65" s="2">
        <f>LEN(Table3[[#This Row],[CLID]])</f>
        <v>7</v>
      </c>
      <c r="I65" s="3"/>
    </row>
    <row r="66" spans="1:9" x14ac:dyDescent="0.25">
      <c r="A66" s="3" t="s">
        <v>35</v>
      </c>
      <c r="B66" s="3">
        <v>43861</v>
      </c>
      <c r="C66" s="6">
        <v>12887</v>
      </c>
      <c r="D66" s="2">
        <f>LEN(Table3[[#This Row],[CLID]])</f>
        <v>7</v>
      </c>
      <c r="I66" s="3"/>
    </row>
    <row r="67" spans="1:9" x14ac:dyDescent="0.25">
      <c r="A67" s="3" t="s">
        <v>35</v>
      </c>
      <c r="B67" s="3">
        <v>43890</v>
      </c>
      <c r="C67" s="6">
        <v>18411</v>
      </c>
      <c r="D67" s="2">
        <f>LEN(Table3[[#This Row],[CLID]])</f>
        <v>7</v>
      </c>
      <c r="I67" s="3"/>
    </row>
    <row r="68" spans="1:9" x14ac:dyDescent="0.25">
      <c r="A68" s="3" t="s">
        <v>35</v>
      </c>
      <c r="B68" s="3">
        <v>43921</v>
      </c>
      <c r="C68" s="6">
        <v>16571</v>
      </c>
      <c r="D68" s="2">
        <f>LEN(Table3[[#This Row],[CLID]])</f>
        <v>7</v>
      </c>
      <c r="I68" s="3"/>
    </row>
    <row r="69" spans="1:9" x14ac:dyDescent="0.25">
      <c r="A69" s="3" t="s">
        <v>35</v>
      </c>
      <c r="B69" s="3">
        <v>43951</v>
      </c>
      <c r="C69" s="6">
        <v>23929</v>
      </c>
      <c r="D69" s="2">
        <f>LEN(Table3[[#This Row],[CLID]])</f>
        <v>7</v>
      </c>
      <c r="I69" s="3"/>
    </row>
    <row r="70" spans="1:9" x14ac:dyDescent="0.25">
      <c r="A70" s="3" t="s">
        <v>35</v>
      </c>
      <c r="B70" s="3">
        <v>43982</v>
      </c>
      <c r="C70" s="6">
        <v>18409</v>
      </c>
      <c r="D70" s="2">
        <f>LEN(Table3[[#This Row],[CLID]])</f>
        <v>7</v>
      </c>
      <c r="I70" s="3"/>
    </row>
    <row r="71" spans="1:9" x14ac:dyDescent="0.25">
      <c r="A71" s="3" t="s">
        <v>35</v>
      </c>
      <c r="B71" s="3">
        <v>44012</v>
      </c>
      <c r="C71" s="6">
        <v>16572</v>
      </c>
      <c r="D71" s="2">
        <f>LEN(Table3[[#This Row],[CLID]])</f>
        <v>7</v>
      </c>
      <c r="I71" s="3"/>
    </row>
    <row r="72" spans="1:9" x14ac:dyDescent="0.25">
      <c r="A72" s="3" t="s">
        <v>35</v>
      </c>
      <c r="B72" s="3">
        <v>44043</v>
      </c>
      <c r="C72" s="6">
        <v>11044</v>
      </c>
      <c r="D72" s="2">
        <f>LEN(Table3[[#This Row],[CLID]])</f>
        <v>7</v>
      </c>
      <c r="I72" s="3"/>
    </row>
    <row r="73" spans="1:9" x14ac:dyDescent="0.25">
      <c r="A73" s="3" t="s">
        <v>35</v>
      </c>
      <c r="B73" s="3">
        <v>44074</v>
      </c>
      <c r="C73" s="6">
        <v>12885</v>
      </c>
      <c r="D73" s="2">
        <f>LEN(Table3[[#This Row],[CLID]])</f>
        <v>7</v>
      </c>
      <c r="I73" s="3"/>
    </row>
    <row r="74" spans="1:9" x14ac:dyDescent="0.25">
      <c r="A74" s="3" t="s">
        <v>35</v>
      </c>
      <c r="B74" s="3">
        <v>44104</v>
      </c>
      <c r="C74" s="6">
        <v>9208</v>
      </c>
      <c r="D74" s="2">
        <f>LEN(Table3[[#This Row],[CLID]])</f>
        <v>7</v>
      </c>
      <c r="I74" s="3"/>
    </row>
    <row r="75" spans="1:9" x14ac:dyDescent="0.25">
      <c r="A75" s="3" t="s">
        <v>35</v>
      </c>
      <c r="B75" s="3">
        <v>44135</v>
      </c>
      <c r="C75" s="6">
        <v>14725</v>
      </c>
      <c r="D75" s="2">
        <f>LEN(Table3[[#This Row],[CLID]])</f>
        <v>7</v>
      </c>
      <c r="I75" s="3"/>
    </row>
    <row r="76" spans="1:9" x14ac:dyDescent="0.25">
      <c r="A76" s="3" t="s">
        <v>35</v>
      </c>
      <c r="B76" s="3">
        <v>44165</v>
      </c>
      <c r="C76" s="6">
        <v>12888</v>
      </c>
      <c r="D76" s="2">
        <f>LEN(Table3[[#This Row],[CLID]])</f>
        <v>7</v>
      </c>
      <c r="I76" s="3"/>
    </row>
    <row r="77" spans="1:9" x14ac:dyDescent="0.25">
      <c r="A77" s="3" t="s">
        <v>35</v>
      </c>
      <c r="B77" s="3">
        <v>44196</v>
      </c>
      <c r="C77" s="6">
        <v>16571</v>
      </c>
      <c r="D77" s="2">
        <f>LEN(Table3[[#This Row],[CLID]])</f>
        <v>7</v>
      </c>
      <c r="I77" s="3"/>
    </row>
    <row r="78" spans="1:9" x14ac:dyDescent="0.25">
      <c r="A78" s="3" t="s">
        <v>35</v>
      </c>
      <c r="B78" s="3">
        <v>44377</v>
      </c>
      <c r="C78" s="6">
        <v>17235</v>
      </c>
      <c r="D78" s="2">
        <f>LEN(Table3[[#This Row],[CLID]])</f>
        <v>7</v>
      </c>
      <c r="I78" s="3"/>
    </row>
    <row r="79" spans="1:9" x14ac:dyDescent="0.25">
      <c r="A79" s="3" t="s">
        <v>35</v>
      </c>
      <c r="B79" s="3">
        <v>44347</v>
      </c>
      <c r="C79" s="6">
        <v>19146</v>
      </c>
      <c r="D79" s="2">
        <f>LEN(Table3[[#This Row],[CLID]])</f>
        <v>7</v>
      </c>
      <c r="I79" s="3"/>
    </row>
    <row r="80" spans="1:9" x14ac:dyDescent="0.25">
      <c r="A80" s="3" t="s">
        <v>35</v>
      </c>
      <c r="B80" s="3">
        <v>44316</v>
      </c>
      <c r="C80" s="6">
        <v>23690</v>
      </c>
      <c r="D80" s="2">
        <f>LEN(Table3[[#This Row],[CLID]])</f>
        <v>7</v>
      </c>
      <c r="I80" s="3"/>
    </row>
    <row r="81" spans="1:9" x14ac:dyDescent="0.25">
      <c r="A81" s="3" t="s">
        <v>35</v>
      </c>
      <c r="B81" s="3">
        <v>44286</v>
      </c>
      <c r="C81" s="6">
        <v>17229</v>
      </c>
      <c r="D81" s="2">
        <f>LEN(Table3[[#This Row],[CLID]])</f>
        <v>7</v>
      </c>
      <c r="I81" s="3"/>
    </row>
    <row r="82" spans="1:9" x14ac:dyDescent="0.25">
      <c r="A82" s="3" t="s">
        <v>35</v>
      </c>
      <c r="B82" s="3">
        <v>44255</v>
      </c>
      <c r="C82" s="6">
        <v>19330</v>
      </c>
      <c r="D82" s="2">
        <f>LEN(Table3[[#This Row],[CLID]])</f>
        <v>7</v>
      </c>
      <c r="I82" s="3"/>
    </row>
    <row r="83" spans="1:9" x14ac:dyDescent="0.25">
      <c r="A83" s="3" t="s">
        <v>35</v>
      </c>
      <c r="B83" s="3">
        <v>44227</v>
      </c>
      <c r="C83" s="6">
        <v>12826</v>
      </c>
      <c r="D83" s="2">
        <f>LEN(Table3[[#This Row],[CLID]])</f>
        <v>7</v>
      </c>
      <c r="I83" s="3"/>
    </row>
    <row r="84" spans="1:9" x14ac:dyDescent="0.25">
      <c r="A84" s="3" t="s">
        <v>44</v>
      </c>
      <c r="B84" s="3">
        <v>44104</v>
      </c>
      <c r="C84" s="6">
        <v>1249</v>
      </c>
      <c r="D84" s="2">
        <f>LEN(Table3[[#This Row],[CLID]])</f>
        <v>7</v>
      </c>
      <c r="I84" s="3"/>
    </row>
    <row r="85" spans="1:9" x14ac:dyDescent="0.25">
      <c r="A85" s="3" t="s">
        <v>44</v>
      </c>
      <c r="B85" s="3">
        <v>44135</v>
      </c>
      <c r="C85" s="6">
        <v>913</v>
      </c>
      <c r="D85" s="2">
        <f>LEN(Table3[[#This Row],[CLID]])</f>
        <v>7</v>
      </c>
      <c r="I85" s="3"/>
    </row>
    <row r="86" spans="1:9" x14ac:dyDescent="0.25">
      <c r="A86" s="3" t="s">
        <v>44</v>
      </c>
      <c r="B86" s="3">
        <v>44165</v>
      </c>
      <c r="C86" s="6">
        <v>1574</v>
      </c>
      <c r="D86" s="2">
        <f>LEN(Table3[[#This Row],[CLID]])</f>
        <v>7</v>
      </c>
      <c r="I86" s="3"/>
    </row>
    <row r="87" spans="1:9" x14ac:dyDescent="0.25">
      <c r="A87" s="3" t="s">
        <v>44</v>
      </c>
      <c r="B87" s="3">
        <v>44196</v>
      </c>
      <c r="C87" s="6">
        <v>1082</v>
      </c>
      <c r="D87" s="2">
        <f>LEN(Table3[[#This Row],[CLID]])</f>
        <v>7</v>
      </c>
      <c r="I87" s="3"/>
    </row>
    <row r="88" spans="1:9" x14ac:dyDescent="0.25">
      <c r="A88" s="3" t="s">
        <v>44</v>
      </c>
      <c r="B88" s="3">
        <v>44286</v>
      </c>
      <c r="C88" s="6">
        <v>1945</v>
      </c>
      <c r="D88" s="2">
        <f>LEN(Table3[[#This Row],[CLID]])</f>
        <v>7</v>
      </c>
      <c r="I88" s="3"/>
    </row>
    <row r="89" spans="1:9" x14ac:dyDescent="0.25">
      <c r="A89" s="3" t="s">
        <v>44</v>
      </c>
      <c r="B89" s="3">
        <v>44255</v>
      </c>
      <c r="C89" s="6">
        <v>1296</v>
      </c>
      <c r="D89" s="2">
        <f>LEN(Table3[[#This Row],[CLID]])</f>
        <v>7</v>
      </c>
      <c r="I89" s="3"/>
    </row>
    <row r="90" spans="1:9" x14ac:dyDescent="0.25">
      <c r="A90" s="3" t="s">
        <v>44</v>
      </c>
      <c r="B90" s="3">
        <v>44227</v>
      </c>
      <c r="C90" s="6">
        <v>1568</v>
      </c>
      <c r="D90" s="2">
        <f>LEN(Table3[[#This Row],[CLID]])</f>
        <v>7</v>
      </c>
      <c r="I90" s="3"/>
    </row>
    <row r="91" spans="1:9" x14ac:dyDescent="0.25">
      <c r="A91" s="3" t="s">
        <v>28</v>
      </c>
      <c r="B91" s="3">
        <v>43861</v>
      </c>
      <c r="C91" s="6">
        <v>756</v>
      </c>
      <c r="D91" s="2">
        <f>LEN(Table3[[#This Row],[CLID]])</f>
        <v>7</v>
      </c>
      <c r="I91" s="3"/>
    </row>
    <row r="92" spans="1:9" x14ac:dyDescent="0.25">
      <c r="A92" s="3" t="s">
        <v>28</v>
      </c>
      <c r="B92" s="3">
        <v>43890</v>
      </c>
      <c r="C92" s="6">
        <v>954</v>
      </c>
      <c r="D92" s="2">
        <f>LEN(Table3[[#This Row],[CLID]])</f>
        <v>7</v>
      </c>
      <c r="I92" s="3"/>
    </row>
    <row r="93" spans="1:9" x14ac:dyDescent="0.25">
      <c r="A93" s="3" t="s">
        <v>28</v>
      </c>
      <c r="B93" s="3">
        <v>43921</v>
      </c>
      <c r="C93" s="6">
        <v>955</v>
      </c>
      <c r="D93" s="2">
        <f>LEN(Table3[[#This Row],[CLID]])</f>
        <v>7</v>
      </c>
      <c r="I93" s="3"/>
    </row>
    <row r="94" spans="1:9" x14ac:dyDescent="0.25">
      <c r="A94" s="3" t="s">
        <v>28</v>
      </c>
      <c r="B94" s="3">
        <v>43951</v>
      </c>
      <c r="C94" s="6">
        <v>1261</v>
      </c>
      <c r="D94" s="2">
        <f>LEN(Table3[[#This Row],[CLID]])</f>
        <v>7</v>
      </c>
      <c r="I94" s="3"/>
    </row>
    <row r="95" spans="1:9" x14ac:dyDescent="0.25">
      <c r="A95" s="3" t="s">
        <v>28</v>
      </c>
      <c r="B95" s="3">
        <v>43982</v>
      </c>
      <c r="C95" s="6">
        <v>1058</v>
      </c>
      <c r="D95" s="2">
        <f>LEN(Table3[[#This Row],[CLID]])</f>
        <v>7</v>
      </c>
      <c r="I95" s="3"/>
    </row>
    <row r="96" spans="1:9" x14ac:dyDescent="0.25">
      <c r="A96" s="3" t="s">
        <v>28</v>
      </c>
      <c r="B96" s="3">
        <v>44012</v>
      </c>
      <c r="C96" s="6">
        <v>855</v>
      </c>
      <c r="D96" s="2">
        <f>LEN(Table3[[#This Row],[CLID]])</f>
        <v>7</v>
      </c>
      <c r="I96" s="3"/>
    </row>
    <row r="97" spans="1:9" x14ac:dyDescent="0.25">
      <c r="A97" s="3" t="s">
        <v>28</v>
      </c>
      <c r="B97" s="3">
        <v>44043</v>
      </c>
      <c r="C97" s="6">
        <v>654</v>
      </c>
      <c r="D97" s="2">
        <f>LEN(Table3[[#This Row],[CLID]])</f>
        <v>7</v>
      </c>
      <c r="I97" s="3"/>
    </row>
    <row r="98" spans="1:9" x14ac:dyDescent="0.25">
      <c r="A98" s="3" t="s">
        <v>28</v>
      </c>
      <c r="B98" s="3">
        <v>44074</v>
      </c>
      <c r="C98" s="6">
        <v>656</v>
      </c>
      <c r="D98" s="2">
        <f>LEN(Table3[[#This Row],[CLID]])</f>
        <v>7</v>
      </c>
      <c r="I98" s="3"/>
    </row>
    <row r="99" spans="1:9" x14ac:dyDescent="0.25">
      <c r="A99" s="3" t="s">
        <v>28</v>
      </c>
      <c r="B99" s="3">
        <v>44104</v>
      </c>
      <c r="C99" s="6">
        <v>554</v>
      </c>
      <c r="D99" s="2">
        <f>LEN(Table3[[#This Row],[CLID]])</f>
        <v>7</v>
      </c>
      <c r="I99" s="3"/>
    </row>
    <row r="100" spans="1:9" x14ac:dyDescent="0.25">
      <c r="A100" s="3" t="s">
        <v>28</v>
      </c>
      <c r="B100" s="3">
        <v>44135</v>
      </c>
      <c r="C100" s="6">
        <v>760</v>
      </c>
      <c r="D100" s="2">
        <f>LEN(Table3[[#This Row],[CLID]])</f>
        <v>7</v>
      </c>
      <c r="I100" s="3"/>
    </row>
    <row r="101" spans="1:9" x14ac:dyDescent="0.25">
      <c r="A101" s="3" t="s">
        <v>28</v>
      </c>
      <c r="B101" s="3">
        <v>44165</v>
      </c>
      <c r="C101" s="6">
        <v>759</v>
      </c>
      <c r="D101" s="2">
        <f>LEN(Table3[[#This Row],[CLID]])</f>
        <v>7</v>
      </c>
      <c r="I101" s="3"/>
    </row>
    <row r="102" spans="1:9" x14ac:dyDescent="0.25">
      <c r="A102" s="3" t="s">
        <v>28</v>
      </c>
      <c r="B102" s="3">
        <v>44196</v>
      </c>
      <c r="C102" s="6">
        <v>857</v>
      </c>
      <c r="D102" s="2">
        <f>LEN(Table3[[#This Row],[CLID]])</f>
        <v>7</v>
      </c>
      <c r="I102" s="3"/>
    </row>
    <row r="103" spans="1:9" x14ac:dyDescent="0.25">
      <c r="A103" s="3" t="s">
        <v>28</v>
      </c>
      <c r="B103" s="3">
        <v>44377</v>
      </c>
      <c r="C103" s="6">
        <v>865</v>
      </c>
      <c r="D103" s="2">
        <f>LEN(Table3[[#This Row],[CLID]])</f>
        <v>7</v>
      </c>
      <c r="I103" s="3"/>
    </row>
    <row r="104" spans="1:9" x14ac:dyDescent="0.25">
      <c r="A104" s="3" t="s">
        <v>28</v>
      </c>
      <c r="B104" s="3">
        <v>44347</v>
      </c>
      <c r="C104" s="6">
        <v>1078</v>
      </c>
      <c r="D104" s="2">
        <f>LEN(Table3[[#This Row],[CLID]])</f>
        <v>7</v>
      </c>
      <c r="I104" s="3"/>
    </row>
    <row r="105" spans="1:9" x14ac:dyDescent="0.25">
      <c r="A105" s="3" t="s">
        <v>28</v>
      </c>
      <c r="B105" s="3">
        <v>44316</v>
      </c>
      <c r="C105" s="6">
        <v>1305</v>
      </c>
      <c r="D105" s="2">
        <f>LEN(Table3[[#This Row],[CLID]])</f>
        <v>7</v>
      </c>
      <c r="I105" s="3"/>
    </row>
    <row r="106" spans="1:9" x14ac:dyDescent="0.25">
      <c r="A106" s="3" t="s">
        <v>28</v>
      </c>
      <c r="B106" s="3">
        <v>44286</v>
      </c>
      <c r="C106" s="6">
        <v>950</v>
      </c>
      <c r="D106" s="2">
        <f>LEN(Table3[[#This Row],[CLID]])</f>
        <v>7</v>
      </c>
      <c r="I106" s="3"/>
    </row>
    <row r="107" spans="1:9" x14ac:dyDescent="0.25">
      <c r="A107" s="3" t="s">
        <v>28</v>
      </c>
      <c r="B107" s="3">
        <v>44255</v>
      </c>
      <c r="C107" s="6">
        <v>968</v>
      </c>
      <c r="D107" s="2">
        <f>LEN(Table3[[#This Row],[CLID]])</f>
        <v>7</v>
      </c>
      <c r="I107" s="3"/>
    </row>
    <row r="108" spans="1:9" x14ac:dyDescent="0.25">
      <c r="A108" s="3" t="s">
        <v>28</v>
      </c>
      <c r="B108" s="3">
        <v>44227</v>
      </c>
      <c r="C108" s="6">
        <v>749</v>
      </c>
      <c r="D108" s="2">
        <f>LEN(Table3[[#This Row],[CLID]])</f>
        <v>7</v>
      </c>
      <c r="I108" s="3"/>
    </row>
    <row r="109" spans="1:9" x14ac:dyDescent="0.25">
      <c r="A109" s="3" t="s">
        <v>30</v>
      </c>
      <c r="B109" s="3">
        <v>43861</v>
      </c>
      <c r="C109" s="6">
        <v>945</v>
      </c>
      <c r="D109" s="2">
        <f>LEN(Table3[[#This Row],[CLID]])</f>
        <v>7</v>
      </c>
      <c r="I109" s="3"/>
    </row>
    <row r="110" spans="1:9" x14ac:dyDescent="0.25">
      <c r="A110" s="3" t="s">
        <v>30</v>
      </c>
      <c r="B110" s="3">
        <v>43890</v>
      </c>
      <c r="C110" s="6">
        <v>941</v>
      </c>
      <c r="D110" s="2">
        <f>LEN(Table3[[#This Row],[CLID]])</f>
        <v>7</v>
      </c>
      <c r="I110" s="3"/>
    </row>
    <row r="111" spans="1:9" x14ac:dyDescent="0.25">
      <c r="A111" s="3" t="s">
        <v>30</v>
      </c>
      <c r="B111" s="3">
        <v>43921</v>
      </c>
      <c r="C111" s="6">
        <v>1164</v>
      </c>
      <c r="D111" s="2">
        <f>LEN(Table3[[#This Row],[CLID]])</f>
        <v>7</v>
      </c>
      <c r="I111" s="3"/>
    </row>
    <row r="112" spans="1:9" x14ac:dyDescent="0.25">
      <c r="A112" s="3" t="s">
        <v>30</v>
      </c>
      <c r="B112" s="3">
        <v>43951</v>
      </c>
      <c r="C112" s="6">
        <v>1276</v>
      </c>
      <c r="D112" s="2">
        <f>LEN(Table3[[#This Row],[CLID]])</f>
        <v>7</v>
      </c>
      <c r="I112" s="3"/>
    </row>
    <row r="113" spans="1:9" x14ac:dyDescent="0.25">
      <c r="A113" s="3" t="s">
        <v>30</v>
      </c>
      <c r="B113" s="3">
        <v>43982</v>
      </c>
      <c r="C113" s="6">
        <v>1275</v>
      </c>
      <c r="D113" s="2">
        <f>LEN(Table3[[#This Row],[CLID]])</f>
        <v>7</v>
      </c>
      <c r="I113" s="3"/>
    </row>
    <row r="114" spans="1:9" x14ac:dyDescent="0.25">
      <c r="A114" s="3" t="s">
        <v>30</v>
      </c>
      <c r="B114" s="3">
        <v>44012</v>
      </c>
      <c r="C114" s="6">
        <v>834</v>
      </c>
      <c r="D114" s="2">
        <f>LEN(Table3[[#This Row],[CLID]])</f>
        <v>7</v>
      </c>
      <c r="I114" s="3"/>
    </row>
    <row r="115" spans="1:9" x14ac:dyDescent="0.25">
      <c r="A115" s="3" t="s">
        <v>30</v>
      </c>
      <c r="B115" s="3">
        <v>44043</v>
      </c>
      <c r="C115" s="6">
        <v>833</v>
      </c>
      <c r="D115" s="2">
        <f>LEN(Table3[[#This Row],[CLID]])</f>
        <v>7</v>
      </c>
      <c r="I115" s="3"/>
    </row>
    <row r="116" spans="1:9" x14ac:dyDescent="0.25">
      <c r="A116" s="3" t="s">
        <v>30</v>
      </c>
      <c r="B116" s="3">
        <v>44074</v>
      </c>
      <c r="C116" s="6">
        <v>610</v>
      </c>
      <c r="D116" s="2">
        <f>LEN(Table3[[#This Row],[CLID]])</f>
        <v>7</v>
      </c>
      <c r="I116" s="3"/>
    </row>
    <row r="117" spans="1:9" x14ac:dyDescent="0.25">
      <c r="A117" s="3" t="s">
        <v>30</v>
      </c>
      <c r="B117" s="3">
        <v>44104</v>
      </c>
      <c r="C117" s="6">
        <v>722</v>
      </c>
      <c r="D117" s="2">
        <f>LEN(Table3[[#This Row],[CLID]])</f>
        <v>7</v>
      </c>
      <c r="I117" s="3"/>
    </row>
    <row r="118" spans="1:9" x14ac:dyDescent="0.25">
      <c r="A118" s="3" t="s">
        <v>30</v>
      </c>
      <c r="B118" s="3">
        <v>44135</v>
      </c>
      <c r="C118" s="6">
        <v>722</v>
      </c>
      <c r="D118" s="2">
        <f>LEN(Table3[[#This Row],[CLID]])</f>
        <v>7</v>
      </c>
      <c r="I118" s="3"/>
    </row>
    <row r="119" spans="1:9" x14ac:dyDescent="0.25">
      <c r="A119" s="3" t="s">
        <v>30</v>
      </c>
      <c r="B119" s="3">
        <v>44165</v>
      </c>
      <c r="C119" s="6">
        <v>939</v>
      </c>
      <c r="D119" s="2">
        <f>LEN(Table3[[#This Row],[CLID]])</f>
        <v>7</v>
      </c>
      <c r="I119" s="3"/>
    </row>
    <row r="120" spans="1:9" x14ac:dyDescent="0.25">
      <c r="A120" s="3" t="s">
        <v>30</v>
      </c>
      <c r="B120" s="3">
        <v>44196</v>
      </c>
      <c r="C120" s="6">
        <v>829</v>
      </c>
      <c r="D120" s="2">
        <f>LEN(Table3[[#This Row],[CLID]])</f>
        <v>7</v>
      </c>
      <c r="I120" s="3"/>
    </row>
    <row r="121" spans="1:9" x14ac:dyDescent="0.25">
      <c r="A121" s="3" t="s">
        <v>30</v>
      </c>
      <c r="B121" s="3">
        <v>44377</v>
      </c>
      <c r="C121" s="6">
        <v>848</v>
      </c>
      <c r="D121" s="2">
        <f>LEN(Table3[[#This Row],[CLID]])</f>
        <v>7</v>
      </c>
      <c r="I121" s="3"/>
    </row>
    <row r="122" spans="1:9" x14ac:dyDescent="0.25">
      <c r="A122" s="3" t="s">
        <v>30</v>
      </c>
      <c r="B122" s="3">
        <v>44347</v>
      </c>
      <c r="C122" s="6">
        <v>1326</v>
      </c>
      <c r="D122" s="2">
        <f>LEN(Table3[[#This Row],[CLID]])</f>
        <v>7</v>
      </c>
      <c r="I122" s="3"/>
    </row>
    <row r="123" spans="1:9" x14ac:dyDescent="0.25">
      <c r="A123" s="3" t="s">
        <v>30</v>
      </c>
      <c r="B123" s="3">
        <v>44316</v>
      </c>
      <c r="C123" s="6">
        <v>1309</v>
      </c>
      <c r="D123" s="2">
        <f>LEN(Table3[[#This Row],[CLID]])</f>
        <v>7</v>
      </c>
      <c r="I123" s="3"/>
    </row>
    <row r="124" spans="1:9" x14ac:dyDescent="0.25">
      <c r="A124" s="3" t="s">
        <v>30</v>
      </c>
      <c r="B124" s="3">
        <v>44286</v>
      </c>
      <c r="C124" s="6">
        <v>1173</v>
      </c>
      <c r="D124" s="2">
        <f>LEN(Table3[[#This Row],[CLID]])</f>
        <v>7</v>
      </c>
      <c r="I124" s="3"/>
    </row>
    <row r="125" spans="1:9" x14ac:dyDescent="0.25">
      <c r="A125" s="3" t="s">
        <v>30</v>
      </c>
      <c r="B125" s="3">
        <v>44255</v>
      </c>
      <c r="C125" s="6">
        <v>935</v>
      </c>
      <c r="D125" s="2">
        <f>LEN(Table3[[#This Row],[CLID]])</f>
        <v>7</v>
      </c>
      <c r="I125" s="3"/>
    </row>
    <row r="126" spans="1:9" x14ac:dyDescent="0.25">
      <c r="A126" s="3" t="s">
        <v>30</v>
      </c>
      <c r="B126" s="3">
        <v>44227</v>
      </c>
      <c r="C126" s="6">
        <v>973</v>
      </c>
      <c r="D126" s="2">
        <f>LEN(Table3[[#This Row],[CLID]])</f>
        <v>7</v>
      </c>
      <c r="I126" s="3"/>
    </row>
    <row r="127" spans="1:9" x14ac:dyDescent="0.25">
      <c r="A127" s="3" t="s">
        <v>6</v>
      </c>
      <c r="B127" s="3">
        <v>43861</v>
      </c>
      <c r="C127" s="6">
        <v>188</v>
      </c>
      <c r="D127" s="2">
        <f>LEN(Table3[[#This Row],[CLID]])</f>
        <v>7</v>
      </c>
      <c r="I127" s="3"/>
    </row>
    <row r="128" spans="1:9" x14ac:dyDescent="0.25">
      <c r="A128" s="3" t="s">
        <v>6</v>
      </c>
      <c r="B128" s="3">
        <v>43890</v>
      </c>
      <c r="C128" s="6">
        <v>168</v>
      </c>
      <c r="D128" s="2">
        <f>LEN(Table3[[#This Row],[CLID]])</f>
        <v>7</v>
      </c>
      <c r="I128" s="3"/>
    </row>
    <row r="129" spans="1:9" x14ac:dyDescent="0.25">
      <c r="A129" s="3" t="s">
        <v>6</v>
      </c>
      <c r="B129" s="3">
        <v>43921</v>
      </c>
      <c r="C129" s="6">
        <v>226</v>
      </c>
      <c r="D129" s="2">
        <f>LEN(Table3[[#This Row],[CLID]])</f>
        <v>7</v>
      </c>
      <c r="I129" s="3"/>
    </row>
    <row r="130" spans="1:9" x14ac:dyDescent="0.25">
      <c r="A130" s="3" t="s">
        <v>6</v>
      </c>
      <c r="B130" s="3">
        <v>43951</v>
      </c>
      <c r="C130" s="6">
        <v>223</v>
      </c>
      <c r="D130" s="2">
        <f>LEN(Table3[[#This Row],[CLID]])</f>
        <v>7</v>
      </c>
      <c r="I130" s="3"/>
    </row>
    <row r="131" spans="1:9" x14ac:dyDescent="0.25">
      <c r="A131" s="3" t="s">
        <v>6</v>
      </c>
      <c r="B131" s="3">
        <v>43982</v>
      </c>
      <c r="C131" s="6">
        <v>247</v>
      </c>
      <c r="D131" s="2">
        <f>LEN(Table3[[#This Row],[CLID]])</f>
        <v>7</v>
      </c>
      <c r="I131" s="3"/>
    </row>
    <row r="132" spans="1:9" x14ac:dyDescent="0.25">
      <c r="A132" s="3" t="s">
        <v>6</v>
      </c>
      <c r="B132" s="3">
        <v>44012</v>
      </c>
      <c r="C132" s="6">
        <v>142</v>
      </c>
      <c r="D132" s="2">
        <f>LEN(Table3[[#This Row],[CLID]])</f>
        <v>7</v>
      </c>
      <c r="I132" s="3"/>
    </row>
    <row r="133" spans="1:9" x14ac:dyDescent="0.25">
      <c r="A133" s="3" t="s">
        <v>6</v>
      </c>
      <c r="B133" s="3">
        <v>44043</v>
      </c>
      <c r="C133" s="6">
        <v>163</v>
      </c>
      <c r="D133" s="2">
        <f>LEN(Table3[[#This Row],[CLID]])</f>
        <v>7</v>
      </c>
      <c r="I133" s="3"/>
    </row>
    <row r="134" spans="1:9" x14ac:dyDescent="0.25">
      <c r="A134" s="3" t="s">
        <v>6</v>
      </c>
      <c r="B134" s="3">
        <v>44074</v>
      </c>
      <c r="C134" s="6">
        <v>101</v>
      </c>
      <c r="D134" s="2">
        <f>LEN(Table3[[#This Row],[CLID]])</f>
        <v>7</v>
      </c>
      <c r="I134" s="3"/>
    </row>
    <row r="135" spans="1:9" x14ac:dyDescent="0.25">
      <c r="A135" s="3" t="s">
        <v>6</v>
      </c>
      <c r="B135" s="3">
        <v>44104</v>
      </c>
      <c r="C135" s="6">
        <v>142</v>
      </c>
      <c r="D135" s="2">
        <f>LEN(Table3[[#This Row],[CLID]])</f>
        <v>7</v>
      </c>
      <c r="I135" s="3"/>
    </row>
    <row r="136" spans="1:9" x14ac:dyDescent="0.25">
      <c r="A136" s="3" t="s">
        <v>6</v>
      </c>
      <c r="B136" s="3">
        <v>44135</v>
      </c>
      <c r="C136" s="6">
        <v>123</v>
      </c>
      <c r="D136" s="2">
        <f>LEN(Table3[[#This Row],[CLID]])</f>
        <v>7</v>
      </c>
      <c r="I136" s="3"/>
    </row>
    <row r="137" spans="1:9" x14ac:dyDescent="0.25">
      <c r="A137" s="3" t="s">
        <v>6</v>
      </c>
      <c r="B137" s="3">
        <v>44165</v>
      </c>
      <c r="C137" s="6">
        <v>183</v>
      </c>
      <c r="D137" s="2">
        <f>LEN(Table3[[#This Row],[CLID]])</f>
        <v>7</v>
      </c>
      <c r="I137" s="3"/>
    </row>
    <row r="138" spans="1:9" x14ac:dyDescent="0.25">
      <c r="A138" s="3" t="s">
        <v>6</v>
      </c>
      <c r="B138" s="3">
        <v>44196</v>
      </c>
      <c r="C138" s="6">
        <v>144</v>
      </c>
      <c r="D138" s="2">
        <f>LEN(Table3[[#This Row],[CLID]])</f>
        <v>7</v>
      </c>
      <c r="I138" s="3"/>
    </row>
    <row r="139" spans="1:9" x14ac:dyDescent="0.25">
      <c r="A139" s="3" t="s">
        <v>6</v>
      </c>
      <c r="B139" s="3">
        <v>44377</v>
      </c>
      <c r="C139" s="6">
        <v>145</v>
      </c>
      <c r="D139" s="2">
        <f>LEN(Table3[[#This Row],[CLID]])</f>
        <v>7</v>
      </c>
      <c r="I139" s="3"/>
    </row>
    <row r="140" spans="1:9" x14ac:dyDescent="0.25">
      <c r="A140" s="3" t="s">
        <v>6</v>
      </c>
      <c r="B140" s="3">
        <v>44347</v>
      </c>
      <c r="C140" s="6">
        <v>244</v>
      </c>
      <c r="D140" s="2">
        <f>LEN(Table3[[#This Row],[CLID]])</f>
        <v>7</v>
      </c>
      <c r="I140" s="3"/>
    </row>
    <row r="141" spans="1:9" x14ac:dyDescent="0.25">
      <c r="A141" s="3" t="s">
        <v>6</v>
      </c>
      <c r="B141" s="3">
        <v>44316</v>
      </c>
      <c r="C141" s="6">
        <v>226</v>
      </c>
      <c r="D141" s="2">
        <f>LEN(Table3[[#This Row],[CLID]])</f>
        <v>7</v>
      </c>
      <c r="I141" s="3"/>
    </row>
    <row r="142" spans="1:9" x14ac:dyDescent="0.25">
      <c r="A142" s="3" t="s">
        <v>6</v>
      </c>
      <c r="B142" s="3">
        <v>44286</v>
      </c>
      <c r="C142" s="6">
        <v>227</v>
      </c>
      <c r="D142" s="2">
        <f>LEN(Table3[[#This Row],[CLID]])</f>
        <v>7</v>
      </c>
      <c r="I142" s="3"/>
    </row>
    <row r="143" spans="1:9" x14ac:dyDescent="0.25">
      <c r="A143" s="3" t="s">
        <v>6</v>
      </c>
      <c r="B143" s="3">
        <v>44255</v>
      </c>
      <c r="C143" s="6">
        <v>172</v>
      </c>
      <c r="D143" s="2">
        <f>LEN(Table3[[#This Row],[CLID]])</f>
        <v>7</v>
      </c>
      <c r="I143" s="3"/>
    </row>
    <row r="144" spans="1:9" x14ac:dyDescent="0.25">
      <c r="A144" s="3" t="s">
        <v>6</v>
      </c>
      <c r="B144" s="3">
        <v>44227</v>
      </c>
      <c r="C144" s="6">
        <v>190</v>
      </c>
      <c r="D144" s="2">
        <f>LEN(Table3[[#This Row],[CLID]])</f>
        <v>7</v>
      </c>
      <c r="I144" s="3"/>
    </row>
    <row r="145" spans="1:9" x14ac:dyDescent="0.25">
      <c r="A145" s="3" t="s">
        <v>15</v>
      </c>
      <c r="B145" s="3">
        <v>43861</v>
      </c>
      <c r="C145" s="6">
        <v>391</v>
      </c>
      <c r="D145" s="2">
        <f>LEN(Table3[[#This Row],[CLID]])</f>
        <v>7</v>
      </c>
      <c r="I145" s="3"/>
    </row>
    <row r="146" spans="1:9" x14ac:dyDescent="0.25">
      <c r="A146" s="3" t="s">
        <v>15</v>
      </c>
      <c r="B146" s="3">
        <v>43890</v>
      </c>
      <c r="C146" s="6">
        <v>553</v>
      </c>
      <c r="D146" s="2">
        <f>LEN(Table3[[#This Row],[CLID]])</f>
        <v>7</v>
      </c>
      <c r="I146" s="3"/>
    </row>
    <row r="147" spans="1:9" x14ac:dyDescent="0.25">
      <c r="A147" s="3" t="s">
        <v>15</v>
      </c>
      <c r="B147" s="3">
        <v>43921</v>
      </c>
      <c r="C147" s="6">
        <v>498</v>
      </c>
      <c r="D147" s="2">
        <f>LEN(Table3[[#This Row],[CLID]])</f>
        <v>7</v>
      </c>
      <c r="I147" s="3"/>
    </row>
    <row r="148" spans="1:9" x14ac:dyDescent="0.25">
      <c r="A148" s="3" t="s">
        <v>15</v>
      </c>
      <c r="B148" s="3">
        <v>43951</v>
      </c>
      <c r="C148" s="6">
        <v>719</v>
      </c>
      <c r="D148" s="2">
        <f>LEN(Table3[[#This Row],[CLID]])</f>
        <v>7</v>
      </c>
      <c r="I148" s="3"/>
    </row>
    <row r="149" spans="1:9" x14ac:dyDescent="0.25">
      <c r="A149" s="3" t="s">
        <v>15</v>
      </c>
      <c r="B149" s="3">
        <v>43982</v>
      </c>
      <c r="C149" s="6">
        <v>555</v>
      </c>
      <c r="D149" s="2">
        <f>LEN(Table3[[#This Row],[CLID]])</f>
        <v>7</v>
      </c>
      <c r="I149" s="3"/>
    </row>
    <row r="150" spans="1:9" x14ac:dyDescent="0.25">
      <c r="A150" s="3" t="s">
        <v>15</v>
      </c>
      <c r="B150" s="3">
        <v>44012</v>
      </c>
      <c r="C150" s="6">
        <v>499</v>
      </c>
      <c r="D150" s="2">
        <f>LEN(Table3[[#This Row],[CLID]])</f>
        <v>7</v>
      </c>
      <c r="I150" s="3"/>
    </row>
    <row r="151" spans="1:9" x14ac:dyDescent="0.25">
      <c r="A151" s="3" t="s">
        <v>15</v>
      </c>
      <c r="B151" s="3">
        <v>44043</v>
      </c>
      <c r="C151" s="6">
        <v>338</v>
      </c>
      <c r="D151" s="2">
        <f>LEN(Table3[[#This Row],[CLID]])</f>
        <v>7</v>
      </c>
      <c r="I151" s="3"/>
    </row>
    <row r="152" spans="1:9" x14ac:dyDescent="0.25">
      <c r="A152" s="3" t="s">
        <v>15</v>
      </c>
      <c r="B152" s="3">
        <v>44074</v>
      </c>
      <c r="C152" s="6">
        <v>391</v>
      </c>
      <c r="D152" s="2">
        <f>LEN(Table3[[#This Row],[CLID]])</f>
        <v>7</v>
      </c>
      <c r="I152" s="3"/>
    </row>
    <row r="153" spans="1:9" x14ac:dyDescent="0.25">
      <c r="A153" s="3" t="s">
        <v>15</v>
      </c>
      <c r="B153" s="3">
        <v>44104</v>
      </c>
      <c r="C153" s="6">
        <v>279</v>
      </c>
      <c r="D153" s="2">
        <f>LEN(Table3[[#This Row],[CLID]])</f>
        <v>7</v>
      </c>
      <c r="I153" s="3"/>
    </row>
    <row r="154" spans="1:9" x14ac:dyDescent="0.25">
      <c r="A154" s="3" t="s">
        <v>15</v>
      </c>
      <c r="B154" s="3">
        <v>44135</v>
      </c>
      <c r="C154" s="6">
        <v>447</v>
      </c>
      <c r="D154" s="2">
        <f>LEN(Table3[[#This Row],[CLID]])</f>
        <v>7</v>
      </c>
      <c r="I154" s="3"/>
    </row>
    <row r="155" spans="1:9" x14ac:dyDescent="0.25">
      <c r="A155" s="3" t="s">
        <v>15</v>
      </c>
      <c r="B155" s="3">
        <v>44165</v>
      </c>
      <c r="C155" s="6">
        <v>390</v>
      </c>
      <c r="D155" s="2">
        <f>LEN(Table3[[#This Row],[CLID]])</f>
        <v>7</v>
      </c>
      <c r="I155" s="3"/>
    </row>
    <row r="156" spans="1:9" x14ac:dyDescent="0.25">
      <c r="A156" s="3" t="s">
        <v>15</v>
      </c>
      <c r="B156" s="3">
        <v>44196</v>
      </c>
      <c r="C156" s="6">
        <v>500</v>
      </c>
      <c r="D156" s="2">
        <f>LEN(Table3[[#This Row],[CLID]])</f>
        <v>7</v>
      </c>
      <c r="I156" s="3"/>
    </row>
    <row r="157" spans="1:9" x14ac:dyDescent="0.25">
      <c r="A157" s="3" t="s">
        <v>15</v>
      </c>
      <c r="B157" s="3">
        <v>44377</v>
      </c>
      <c r="C157" s="6">
        <v>505</v>
      </c>
      <c r="D157" s="2">
        <f>LEN(Table3[[#This Row],[CLID]])</f>
        <v>7</v>
      </c>
      <c r="I157" s="3"/>
    </row>
    <row r="158" spans="1:9" x14ac:dyDescent="0.25">
      <c r="A158" s="3" t="s">
        <v>15</v>
      </c>
      <c r="B158" s="3">
        <v>44347</v>
      </c>
      <c r="C158" s="6">
        <v>574</v>
      </c>
      <c r="D158" s="2">
        <f>LEN(Table3[[#This Row],[CLID]])</f>
        <v>7</v>
      </c>
      <c r="I158" s="3"/>
    </row>
    <row r="159" spans="1:9" x14ac:dyDescent="0.25">
      <c r="A159" s="3" t="s">
        <v>15</v>
      </c>
      <c r="B159" s="3">
        <v>44316</v>
      </c>
      <c r="C159" s="6">
        <v>747</v>
      </c>
      <c r="D159" s="2">
        <f>LEN(Table3[[#This Row],[CLID]])</f>
        <v>7</v>
      </c>
      <c r="I159" s="3"/>
    </row>
    <row r="160" spans="1:9" x14ac:dyDescent="0.25">
      <c r="A160" s="3" t="s">
        <v>15</v>
      </c>
      <c r="B160" s="3">
        <v>44286</v>
      </c>
      <c r="C160" s="6">
        <v>515</v>
      </c>
      <c r="D160" s="2">
        <f>LEN(Table3[[#This Row],[CLID]])</f>
        <v>7</v>
      </c>
      <c r="I160" s="3"/>
    </row>
    <row r="161" spans="1:9" x14ac:dyDescent="0.25">
      <c r="A161" s="3" t="s">
        <v>15</v>
      </c>
      <c r="B161" s="3">
        <v>44255</v>
      </c>
      <c r="C161" s="6">
        <v>564</v>
      </c>
      <c r="D161" s="2">
        <f>LEN(Table3[[#This Row],[CLID]])</f>
        <v>7</v>
      </c>
      <c r="I161" s="3"/>
    </row>
    <row r="162" spans="1:9" x14ac:dyDescent="0.25">
      <c r="A162" s="3" t="s">
        <v>15</v>
      </c>
      <c r="B162" s="3">
        <v>44227</v>
      </c>
      <c r="C162" s="6">
        <v>404</v>
      </c>
      <c r="D162" s="2">
        <f>LEN(Table3[[#This Row],[CLID]])</f>
        <v>7</v>
      </c>
      <c r="I162" s="3"/>
    </row>
    <row r="163" spans="1:9" x14ac:dyDescent="0.25">
      <c r="A163" s="3" t="s">
        <v>36</v>
      </c>
      <c r="B163" s="3">
        <v>43861</v>
      </c>
      <c r="C163" s="6">
        <v>16996</v>
      </c>
      <c r="D163" s="2">
        <f>LEN(Table3[[#This Row],[CLID]])</f>
        <v>7</v>
      </c>
      <c r="I163" s="3"/>
    </row>
    <row r="164" spans="1:9" x14ac:dyDescent="0.25">
      <c r="A164" s="3" t="s">
        <v>36</v>
      </c>
      <c r="B164" s="3">
        <v>43890</v>
      </c>
      <c r="C164" s="6">
        <v>19114</v>
      </c>
      <c r="D164" s="2">
        <f>LEN(Table3[[#This Row],[CLID]])</f>
        <v>7</v>
      </c>
      <c r="I164" s="3"/>
    </row>
    <row r="165" spans="1:9" x14ac:dyDescent="0.25">
      <c r="A165" s="3" t="s">
        <v>36</v>
      </c>
      <c r="B165" s="3">
        <v>43921</v>
      </c>
      <c r="C165" s="6">
        <v>21243</v>
      </c>
      <c r="D165" s="2">
        <f>LEN(Table3[[#This Row],[CLID]])</f>
        <v>7</v>
      </c>
      <c r="I165" s="3"/>
    </row>
    <row r="166" spans="1:9" x14ac:dyDescent="0.25">
      <c r="A166" s="3" t="s">
        <v>36</v>
      </c>
      <c r="B166" s="3">
        <v>43951</v>
      </c>
      <c r="C166" s="6">
        <v>25486</v>
      </c>
      <c r="D166" s="2">
        <f>LEN(Table3[[#This Row],[CLID]])</f>
        <v>7</v>
      </c>
      <c r="I166" s="3"/>
    </row>
    <row r="167" spans="1:9" x14ac:dyDescent="0.25">
      <c r="A167" s="3" t="s">
        <v>36</v>
      </c>
      <c r="B167" s="3">
        <v>43982</v>
      </c>
      <c r="C167" s="6">
        <v>23366</v>
      </c>
      <c r="D167" s="2">
        <f>LEN(Table3[[#This Row],[CLID]])</f>
        <v>7</v>
      </c>
      <c r="I167" s="3"/>
    </row>
    <row r="168" spans="1:9" x14ac:dyDescent="0.25">
      <c r="A168" s="3" t="s">
        <v>36</v>
      </c>
      <c r="B168" s="3">
        <v>44012</v>
      </c>
      <c r="C168" s="6">
        <v>16995</v>
      </c>
      <c r="D168" s="2">
        <f>LEN(Table3[[#This Row],[CLID]])</f>
        <v>7</v>
      </c>
      <c r="I168" s="3"/>
    </row>
    <row r="169" spans="1:9" x14ac:dyDescent="0.25">
      <c r="A169" s="3" t="s">
        <v>36</v>
      </c>
      <c r="B169" s="3">
        <v>44043</v>
      </c>
      <c r="C169" s="6">
        <v>14870</v>
      </c>
      <c r="D169" s="2">
        <f>LEN(Table3[[#This Row],[CLID]])</f>
        <v>7</v>
      </c>
      <c r="I169" s="3"/>
    </row>
    <row r="170" spans="1:9" x14ac:dyDescent="0.25">
      <c r="A170" s="3" t="s">
        <v>36</v>
      </c>
      <c r="B170" s="3">
        <v>44074</v>
      </c>
      <c r="C170" s="6">
        <v>12746</v>
      </c>
      <c r="D170" s="2">
        <f>LEN(Table3[[#This Row],[CLID]])</f>
        <v>7</v>
      </c>
      <c r="I170" s="3"/>
    </row>
    <row r="171" spans="1:9" x14ac:dyDescent="0.25">
      <c r="A171" s="3" t="s">
        <v>36</v>
      </c>
      <c r="B171" s="3">
        <v>44104</v>
      </c>
      <c r="C171" s="6">
        <v>12748</v>
      </c>
      <c r="D171" s="2">
        <f>LEN(Table3[[#This Row],[CLID]])</f>
        <v>7</v>
      </c>
      <c r="I171" s="3"/>
    </row>
    <row r="172" spans="1:9" x14ac:dyDescent="0.25">
      <c r="A172" s="3" t="s">
        <v>36</v>
      </c>
      <c r="B172" s="3">
        <v>44135</v>
      </c>
      <c r="C172" s="6">
        <v>14871</v>
      </c>
      <c r="D172" s="2">
        <f>LEN(Table3[[#This Row],[CLID]])</f>
        <v>7</v>
      </c>
      <c r="I172" s="3"/>
    </row>
    <row r="173" spans="1:9" x14ac:dyDescent="0.25">
      <c r="A173" s="3" t="s">
        <v>36</v>
      </c>
      <c r="B173" s="3">
        <v>44165</v>
      </c>
      <c r="C173" s="6">
        <v>16997</v>
      </c>
      <c r="D173" s="2">
        <f>LEN(Table3[[#This Row],[CLID]])</f>
        <v>7</v>
      </c>
      <c r="I173" s="3"/>
    </row>
    <row r="174" spans="1:9" x14ac:dyDescent="0.25">
      <c r="A174" s="3" t="s">
        <v>36</v>
      </c>
      <c r="B174" s="3">
        <v>44196</v>
      </c>
      <c r="C174" s="6">
        <v>16997</v>
      </c>
      <c r="D174" s="2">
        <f>LEN(Table3[[#This Row],[CLID]])</f>
        <v>7</v>
      </c>
      <c r="I174" s="3"/>
    </row>
    <row r="175" spans="1:9" x14ac:dyDescent="0.25">
      <c r="A175" s="3" t="s">
        <v>36</v>
      </c>
      <c r="B175" s="3">
        <v>44377</v>
      </c>
      <c r="C175" s="6">
        <v>17844</v>
      </c>
      <c r="D175" s="2">
        <f>LEN(Table3[[#This Row],[CLID]])</f>
        <v>7</v>
      </c>
      <c r="I175" s="3"/>
    </row>
    <row r="176" spans="1:9" x14ac:dyDescent="0.25">
      <c r="A176" s="3" t="s">
        <v>36</v>
      </c>
      <c r="B176" s="3">
        <v>44347</v>
      </c>
      <c r="C176" s="6">
        <v>23129</v>
      </c>
      <c r="D176" s="2">
        <f>LEN(Table3[[#This Row],[CLID]])</f>
        <v>7</v>
      </c>
      <c r="I176" s="3"/>
    </row>
    <row r="177" spans="1:9" x14ac:dyDescent="0.25">
      <c r="A177" s="3" t="s">
        <v>36</v>
      </c>
      <c r="B177" s="3">
        <v>44316</v>
      </c>
      <c r="C177" s="6">
        <v>26253</v>
      </c>
      <c r="D177" s="2">
        <f>LEN(Table3[[#This Row],[CLID]])</f>
        <v>7</v>
      </c>
      <c r="I177" s="3"/>
    </row>
    <row r="178" spans="1:9" x14ac:dyDescent="0.25">
      <c r="A178" s="3" t="s">
        <v>36</v>
      </c>
      <c r="B178" s="3">
        <v>44286</v>
      </c>
      <c r="C178" s="6">
        <v>21877</v>
      </c>
      <c r="D178" s="2">
        <f>LEN(Table3[[#This Row],[CLID]])</f>
        <v>7</v>
      </c>
      <c r="I178" s="3"/>
    </row>
    <row r="179" spans="1:9" x14ac:dyDescent="0.25">
      <c r="A179" s="3" t="s">
        <v>36</v>
      </c>
      <c r="B179" s="3">
        <v>44255</v>
      </c>
      <c r="C179" s="6">
        <v>19020</v>
      </c>
      <c r="D179" s="2">
        <f>LEN(Table3[[#This Row],[CLID]])</f>
        <v>7</v>
      </c>
      <c r="I179" s="3"/>
    </row>
    <row r="180" spans="1:9" x14ac:dyDescent="0.25">
      <c r="A180" s="3" t="s">
        <v>36</v>
      </c>
      <c r="B180" s="3">
        <v>44227</v>
      </c>
      <c r="C180" s="6">
        <v>17843</v>
      </c>
      <c r="D180" s="2">
        <f>LEN(Table3[[#This Row],[CLID]])</f>
        <v>7</v>
      </c>
      <c r="I180" s="3"/>
    </row>
    <row r="181" spans="1:9" x14ac:dyDescent="0.25">
      <c r="A181" s="3" t="s">
        <v>3</v>
      </c>
      <c r="B181" s="3">
        <v>43861</v>
      </c>
      <c r="C181" s="6">
        <v>13879</v>
      </c>
      <c r="D181" s="2">
        <f>LEN(Table3[[#This Row],[CLID]])</f>
        <v>7</v>
      </c>
      <c r="I181" s="3"/>
    </row>
    <row r="182" spans="1:9" x14ac:dyDescent="0.25">
      <c r="A182" s="3" t="s">
        <v>3</v>
      </c>
      <c r="B182" s="3">
        <v>43890</v>
      </c>
      <c r="C182" s="6">
        <v>19822</v>
      </c>
      <c r="D182" s="2">
        <f>LEN(Table3[[#This Row],[CLID]])</f>
        <v>7</v>
      </c>
      <c r="I182" s="3"/>
    </row>
    <row r="183" spans="1:9" x14ac:dyDescent="0.25">
      <c r="A183" s="3" t="s">
        <v>3</v>
      </c>
      <c r="B183" s="3">
        <v>43921</v>
      </c>
      <c r="C183" s="6">
        <v>17842</v>
      </c>
      <c r="D183" s="2">
        <f>LEN(Table3[[#This Row],[CLID]])</f>
        <v>7</v>
      </c>
      <c r="I183" s="3"/>
    </row>
    <row r="184" spans="1:9" x14ac:dyDescent="0.25">
      <c r="A184" s="3" t="s">
        <v>3</v>
      </c>
      <c r="B184" s="3">
        <v>43951</v>
      </c>
      <c r="C184" s="6">
        <v>25770</v>
      </c>
      <c r="D184" s="2">
        <f>LEN(Table3[[#This Row],[CLID]])</f>
        <v>7</v>
      </c>
      <c r="I184" s="3"/>
    </row>
    <row r="185" spans="1:9" x14ac:dyDescent="0.25">
      <c r="A185" s="3" t="s">
        <v>3</v>
      </c>
      <c r="B185" s="3">
        <v>43982</v>
      </c>
      <c r="C185" s="6">
        <v>19823</v>
      </c>
      <c r="D185" s="2">
        <f>LEN(Table3[[#This Row],[CLID]])</f>
        <v>7</v>
      </c>
      <c r="I185" s="3"/>
    </row>
    <row r="186" spans="1:9" x14ac:dyDescent="0.25">
      <c r="A186" s="3" t="s">
        <v>3</v>
      </c>
      <c r="B186" s="3">
        <v>44012</v>
      </c>
      <c r="C186" s="6">
        <v>17845</v>
      </c>
      <c r="D186" s="2">
        <f>LEN(Table3[[#This Row],[CLID]])</f>
        <v>7</v>
      </c>
      <c r="I186" s="3"/>
    </row>
    <row r="187" spans="1:9" x14ac:dyDescent="0.25">
      <c r="A187" s="3" t="s">
        <v>3</v>
      </c>
      <c r="B187" s="3">
        <v>44043</v>
      </c>
      <c r="C187" s="6">
        <v>11899</v>
      </c>
      <c r="D187" s="2">
        <f>LEN(Table3[[#This Row],[CLID]])</f>
        <v>7</v>
      </c>
      <c r="I187" s="3"/>
    </row>
    <row r="188" spans="1:9" x14ac:dyDescent="0.25">
      <c r="A188" s="3" t="s">
        <v>3</v>
      </c>
      <c r="B188" s="3">
        <v>44074</v>
      </c>
      <c r="C188" s="6">
        <v>13879</v>
      </c>
      <c r="D188" s="2">
        <f>LEN(Table3[[#This Row],[CLID]])</f>
        <v>7</v>
      </c>
      <c r="I188" s="3"/>
    </row>
    <row r="189" spans="1:9" x14ac:dyDescent="0.25">
      <c r="A189" s="3" t="s">
        <v>3</v>
      </c>
      <c r="B189" s="3">
        <v>44104</v>
      </c>
      <c r="C189" s="6">
        <v>9913</v>
      </c>
      <c r="D189" s="2">
        <f>LEN(Table3[[#This Row],[CLID]])</f>
        <v>7</v>
      </c>
      <c r="I189" s="3"/>
    </row>
    <row r="190" spans="1:9" x14ac:dyDescent="0.25">
      <c r="A190" s="3" t="s">
        <v>3</v>
      </c>
      <c r="B190" s="3">
        <v>44135</v>
      </c>
      <c r="C190" s="6">
        <v>15858</v>
      </c>
      <c r="D190" s="2">
        <f>LEN(Table3[[#This Row],[CLID]])</f>
        <v>7</v>
      </c>
      <c r="I190" s="3"/>
    </row>
    <row r="191" spans="1:9" x14ac:dyDescent="0.25">
      <c r="A191" s="3" t="s">
        <v>3</v>
      </c>
      <c r="B191" s="3">
        <v>44165</v>
      </c>
      <c r="C191" s="6">
        <v>13882</v>
      </c>
      <c r="D191" s="2">
        <f>LEN(Table3[[#This Row],[CLID]])</f>
        <v>7</v>
      </c>
      <c r="I191" s="3"/>
    </row>
    <row r="192" spans="1:9" x14ac:dyDescent="0.25">
      <c r="A192" s="3" t="s">
        <v>3</v>
      </c>
      <c r="B192" s="3">
        <v>44196</v>
      </c>
      <c r="C192" s="6">
        <v>17841</v>
      </c>
      <c r="D192" s="2">
        <f>LEN(Table3[[#This Row],[CLID]])</f>
        <v>7</v>
      </c>
      <c r="I192" s="3"/>
    </row>
    <row r="193" spans="1:9" x14ac:dyDescent="0.25">
      <c r="A193" s="3" t="s">
        <v>3</v>
      </c>
      <c r="B193" s="3">
        <v>44377</v>
      </c>
      <c r="C193" s="6">
        <v>18554</v>
      </c>
      <c r="D193" s="2">
        <f>LEN(Table3[[#This Row],[CLID]])</f>
        <v>7</v>
      </c>
      <c r="I193" s="3"/>
    </row>
    <row r="194" spans="1:9" x14ac:dyDescent="0.25">
      <c r="A194" s="3" t="s">
        <v>3</v>
      </c>
      <c r="B194" s="3">
        <v>44347</v>
      </c>
      <c r="C194" s="6">
        <v>20218</v>
      </c>
      <c r="D194" s="2">
        <f>LEN(Table3[[#This Row],[CLID]])</f>
        <v>7</v>
      </c>
      <c r="I194" s="3"/>
    </row>
    <row r="195" spans="1:9" x14ac:dyDescent="0.25">
      <c r="A195" s="3" t="s">
        <v>3</v>
      </c>
      <c r="B195" s="3">
        <v>44316</v>
      </c>
      <c r="C195" s="6">
        <v>27062</v>
      </c>
      <c r="D195" s="2">
        <f>LEN(Table3[[#This Row],[CLID]])</f>
        <v>7</v>
      </c>
      <c r="I195" s="3"/>
    </row>
    <row r="196" spans="1:9" x14ac:dyDescent="0.25">
      <c r="A196" s="3" t="s">
        <v>3</v>
      </c>
      <c r="B196" s="3">
        <v>44286</v>
      </c>
      <c r="C196" s="6">
        <v>18378</v>
      </c>
      <c r="D196" s="2">
        <f>LEN(Table3[[#This Row],[CLID]])</f>
        <v>7</v>
      </c>
      <c r="I196" s="3"/>
    </row>
    <row r="197" spans="1:9" x14ac:dyDescent="0.25">
      <c r="A197" s="3" t="s">
        <v>3</v>
      </c>
      <c r="B197" s="3">
        <v>44255</v>
      </c>
      <c r="C197" s="6">
        <v>19729</v>
      </c>
      <c r="D197" s="2">
        <f>LEN(Table3[[#This Row],[CLID]])</f>
        <v>7</v>
      </c>
      <c r="I197" s="3"/>
    </row>
    <row r="198" spans="1:9" x14ac:dyDescent="0.25">
      <c r="A198" s="3" t="s">
        <v>3</v>
      </c>
      <c r="B198" s="3">
        <v>44227</v>
      </c>
      <c r="C198" s="6">
        <v>14159</v>
      </c>
      <c r="D198" s="2">
        <f>LEN(Table3[[#This Row],[CLID]])</f>
        <v>7</v>
      </c>
      <c r="I198" s="3"/>
    </row>
    <row r="199" spans="1:9" x14ac:dyDescent="0.25">
      <c r="A199" s="3" t="s">
        <v>25</v>
      </c>
      <c r="B199" s="3">
        <v>43890</v>
      </c>
      <c r="C199" s="6">
        <v>815</v>
      </c>
      <c r="D199" s="2">
        <f>LEN(Table3[[#This Row],[CLID]])</f>
        <v>7</v>
      </c>
      <c r="I199" s="3"/>
    </row>
    <row r="200" spans="1:9" x14ac:dyDescent="0.25">
      <c r="A200" s="3" t="s">
        <v>25</v>
      </c>
      <c r="B200" s="3">
        <v>43921</v>
      </c>
      <c r="C200" s="6">
        <v>910</v>
      </c>
      <c r="D200" s="2">
        <f>LEN(Table3[[#This Row],[CLID]])</f>
        <v>7</v>
      </c>
      <c r="I200" s="3"/>
    </row>
    <row r="201" spans="1:9" x14ac:dyDescent="0.25">
      <c r="A201" s="3" t="s">
        <v>25</v>
      </c>
      <c r="B201" s="3">
        <v>43951</v>
      </c>
      <c r="C201" s="6">
        <v>1091</v>
      </c>
      <c r="D201" s="2">
        <f>LEN(Table3[[#This Row],[CLID]])</f>
        <v>7</v>
      </c>
      <c r="I201" s="3"/>
    </row>
    <row r="202" spans="1:9" x14ac:dyDescent="0.25">
      <c r="A202" s="3" t="s">
        <v>25</v>
      </c>
      <c r="B202" s="3">
        <v>43982</v>
      </c>
      <c r="C202" s="6">
        <v>995</v>
      </c>
      <c r="D202" s="2">
        <f>LEN(Table3[[#This Row],[CLID]])</f>
        <v>7</v>
      </c>
      <c r="I202" s="3"/>
    </row>
    <row r="203" spans="1:9" x14ac:dyDescent="0.25">
      <c r="A203" s="3" t="s">
        <v>25</v>
      </c>
      <c r="B203" s="3">
        <v>44012</v>
      </c>
      <c r="C203" s="6">
        <v>727</v>
      </c>
      <c r="D203" s="2">
        <f>LEN(Table3[[#This Row],[CLID]])</f>
        <v>7</v>
      </c>
      <c r="I203" s="3"/>
    </row>
    <row r="204" spans="1:9" x14ac:dyDescent="0.25">
      <c r="A204" s="3" t="s">
        <v>25</v>
      </c>
      <c r="B204" s="3">
        <v>44043</v>
      </c>
      <c r="C204" s="6">
        <v>635</v>
      </c>
      <c r="D204" s="2">
        <f>LEN(Table3[[#This Row],[CLID]])</f>
        <v>7</v>
      </c>
      <c r="I204" s="3"/>
    </row>
    <row r="205" spans="1:9" x14ac:dyDescent="0.25">
      <c r="A205" s="3" t="s">
        <v>25</v>
      </c>
      <c r="B205" s="3">
        <v>44074</v>
      </c>
      <c r="C205" s="6">
        <v>544</v>
      </c>
      <c r="D205" s="2">
        <f>LEN(Table3[[#This Row],[CLID]])</f>
        <v>7</v>
      </c>
      <c r="I205" s="3"/>
    </row>
    <row r="206" spans="1:9" x14ac:dyDescent="0.25">
      <c r="A206" s="3" t="s">
        <v>25</v>
      </c>
      <c r="B206" s="3">
        <v>44104</v>
      </c>
      <c r="C206" s="6">
        <v>545</v>
      </c>
      <c r="D206" s="2">
        <f>LEN(Table3[[#This Row],[CLID]])</f>
        <v>7</v>
      </c>
      <c r="I206" s="3"/>
    </row>
    <row r="207" spans="1:9" x14ac:dyDescent="0.25">
      <c r="A207" s="3" t="s">
        <v>25</v>
      </c>
      <c r="B207" s="3">
        <v>44135</v>
      </c>
      <c r="C207" s="6">
        <v>637</v>
      </c>
      <c r="D207" s="2">
        <f>LEN(Table3[[#This Row],[CLID]])</f>
        <v>7</v>
      </c>
      <c r="I207" s="3"/>
    </row>
    <row r="208" spans="1:9" x14ac:dyDescent="0.25">
      <c r="A208" s="3" t="s">
        <v>25</v>
      </c>
      <c r="B208" s="3">
        <v>44165</v>
      </c>
      <c r="C208" s="6">
        <v>723</v>
      </c>
      <c r="D208" s="2">
        <f>LEN(Table3[[#This Row],[CLID]])</f>
        <v>7</v>
      </c>
      <c r="I208" s="3"/>
    </row>
    <row r="209" spans="1:9" x14ac:dyDescent="0.25">
      <c r="A209" s="3" t="s">
        <v>25</v>
      </c>
      <c r="B209" s="3">
        <v>44196</v>
      </c>
      <c r="C209" s="6">
        <v>727</v>
      </c>
      <c r="D209" s="2">
        <f>LEN(Table3[[#This Row],[CLID]])</f>
        <v>7</v>
      </c>
      <c r="I209" s="3"/>
    </row>
    <row r="210" spans="1:9" x14ac:dyDescent="0.25">
      <c r="A210" s="3" t="s">
        <v>25</v>
      </c>
      <c r="B210" s="3">
        <v>44377</v>
      </c>
      <c r="C210" s="6">
        <v>722</v>
      </c>
      <c r="D210" s="2">
        <f>LEN(Table3[[#This Row],[CLID]])</f>
        <v>7</v>
      </c>
      <c r="I210" s="3"/>
    </row>
    <row r="211" spans="1:9" x14ac:dyDescent="0.25">
      <c r="A211" s="3" t="s">
        <v>25</v>
      </c>
      <c r="B211" s="3">
        <v>44347</v>
      </c>
      <c r="C211" s="6">
        <v>1039</v>
      </c>
      <c r="D211" s="2">
        <f>LEN(Table3[[#This Row],[CLID]])</f>
        <v>7</v>
      </c>
      <c r="I211" s="3"/>
    </row>
    <row r="212" spans="1:9" x14ac:dyDescent="0.25">
      <c r="A212" s="3" t="s">
        <v>25</v>
      </c>
      <c r="B212" s="3">
        <v>44316</v>
      </c>
      <c r="C212" s="6">
        <v>1124</v>
      </c>
      <c r="D212" s="2">
        <f>LEN(Table3[[#This Row],[CLID]])</f>
        <v>7</v>
      </c>
      <c r="I212" s="3"/>
    </row>
    <row r="213" spans="1:9" x14ac:dyDescent="0.25">
      <c r="A213" s="3" t="s">
        <v>25</v>
      </c>
      <c r="B213" s="3">
        <v>44286</v>
      </c>
      <c r="C213" s="6">
        <v>895</v>
      </c>
      <c r="D213" s="2">
        <f>LEN(Table3[[#This Row],[CLID]])</f>
        <v>7</v>
      </c>
      <c r="I213" s="3"/>
    </row>
    <row r="214" spans="1:9" x14ac:dyDescent="0.25">
      <c r="A214" s="3" t="s">
        <v>25</v>
      </c>
      <c r="B214" s="3">
        <v>44255</v>
      </c>
      <c r="C214" s="6">
        <v>851</v>
      </c>
      <c r="D214" s="2">
        <f>LEN(Table3[[#This Row],[CLID]])</f>
        <v>7</v>
      </c>
      <c r="I214" s="3"/>
    </row>
    <row r="215" spans="1:9" x14ac:dyDescent="0.25">
      <c r="A215" s="3" t="s">
        <v>25</v>
      </c>
      <c r="B215" s="3">
        <v>44227</v>
      </c>
      <c r="C215" s="6">
        <v>741</v>
      </c>
      <c r="D215" s="2">
        <f>LEN(Table3[[#This Row],[CLID]])</f>
        <v>7</v>
      </c>
      <c r="I215" s="3"/>
    </row>
    <row r="216" spans="1:9" x14ac:dyDescent="0.25">
      <c r="A216" s="3" t="s">
        <v>41</v>
      </c>
      <c r="B216" s="3">
        <v>43861</v>
      </c>
      <c r="C216" s="6">
        <v>1172</v>
      </c>
      <c r="D216" s="2">
        <f>LEN(Table3[[#This Row],[CLID]])</f>
        <v>7</v>
      </c>
      <c r="I216" s="3"/>
    </row>
    <row r="217" spans="1:9" x14ac:dyDescent="0.25">
      <c r="A217" s="3" t="s">
        <v>41</v>
      </c>
      <c r="B217" s="3">
        <v>43890</v>
      </c>
      <c r="C217" s="6">
        <v>1483</v>
      </c>
      <c r="D217" s="2">
        <f>LEN(Table3[[#This Row],[CLID]])</f>
        <v>7</v>
      </c>
      <c r="I217" s="3"/>
    </row>
    <row r="218" spans="1:9" x14ac:dyDescent="0.25">
      <c r="A218" s="3" t="s">
        <v>41</v>
      </c>
      <c r="B218" s="3">
        <v>43921</v>
      </c>
      <c r="C218" s="6">
        <v>1484</v>
      </c>
      <c r="D218" s="2">
        <f>LEN(Table3[[#This Row],[CLID]])</f>
        <v>7</v>
      </c>
      <c r="I218" s="3"/>
    </row>
    <row r="219" spans="1:9" x14ac:dyDescent="0.25">
      <c r="A219" s="3" t="s">
        <v>41</v>
      </c>
      <c r="B219" s="3">
        <v>43951</v>
      </c>
      <c r="C219" s="6">
        <v>1949</v>
      </c>
      <c r="D219" s="2">
        <f>LEN(Table3[[#This Row],[CLID]])</f>
        <v>7</v>
      </c>
      <c r="I219" s="3"/>
    </row>
    <row r="220" spans="1:9" x14ac:dyDescent="0.25">
      <c r="A220" s="3" t="s">
        <v>41</v>
      </c>
      <c r="B220" s="3">
        <v>43982</v>
      </c>
      <c r="C220" s="6">
        <v>1635</v>
      </c>
      <c r="D220" s="2">
        <f>LEN(Table3[[#This Row],[CLID]])</f>
        <v>7</v>
      </c>
      <c r="I220" s="3"/>
    </row>
    <row r="221" spans="1:9" x14ac:dyDescent="0.25">
      <c r="A221" s="3" t="s">
        <v>41</v>
      </c>
      <c r="B221" s="3">
        <v>44012</v>
      </c>
      <c r="C221" s="6">
        <v>1326</v>
      </c>
      <c r="D221" s="2">
        <f>LEN(Table3[[#This Row],[CLID]])</f>
        <v>7</v>
      </c>
      <c r="I221" s="3"/>
    </row>
    <row r="222" spans="1:9" x14ac:dyDescent="0.25">
      <c r="A222" s="3" t="s">
        <v>41</v>
      </c>
      <c r="B222" s="3">
        <v>44043</v>
      </c>
      <c r="C222" s="6">
        <v>1012</v>
      </c>
      <c r="D222" s="2">
        <f>LEN(Table3[[#This Row],[CLID]])</f>
        <v>7</v>
      </c>
      <c r="I222" s="3"/>
    </row>
    <row r="223" spans="1:9" x14ac:dyDescent="0.25">
      <c r="A223" s="3" t="s">
        <v>41</v>
      </c>
      <c r="B223" s="3">
        <v>44074</v>
      </c>
      <c r="C223" s="6">
        <v>1018</v>
      </c>
      <c r="D223" s="2">
        <f>LEN(Table3[[#This Row],[CLID]])</f>
        <v>7</v>
      </c>
      <c r="I223" s="3"/>
    </row>
    <row r="224" spans="1:9" x14ac:dyDescent="0.25">
      <c r="A224" s="3" t="s">
        <v>41</v>
      </c>
      <c r="B224" s="3">
        <v>44104</v>
      </c>
      <c r="C224" s="6">
        <v>861</v>
      </c>
      <c r="D224" s="2">
        <f>LEN(Table3[[#This Row],[CLID]])</f>
        <v>7</v>
      </c>
      <c r="I224" s="3"/>
    </row>
    <row r="225" spans="1:9" x14ac:dyDescent="0.25">
      <c r="A225" s="3" t="s">
        <v>41</v>
      </c>
      <c r="B225" s="3">
        <v>44135</v>
      </c>
      <c r="C225" s="6">
        <v>1173</v>
      </c>
      <c r="D225" s="2">
        <f>LEN(Table3[[#This Row],[CLID]])</f>
        <v>7</v>
      </c>
      <c r="I225" s="3"/>
    </row>
    <row r="226" spans="1:9" x14ac:dyDescent="0.25">
      <c r="A226" s="3" t="s">
        <v>41</v>
      </c>
      <c r="B226" s="3">
        <v>44165</v>
      </c>
      <c r="C226" s="6">
        <v>1169</v>
      </c>
      <c r="D226" s="2">
        <f>LEN(Table3[[#This Row],[CLID]])</f>
        <v>7</v>
      </c>
      <c r="I226" s="3"/>
    </row>
    <row r="227" spans="1:9" x14ac:dyDescent="0.25">
      <c r="A227" s="3" t="s">
        <v>41</v>
      </c>
      <c r="B227" s="3">
        <v>44196</v>
      </c>
      <c r="C227" s="6">
        <v>1323</v>
      </c>
      <c r="D227" s="2">
        <f>LEN(Table3[[#This Row],[CLID]])</f>
        <v>7</v>
      </c>
      <c r="I227" s="3"/>
    </row>
    <row r="228" spans="1:9" x14ac:dyDescent="0.25">
      <c r="A228" s="3" t="s">
        <v>41</v>
      </c>
      <c r="B228" s="3">
        <v>44377</v>
      </c>
      <c r="C228" s="6">
        <v>1318</v>
      </c>
      <c r="D228" s="2">
        <f>LEN(Table3[[#This Row],[CLID]])</f>
        <v>7</v>
      </c>
      <c r="I228" s="3"/>
    </row>
    <row r="229" spans="1:9" x14ac:dyDescent="0.25">
      <c r="A229" s="3" t="s">
        <v>41</v>
      </c>
      <c r="B229" s="3">
        <v>44347</v>
      </c>
      <c r="C229" s="6">
        <v>1656</v>
      </c>
      <c r="D229" s="2">
        <f>LEN(Table3[[#This Row],[CLID]])</f>
        <v>7</v>
      </c>
      <c r="I229" s="3"/>
    </row>
    <row r="230" spans="1:9" x14ac:dyDescent="0.25">
      <c r="A230" s="3" t="s">
        <v>41</v>
      </c>
      <c r="B230" s="3">
        <v>44316</v>
      </c>
      <c r="C230" s="6">
        <v>1987</v>
      </c>
      <c r="D230" s="2">
        <f>LEN(Table3[[#This Row],[CLID]])</f>
        <v>7</v>
      </c>
      <c r="I230" s="3"/>
    </row>
    <row r="231" spans="1:9" x14ac:dyDescent="0.25">
      <c r="A231" s="3" t="s">
        <v>41</v>
      </c>
      <c r="B231" s="3">
        <v>44286</v>
      </c>
      <c r="C231" s="6">
        <v>1528</v>
      </c>
      <c r="D231" s="2">
        <f>LEN(Table3[[#This Row],[CLID]])</f>
        <v>7</v>
      </c>
      <c r="I231" s="3"/>
    </row>
    <row r="232" spans="1:9" x14ac:dyDescent="0.25">
      <c r="A232" s="3" t="s">
        <v>41</v>
      </c>
      <c r="B232" s="3">
        <v>44255</v>
      </c>
      <c r="C232" s="6">
        <v>1557</v>
      </c>
      <c r="D232" s="2">
        <f>LEN(Table3[[#This Row],[CLID]])</f>
        <v>7</v>
      </c>
      <c r="I232" s="3"/>
    </row>
    <row r="233" spans="1:9" x14ac:dyDescent="0.25">
      <c r="A233" s="3" t="s">
        <v>41</v>
      </c>
      <c r="B233" s="3">
        <v>44227</v>
      </c>
      <c r="C233" s="6">
        <v>1183</v>
      </c>
      <c r="D233" s="2">
        <f>LEN(Table3[[#This Row],[CLID]])</f>
        <v>7</v>
      </c>
      <c r="I233" s="3"/>
    </row>
    <row r="234" spans="1:9" x14ac:dyDescent="0.25">
      <c r="A234" s="3" t="s">
        <v>21</v>
      </c>
      <c r="B234" s="3">
        <v>43861</v>
      </c>
      <c r="C234" s="6">
        <v>11332</v>
      </c>
      <c r="D234" s="2">
        <f>LEN(Table3[[#This Row],[CLID]])</f>
        <v>7</v>
      </c>
      <c r="I234" s="3"/>
    </row>
    <row r="235" spans="1:9" x14ac:dyDescent="0.25">
      <c r="A235" s="3" t="s">
        <v>21</v>
      </c>
      <c r="B235" s="3">
        <v>43890</v>
      </c>
      <c r="C235" s="6">
        <v>12748</v>
      </c>
      <c r="D235" s="2">
        <f>LEN(Table3[[#This Row],[CLID]])</f>
        <v>7</v>
      </c>
      <c r="I235" s="3"/>
    </row>
    <row r="236" spans="1:9" x14ac:dyDescent="0.25">
      <c r="A236" s="3" t="s">
        <v>21</v>
      </c>
      <c r="B236" s="3">
        <v>43921</v>
      </c>
      <c r="C236" s="6">
        <v>14162</v>
      </c>
      <c r="D236" s="2">
        <f>LEN(Table3[[#This Row],[CLID]])</f>
        <v>7</v>
      </c>
      <c r="I236" s="3"/>
    </row>
    <row r="237" spans="1:9" x14ac:dyDescent="0.25">
      <c r="A237" s="3" t="s">
        <v>21</v>
      </c>
      <c r="B237" s="3">
        <v>43951</v>
      </c>
      <c r="C237" s="6">
        <v>16992</v>
      </c>
      <c r="D237" s="2">
        <f>LEN(Table3[[#This Row],[CLID]])</f>
        <v>7</v>
      </c>
      <c r="I237" s="3"/>
    </row>
    <row r="238" spans="1:9" x14ac:dyDescent="0.25">
      <c r="A238" s="3" t="s">
        <v>21</v>
      </c>
      <c r="B238" s="3">
        <v>43982</v>
      </c>
      <c r="C238" s="6">
        <v>15578</v>
      </c>
      <c r="D238" s="2">
        <f>LEN(Table3[[#This Row],[CLID]])</f>
        <v>7</v>
      </c>
      <c r="I238" s="3"/>
    </row>
    <row r="239" spans="1:9" x14ac:dyDescent="0.25">
      <c r="A239" s="3" t="s">
        <v>21</v>
      </c>
      <c r="B239" s="3">
        <v>44012</v>
      </c>
      <c r="C239" s="6">
        <v>11330</v>
      </c>
      <c r="D239" s="2">
        <f>LEN(Table3[[#This Row],[CLID]])</f>
        <v>7</v>
      </c>
      <c r="I239" s="3"/>
    </row>
    <row r="240" spans="1:9" x14ac:dyDescent="0.25">
      <c r="A240" s="3" t="s">
        <v>21</v>
      </c>
      <c r="B240" s="3">
        <v>44043</v>
      </c>
      <c r="C240" s="6">
        <v>9912</v>
      </c>
      <c r="D240" s="2">
        <f>LEN(Table3[[#This Row],[CLID]])</f>
        <v>7</v>
      </c>
      <c r="I240" s="3"/>
    </row>
    <row r="241" spans="1:9" x14ac:dyDescent="0.25">
      <c r="A241" s="3" t="s">
        <v>21</v>
      </c>
      <c r="B241" s="3">
        <v>44074</v>
      </c>
      <c r="C241" s="6">
        <v>8496</v>
      </c>
      <c r="D241" s="2">
        <f>LEN(Table3[[#This Row],[CLID]])</f>
        <v>7</v>
      </c>
      <c r="I241" s="3"/>
    </row>
    <row r="242" spans="1:9" x14ac:dyDescent="0.25">
      <c r="A242" s="3" t="s">
        <v>21</v>
      </c>
      <c r="B242" s="3">
        <v>44104</v>
      </c>
      <c r="C242" s="6">
        <v>8502</v>
      </c>
      <c r="D242" s="2">
        <f>LEN(Table3[[#This Row],[CLID]])</f>
        <v>7</v>
      </c>
      <c r="I242" s="3"/>
    </row>
    <row r="243" spans="1:9" x14ac:dyDescent="0.25">
      <c r="A243" s="3" t="s">
        <v>21</v>
      </c>
      <c r="B243" s="3">
        <v>44135</v>
      </c>
      <c r="C243" s="6">
        <v>9917</v>
      </c>
      <c r="D243" s="2">
        <f>LEN(Table3[[#This Row],[CLID]])</f>
        <v>7</v>
      </c>
      <c r="I243" s="3"/>
    </row>
    <row r="244" spans="1:9" x14ac:dyDescent="0.25">
      <c r="A244" s="3" t="s">
        <v>21</v>
      </c>
      <c r="B244" s="3">
        <v>44165</v>
      </c>
      <c r="C244" s="6">
        <v>11330</v>
      </c>
      <c r="D244" s="2">
        <f>LEN(Table3[[#This Row],[CLID]])</f>
        <v>7</v>
      </c>
      <c r="I244" s="3"/>
    </row>
    <row r="245" spans="1:9" x14ac:dyDescent="0.25">
      <c r="A245" s="3" t="s">
        <v>21</v>
      </c>
      <c r="B245" s="3">
        <v>44196</v>
      </c>
      <c r="C245" s="6">
        <v>11328</v>
      </c>
      <c r="D245" s="2">
        <f>LEN(Table3[[#This Row],[CLID]])</f>
        <v>7</v>
      </c>
      <c r="I245" s="3"/>
    </row>
    <row r="246" spans="1:9" x14ac:dyDescent="0.25">
      <c r="A246" s="3" t="s">
        <v>21</v>
      </c>
      <c r="B246" s="3">
        <v>44377</v>
      </c>
      <c r="C246" s="6">
        <v>11781</v>
      </c>
      <c r="D246" s="2">
        <f>LEN(Table3[[#This Row],[CLID]])</f>
        <v>7</v>
      </c>
      <c r="I246" s="3"/>
    </row>
    <row r="247" spans="1:9" x14ac:dyDescent="0.25">
      <c r="A247" s="3" t="s">
        <v>21</v>
      </c>
      <c r="B247" s="3">
        <v>44347</v>
      </c>
      <c r="C247" s="6">
        <v>15424</v>
      </c>
      <c r="D247" s="2">
        <f>LEN(Table3[[#This Row],[CLID]])</f>
        <v>7</v>
      </c>
      <c r="I247" s="3"/>
    </row>
    <row r="248" spans="1:9" x14ac:dyDescent="0.25">
      <c r="A248" s="3" t="s">
        <v>21</v>
      </c>
      <c r="B248" s="3">
        <v>44316</v>
      </c>
      <c r="C248" s="6">
        <v>16906</v>
      </c>
      <c r="D248" s="2">
        <f>LEN(Table3[[#This Row],[CLID]])</f>
        <v>7</v>
      </c>
      <c r="I248" s="3"/>
    </row>
    <row r="249" spans="1:9" x14ac:dyDescent="0.25">
      <c r="A249" s="3" t="s">
        <v>21</v>
      </c>
      <c r="B249" s="3">
        <v>44286</v>
      </c>
      <c r="C249" s="6">
        <v>14020</v>
      </c>
      <c r="D249" s="2">
        <f>LEN(Table3[[#This Row],[CLID]])</f>
        <v>7</v>
      </c>
      <c r="I249" s="3"/>
    </row>
    <row r="250" spans="1:9" x14ac:dyDescent="0.25">
      <c r="A250" s="3" t="s">
        <v>21</v>
      </c>
      <c r="B250" s="3">
        <v>44255</v>
      </c>
      <c r="C250" s="6">
        <v>13386</v>
      </c>
      <c r="D250" s="2">
        <f>LEN(Table3[[#This Row],[CLID]])</f>
        <v>7</v>
      </c>
      <c r="I250" s="3"/>
    </row>
    <row r="251" spans="1:9" x14ac:dyDescent="0.25">
      <c r="A251" s="3" t="s">
        <v>21</v>
      </c>
      <c r="B251" s="3">
        <v>44227</v>
      </c>
      <c r="C251" s="6">
        <v>11896</v>
      </c>
      <c r="D251" s="2">
        <f>LEN(Table3[[#This Row],[CLID]])</f>
        <v>7</v>
      </c>
      <c r="I251" s="3"/>
    </row>
    <row r="252" spans="1:9" x14ac:dyDescent="0.25">
      <c r="A252" s="3" t="s">
        <v>14</v>
      </c>
      <c r="B252" s="3">
        <v>43861</v>
      </c>
      <c r="C252" s="6">
        <v>358</v>
      </c>
      <c r="D252" s="2">
        <f>LEN(Table3[[#This Row],[CLID]])</f>
        <v>7</v>
      </c>
      <c r="I252" s="3"/>
    </row>
    <row r="253" spans="1:9" x14ac:dyDescent="0.25">
      <c r="A253" s="3" t="s">
        <v>14</v>
      </c>
      <c r="B253" s="3">
        <v>43890</v>
      </c>
      <c r="C253" s="6">
        <v>508</v>
      </c>
      <c r="D253" s="2">
        <f>LEN(Table3[[#This Row],[CLID]])</f>
        <v>7</v>
      </c>
      <c r="I253" s="3"/>
    </row>
    <row r="254" spans="1:9" x14ac:dyDescent="0.25">
      <c r="A254" s="3" t="s">
        <v>14</v>
      </c>
      <c r="B254" s="3">
        <v>43921</v>
      </c>
      <c r="C254" s="6">
        <v>458</v>
      </c>
      <c r="D254" s="2">
        <f>LEN(Table3[[#This Row],[CLID]])</f>
        <v>7</v>
      </c>
      <c r="I254" s="3"/>
    </row>
    <row r="255" spans="1:9" x14ac:dyDescent="0.25">
      <c r="A255" s="3" t="s">
        <v>14</v>
      </c>
      <c r="B255" s="3">
        <v>43951</v>
      </c>
      <c r="C255" s="6">
        <v>655</v>
      </c>
      <c r="D255" s="2">
        <f>LEN(Table3[[#This Row],[CLID]])</f>
        <v>7</v>
      </c>
      <c r="I255" s="3"/>
    </row>
    <row r="256" spans="1:9" x14ac:dyDescent="0.25">
      <c r="A256" s="3" t="s">
        <v>14</v>
      </c>
      <c r="B256" s="3">
        <v>43982</v>
      </c>
      <c r="C256" s="6">
        <v>506</v>
      </c>
      <c r="D256" s="2">
        <f>LEN(Table3[[#This Row],[CLID]])</f>
        <v>7</v>
      </c>
      <c r="I256" s="3"/>
    </row>
    <row r="257" spans="1:9" x14ac:dyDescent="0.25">
      <c r="A257" s="3" t="s">
        <v>14</v>
      </c>
      <c r="B257" s="3">
        <v>44012</v>
      </c>
      <c r="C257" s="6">
        <v>458</v>
      </c>
      <c r="D257" s="2">
        <f>LEN(Table3[[#This Row],[CLID]])</f>
        <v>7</v>
      </c>
      <c r="I257" s="3"/>
    </row>
    <row r="258" spans="1:9" x14ac:dyDescent="0.25">
      <c r="A258" s="3" t="s">
        <v>14</v>
      </c>
      <c r="B258" s="3">
        <v>44043</v>
      </c>
      <c r="C258" s="6">
        <v>308</v>
      </c>
      <c r="D258" s="2">
        <f>LEN(Table3[[#This Row],[CLID]])</f>
        <v>7</v>
      </c>
      <c r="I258" s="3"/>
    </row>
    <row r="259" spans="1:9" x14ac:dyDescent="0.25">
      <c r="A259" s="3" t="s">
        <v>14</v>
      </c>
      <c r="B259" s="3">
        <v>44074</v>
      </c>
      <c r="C259" s="6">
        <v>353</v>
      </c>
      <c r="D259" s="2">
        <f>LEN(Table3[[#This Row],[CLID]])</f>
        <v>7</v>
      </c>
      <c r="I259" s="3"/>
    </row>
    <row r="260" spans="1:9" x14ac:dyDescent="0.25">
      <c r="A260" s="3" t="s">
        <v>14</v>
      </c>
      <c r="B260" s="3">
        <v>44104</v>
      </c>
      <c r="C260" s="6">
        <v>252</v>
      </c>
      <c r="D260" s="2">
        <f>LEN(Table3[[#This Row],[CLID]])</f>
        <v>7</v>
      </c>
      <c r="I260" s="3"/>
    </row>
    <row r="261" spans="1:9" x14ac:dyDescent="0.25">
      <c r="A261" s="3" t="s">
        <v>14</v>
      </c>
      <c r="B261" s="3">
        <v>44135</v>
      </c>
      <c r="C261" s="6">
        <v>402</v>
      </c>
      <c r="D261" s="2">
        <f>LEN(Table3[[#This Row],[CLID]])</f>
        <v>7</v>
      </c>
      <c r="I261" s="3"/>
    </row>
    <row r="262" spans="1:9" x14ac:dyDescent="0.25">
      <c r="A262" s="3" t="s">
        <v>14</v>
      </c>
      <c r="B262" s="3">
        <v>44165</v>
      </c>
      <c r="C262" s="6">
        <v>352</v>
      </c>
      <c r="D262" s="2">
        <f>LEN(Table3[[#This Row],[CLID]])</f>
        <v>7</v>
      </c>
      <c r="I262" s="3"/>
    </row>
    <row r="263" spans="1:9" x14ac:dyDescent="0.25">
      <c r="A263" s="3" t="s">
        <v>14</v>
      </c>
      <c r="B263" s="3">
        <v>44196</v>
      </c>
      <c r="C263" s="6">
        <v>457</v>
      </c>
      <c r="D263" s="2">
        <f>LEN(Table3[[#This Row],[CLID]])</f>
        <v>7</v>
      </c>
      <c r="I263" s="3"/>
    </row>
    <row r="264" spans="1:9" x14ac:dyDescent="0.25">
      <c r="A264" s="3" t="s">
        <v>14</v>
      </c>
      <c r="B264" s="3">
        <v>44377</v>
      </c>
      <c r="C264" s="6">
        <v>472</v>
      </c>
      <c r="D264" s="2">
        <f>LEN(Table3[[#This Row],[CLID]])</f>
        <v>7</v>
      </c>
      <c r="I264" s="3"/>
    </row>
    <row r="265" spans="1:9" x14ac:dyDescent="0.25">
      <c r="A265" s="3" t="s">
        <v>14</v>
      </c>
      <c r="B265" s="3">
        <v>44347</v>
      </c>
      <c r="C265" s="6">
        <v>499</v>
      </c>
      <c r="D265" s="2">
        <f>LEN(Table3[[#This Row],[CLID]])</f>
        <v>7</v>
      </c>
      <c r="I265" s="3"/>
    </row>
    <row r="266" spans="1:9" x14ac:dyDescent="0.25">
      <c r="A266" s="3" t="s">
        <v>14</v>
      </c>
      <c r="B266" s="3">
        <v>44316</v>
      </c>
      <c r="C266" s="6">
        <v>665</v>
      </c>
      <c r="D266" s="2">
        <f>LEN(Table3[[#This Row],[CLID]])</f>
        <v>7</v>
      </c>
      <c r="I266" s="3"/>
    </row>
    <row r="267" spans="1:9" x14ac:dyDescent="0.25">
      <c r="A267" s="3" t="s">
        <v>14</v>
      </c>
      <c r="B267" s="3">
        <v>44286</v>
      </c>
      <c r="C267" s="6">
        <v>459</v>
      </c>
      <c r="D267" s="2">
        <f>LEN(Table3[[#This Row],[CLID]])</f>
        <v>7</v>
      </c>
      <c r="I267" s="3"/>
    </row>
    <row r="268" spans="1:9" x14ac:dyDescent="0.25">
      <c r="A268" s="3" t="s">
        <v>14</v>
      </c>
      <c r="B268" s="3">
        <v>44255</v>
      </c>
      <c r="C268" s="6">
        <v>519</v>
      </c>
      <c r="D268" s="2">
        <f>LEN(Table3[[#This Row],[CLID]])</f>
        <v>7</v>
      </c>
      <c r="I268" s="3"/>
    </row>
    <row r="269" spans="1:9" x14ac:dyDescent="0.25">
      <c r="A269" s="3" t="s">
        <v>14</v>
      </c>
      <c r="B269" s="3">
        <v>44227</v>
      </c>
      <c r="C269" s="6">
        <v>358</v>
      </c>
      <c r="D269" s="2">
        <f>LEN(Table3[[#This Row],[CLID]])</f>
        <v>7</v>
      </c>
      <c r="I269" s="3"/>
    </row>
    <row r="270" spans="1:9" x14ac:dyDescent="0.25">
      <c r="A270" s="3" t="s">
        <v>17</v>
      </c>
      <c r="B270" s="3">
        <v>43861</v>
      </c>
      <c r="C270" s="6">
        <v>20394</v>
      </c>
      <c r="D270" s="2">
        <f>LEN(Table3[[#This Row],[CLID]])</f>
        <v>7</v>
      </c>
      <c r="I270" s="3"/>
    </row>
    <row r="271" spans="1:9" x14ac:dyDescent="0.25">
      <c r="A271" s="3" t="s">
        <v>17</v>
      </c>
      <c r="B271" s="3">
        <v>43890</v>
      </c>
      <c r="C271" s="6">
        <v>22941</v>
      </c>
      <c r="D271" s="2">
        <f>LEN(Table3[[#This Row],[CLID]])</f>
        <v>7</v>
      </c>
      <c r="I271" s="3"/>
    </row>
    <row r="272" spans="1:9" x14ac:dyDescent="0.25">
      <c r="A272" s="3" t="s">
        <v>17</v>
      </c>
      <c r="B272" s="3">
        <v>43921</v>
      </c>
      <c r="C272" s="6">
        <v>25487</v>
      </c>
      <c r="D272" s="2">
        <f>LEN(Table3[[#This Row],[CLID]])</f>
        <v>7</v>
      </c>
      <c r="I272" s="3"/>
    </row>
    <row r="273" spans="1:9" x14ac:dyDescent="0.25">
      <c r="A273" s="3" t="s">
        <v>17</v>
      </c>
      <c r="B273" s="3">
        <v>43951</v>
      </c>
      <c r="C273" s="6">
        <v>30586</v>
      </c>
      <c r="D273" s="2">
        <f>LEN(Table3[[#This Row],[CLID]])</f>
        <v>7</v>
      </c>
      <c r="I273" s="3"/>
    </row>
    <row r="274" spans="1:9" x14ac:dyDescent="0.25">
      <c r="A274" s="3" t="s">
        <v>17</v>
      </c>
      <c r="B274" s="3">
        <v>43982</v>
      </c>
      <c r="C274" s="6">
        <v>28040</v>
      </c>
      <c r="D274" s="2">
        <f>LEN(Table3[[#This Row],[CLID]])</f>
        <v>7</v>
      </c>
      <c r="I274" s="3"/>
    </row>
    <row r="275" spans="1:9" x14ac:dyDescent="0.25">
      <c r="A275" s="3" t="s">
        <v>17</v>
      </c>
      <c r="B275" s="3">
        <v>44012</v>
      </c>
      <c r="C275" s="6">
        <v>20393</v>
      </c>
      <c r="D275" s="2">
        <f>LEN(Table3[[#This Row],[CLID]])</f>
        <v>7</v>
      </c>
      <c r="I275" s="3"/>
    </row>
    <row r="276" spans="1:9" x14ac:dyDescent="0.25">
      <c r="A276" s="3" t="s">
        <v>17</v>
      </c>
      <c r="B276" s="3">
        <v>44043</v>
      </c>
      <c r="C276" s="6">
        <v>17841</v>
      </c>
      <c r="D276" s="2">
        <f>LEN(Table3[[#This Row],[CLID]])</f>
        <v>7</v>
      </c>
      <c r="I276" s="3"/>
    </row>
    <row r="277" spans="1:9" x14ac:dyDescent="0.25">
      <c r="A277" s="3" t="s">
        <v>17</v>
      </c>
      <c r="B277" s="3">
        <v>44074</v>
      </c>
      <c r="C277" s="6">
        <v>15298</v>
      </c>
      <c r="D277" s="2">
        <f>LEN(Table3[[#This Row],[CLID]])</f>
        <v>7</v>
      </c>
      <c r="I277" s="3"/>
    </row>
    <row r="278" spans="1:9" x14ac:dyDescent="0.25">
      <c r="A278" s="3" t="s">
        <v>17</v>
      </c>
      <c r="B278" s="3">
        <v>44104</v>
      </c>
      <c r="C278" s="6">
        <v>15295</v>
      </c>
      <c r="D278" s="2">
        <f>LEN(Table3[[#This Row],[CLID]])</f>
        <v>7</v>
      </c>
      <c r="I278" s="3"/>
    </row>
    <row r="279" spans="1:9" x14ac:dyDescent="0.25">
      <c r="A279" s="3" t="s">
        <v>17</v>
      </c>
      <c r="B279" s="3">
        <v>44135</v>
      </c>
      <c r="C279" s="6">
        <v>17846</v>
      </c>
      <c r="D279" s="2">
        <f>LEN(Table3[[#This Row],[CLID]])</f>
        <v>7</v>
      </c>
      <c r="I279" s="3"/>
    </row>
    <row r="280" spans="1:9" x14ac:dyDescent="0.25">
      <c r="A280" s="3" t="s">
        <v>17</v>
      </c>
      <c r="B280" s="3">
        <v>44165</v>
      </c>
      <c r="C280" s="6">
        <v>20388</v>
      </c>
      <c r="D280" s="2">
        <f>LEN(Table3[[#This Row],[CLID]])</f>
        <v>7</v>
      </c>
      <c r="I280" s="3"/>
    </row>
    <row r="281" spans="1:9" x14ac:dyDescent="0.25">
      <c r="A281" s="3" t="s">
        <v>17</v>
      </c>
      <c r="B281" s="3">
        <v>44196</v>
      </c>
      <c r="C281" s="6">
        <v>20391</v>
      </c>
      <c r="D281" s="2">
        <f>LEN(Table3[[#This Row],[CLID]])</f>
        <v>7</v>
      </c>
      <c r="I281" s="3"/>
    </row>
    <row r="282" spans="1:9" x14ac:dyDescent="0.25">
      <c r="A282" s="3" t="s">
        <v>17</v>
      </c>
      <c r="B282" s="3">
        <v>44377</v>
      </c>
      <c r="C282" s="6">
        <v>20289</v>
      </c>
      <c r="D282" s="2">
        <f>LEN(Table3[[#This Row],[CLID]])</f>
        <v>7</v>
      </c>
      <c r="I282" s="3"/>
    </row>
    <row r="283" spans="1:9" x14ac:dyDescent="0.25">
      <c r="A283" s="3" t="s">
        <v>17</v>
      </c>
      <c r="B283" s="3">
        <v>44347</v>
      </c>
      <c r="C283" s="6">
        <v>29437</v>
      </c>
      <c r="D283" s="2">
        <f>LEN(Table3[[#This Row],[CLID]])</f>
        <v>7</v>
      </c>
      <c r="I283" s="3"/>
    </row>
    <row r="284" spans="1:9" x14ac:dyDescent="0.25">
      <c r="A284" s="3" t="s">
        <v>17</v>
      </c>
      <c r="B284" s="3">
        <v>44316</v>
      </c>
      <c r="C284" s="6">
        <v>32113</v>
      </c>
      <c r="D284" s="2">
        <f>LEN(Table3[[#This Row],[CLID]])</f>
        <v>7</v>
      </c>
      <c r="I284" s="3"/>
    </row>
    <row r="285" spans="1:9" x14ac:dyDescent="0.25">
      <c r="A285" s="3" t="s">
        <v>17</v>
      </c>
      <c r="B285" s="3">
        <v>44286</v>
      </c>
      <c r="C285" s="6">
        <v>26762</v>
      </c>
      <c r="D285" s="2">
        <f>LEN(Table3[[#This Row],[CLID]])</f>
        <v>7</v>
      </c>
      <c r="I285" s="3"/>
    </row>
    <row r="286" spans="1:9" x14ac:dyDescent="0.25">
      <c r="A286" s="3" t="s">
        <v>17</v>
      </c>
      <c r="B286" s="3">
        <v>44255</v>
      </c>
      <c r="C286" s="6">
        <v>22713</v>
      </c>
      <c r="D286" s="2">
        <f>LEN(Table3[[#This Row],[CLID]])</f>
        <v>7</v>
      </c>
      <c r="I286" s="3"/>
    </row>
    <row r="287" spans="1:9" x14ac:dyDescent="0.25">
      <c r="A287" s="3" t="s">
        <v>17</v>
      </c>
      <c r="B287" s="3">
        <v>44227</v>
      </c>
      <c r="C287" s="6">
        <v>20286</v>
      </c>
      <c r="D287" s="2">
        <f>LEN(Table3[[#This Row],[CLID]])</f>
        <v>7</v>
      </c>
      <c r="I287" s="3"/>
    </row>
    <row r="288" spans="1:9" x14ac:dyDescent="0.25">
      <c r="A288" s="3" t="s">
        <v>8</v>
      </c>
      <c r="B288" s="3">
        <v>43861</v>
      </c>
      <c r="C288" s="6">
        <v>11682</v>
      </c>
      <c r="D288" s="2">
        <f>LEN(Table3[[#This Row],[CLID]])</f>
        <v>7</v>
      </c>
      <c r="I288" s="3"/>
    </row>
    <row r="289" spans="1:9" x14ac:dyDescent="0.25">
      <c r="A289" s="3" t="s">
        <v>8</v>
      </c>
      <c r="B289" s="3">
        <v>43890</v>
      </c>
      <c r="C289" s="6">
        <v>14802</v>
      </c>
      <c r="D289" s="2">
        <f>LEN(Table3[[#This Row],[CLID]])</f>
        <v>7</v>
      </c>
      <c r="I289" s="3"/>
    </row>
    <row r="290" spans="1:9" x14ac:dyDescent="0.25">
      <c r="A290" s="3" t="s">
        <v>8</v>
      </c>
      <c r="B290" s="3">
        <v>43921</v>
      </c>
      <c r="C290" s="6">
        <v>14798</v>
      </c>
      <c r="D290" s="2">
        <f>LEN(Table3[[#This Row],[CLID]])</f>
        <v>7</v>
      </c>
      <c r="I290" s="3"/>
    </row>
    <row r="291" spans="1:9" x14ac:dyDescent="0.25">
      <c r="A291" s="3" t="s">
        <v>8</v>
      </c>
      <c r="B291" s="3">
        <v>43951</v>
      </c>
      <c r="C291" s="6">
        <v>19470</v>
      </c>
      <c r="D291" s="2">
        <f>LEN(Table3[[#This Row],[CLID]])</f>
        <v>7</v>
      </c>
      <c r="I291" s="3"/>
    </row>
    <row r="292" spans="1:9" x14ac:dyDescent="0.25">
      <c r="A292" s="3" t="s">
        <v>8</v>
      </c>
      <c r="B292" s="3">
        <v>43982</v>
      </c>
      <c r="C292" s="6">
        <v>16356</v>
      </c>
      <c r="D292" s="2">
        <f>LEN(Table3[[#This Row],[CLID]])</f>
        <v>7</v>
      </c>
      <c r="I292" s="3"/>
    </row>
    <row r="293" spans="1:9" x14ac:dyDescent="0.25">
      <c r="A293" s="3" t="s">
        <v>8</v>
      </c>
      <c r="B293" s="3">
        <v>44012</v>
      </c>
      <c r="C293" s="6">
        <v>13245</v>
      </c>
      <c r="D293" s="2">
        <f>LEN(Table3[[#This Row],[CLID]])</f>
        <v>7</v>
      </c>
      <c r="I293" s="3"/>
    </row>
    <row r="294" spans="1:9" x14ac:dyDescent="0.25">
      <c r="A294" s="3" t="s">
        <v>8</v>
      </c>
      <c r="B294" s="3">
        <v>44043</v>
      </c>
      <c r="C294" s="6">
        <v>10130</v>
      </c>
      <c r="D294" s="2">
        <f>LEN(Table3[[#This Row],[CLID]])</f>
        <v>7</v>
      </c>
      <c r="I294" s="3"/>
    </row>
    <row r="295" spans="1:9" x14ac:dyDescent="0.25">
      <c r="A295" s="3" t="s">
        <v>8</v>
      </c>
      <c r="B295" s="3">
        <v>44074</v>
      </c>
      <c r="C295" s="6">
        <v>10124</v>
      </c>
      <c r="D295" s="2">
        <f>LEN(Table3[[#This Row],[CLID]])</f>
        <v>7</v>
      </c>
      <c r="I295" s="3"/>
    </row>
    <row r="296" spans="1:9" x14ac:dyDescent="0.25">
      <c r="A296" s="3" t="s">
        <v>8</v>
      </c>
      <c r="B296" s="3">
        <v>44104</v>
      </c>
      <c r="C296" s="6">
        <v>8573</v>
      </c>
      <c r="D296" s="2">
        <f>LEN(Table3[[#This Row],[CLID]])</f>
        <v>7</v>
      </c>
      <c r="I296" s="3"/>
    </row>
    <row r="297" spans="1:9" x14ac:dyDescent="0.25">
      <c r="A297" s="3" t="s">
        <v>8</v>
      </c>
      <c r="B297" s="3">
        <v>44135</v>
      </c>
      <c r="C297" s="6">
        <v>11682</v>
      </c>
      <c r="D297" s="2">
        <f>LEN(Table3[[#This Row],[CLID]])</f>
        <v>7</v>
      </c>
      <c r="I297" s="3"/>
    </row>
    <row r="298" spans="1:9" x14ac:dyDescent="0.25">
      <c r="A298" s="3" t="s">
        <v>8</v>
      </c>
      <c r="B298" s="3">
        <v>44165</v>
      </c>
      <c r="C298" s="6">
        <v>11686</v>
      </c>
      <c r="D298" s="2">
        <f>LEN(Table3[[#This Row],[CLID]])</f>
        <v>7</v>
      </c>
      <c r="I298" s="3"/>
    </row>
    <row r="299" spans="1:9" x14ac:dyDescent="0.25">
      <c r="A299" s="3" t="s">
        <v>8</v>
      </c>
      <c r="B299" s="3">
        <v>44196</v>
      </c>
      <c r="C299" s="6">
        <v>13239</v>
      </c>
      <c r="D299" s="2">
        <f>LEN(Table3[[#This Row],[CLID]])</f>
        <v>7</v>
      </c>
      <c r="I299" s="3"/>
    </row>
    <row r="300" spans="1:9" x14ac:dyDescent="0.25">
      <c r="A300" s="3" t="s">
        <v>8</v>
      </c>
      <c r="B300" s="3">
        <v>44377</v>
      </c>
      <c r="C300" s="6">
        <v>13905</v>
      </c>
      <c r="D300" s="2">
        <f>LEN(Table3[[#This Row],[CLID]])</f>
        <v>7</v>
      </c>
      <c r="I300" s="3"/>
    </row>
    <row r="301" spans="1:9" x14ac:dyDescent="0.25">
      <c r="A301" s="3" t="s">
        <v>8</v>
      </c>
      <c r="B301" s="3">
        <v>44347</v>
      </c>
      <c r="C301" s="6">
        <v>16273</v>
      </c>
      <c r="D301" s="2">
        <f>LEN(Table3[[#This Row],[CLID]])</f>
        <v>7</v>
      </c>
      <c r="I301" s="3"/>
    </row>
    <row r="302" spans="1:9" x14ac:dyDescent="0.25">
      <c r="A302" s="3" t="s">
        <v>8</v>
      </c>
      <c r="B302" s="3">
        <v>44316</v>
      </c>
      <c r="C302" s="6">
        <v>20251</v>
      </c>
      <c r="D302" s="2">
        <f>LEN(Table3[[#This Row],[CLID]])</f>
        <v>7</v>
      </c>
      <c r="I302" s="3"/>
    </row>
    <row r="303" spans="1:9" x14ac:dyDescent="0.25">
      <c r="A303" s="3" t="s">
        <v>8</v>
      </c>
      <c r="B303" s="3">
        <v>44286</v>
      </c>
      <c r="C303" s="6">
        <v>15092</v>
      </c>
      <c r="D303" s="2">
        <f>LEN(Table3[[#This Row],[CLID]])</f>
        <v>7</v>
      </c>
      <c r="I303" s="3"/>
    </row>
    <row r="304" spans="1:9" x14ac:dyDescent="0.25">
      <c r="A304" s="3" t="s">
        <v>8</v>
      </c>
      <c r="B304" s="3">
        <v>44255</v>
      </c>
      <c r="C304" s="6">
        <v>15094</v>
      </c>
      <c r="D304" s="2">
        <f>LEN(Table3[[#This Row],[CLID]])</f>
        <v>7</v>
      </c>
      <c r="I304" s="3"/>
    </row>
    <row r="305" spans="1:9" x14ac:dyDescent="0.25">
      <c r="A305" s="3" t="s">
        <v>8</v>
      </c>
      <c r="B305" s="3">
        <v>44227</v>
      </c>
      <c r="C305" s="6">
        <v>11799</v>
      </c>
      <c r="D305" s="2">
        <f>LEN(Table3[[#This Row],[CLID]])</f>
        <v>7</v>
      </c>
      <c r="I305" s="3"/>
    </row>
    <row r="306" spans="1:9" x14ac:dyDescent="0.25">
      <c r="A306" s="3" t="s">
        <v>12</v>
      </c>
      <c r="B306" s="3">
        <v>44043</v>
      </c>
      <c r="C306" s="6">
        <v>326</v>
      </c>
      <c r="D306" s="2">
        <f>LEN(Table3[[#This Row],[CLID]])</f>
        <v>7</v>
      </c>
      <c r="I306" s="3"/>
    </row>
    <row r="307" spans="1:9" x14ac:dyDescent="0.25">
      <c r="A307" s="3" t="s">
        <v>12</v>
      </c>
      <c r="B307" s="3">
        <v>44074</v>
      </c>
      <c r="C307" s="6">
        <v>202</v>
      </c>
      <c r="D307" s="2">
        <f>LEN(Table3[[#This Row],[CLID]])</f>
        <v>7</v>
      </c>
      <c r="I307" s="3"/>
    </row>
    <row r="308" spans="1:9" x14ac:dyDescent="0.25">
      <c r="A308" s="3" t="s">
        <v>12</v>
      </c>
      <c r="B308" s="3">
        <v>44104</v>
      </c>
      <c r="C308" s="6">
        <v>283</v>
      </c>
      <c r="D308" s="2">
        <f>LEN(Table3[[#This Row],[CLID]])</f>
        <v>7</v>
      </c>
      <c r="I308" s="3"/>
    </row>
    <row r="309" spans="1:9" x14ac:dyDescent="0.25">
      <c r="A309" s="3" t="s">
        <v>12</v>
      </c>
      <c r="B309" s="3">
        <v>44135</v>
      </c>
      <c r="C309" s="6">
        <v>243</v>
      </c>
      <c r="D309" s="2">
        <f>LEN(Table3[[#This Row],[CLID]])</f>
        <v>7</v>
      </c>
      <c r="I309" s="3"/>
    </row>
    <row r="310" spans="1:9" x14ac:dyDescent="0.25">
      <c r="A310" s="3" t="s">
        <v>12</v>
      </c>
      <c r="B310" s="3">
        <v>44165</v>
      </c>
      <c r="C310" s="6">
        <v>368</v>
      </c>
      <c r="D310" s="2">
        <f>LEN(Table3[[#This Row],[CLID]])</f>
        <v>7</v>
      </c>
      <c r="I310" s="3"/>
    </row>
    <row r="311" spans="1:9" x14ac:dyDescent="0.25">
      <c r="A311" s="3" t="s">
        <v>12</v>
      </c>
      <c r="B311" s="3">
        <v>44196</v>
      </c>
      <c r="C311" s="6">
        <v>285</v>
      </c>
      <c r="D311" s="2">
        <f>LEN(Table3[[#This Row],[CLID]])</f>
        <v>7</v>
      </c>
      <c r="I311" s="3"/>
    </row>
    <row r="312" spans="1:9" x14ac:dyDescent="0.25">
      <c r="A312" s="3" t="s">
        <v>12</v>
      </c>
      <c r="B312" s="3">
        <v>44377</v>
      </c>
      <c r="C312" s="6">
        <v>292</v>
      </c>
      <c r="D312" s="2">
        <f>LEN(Table3[[#This Row],[CLID]])</f>
        <v>7</v>
      </c>
      <c r="I312" s="3"/>
    </row>
    <row r="313" spans="1:9" x14ac:dyDescent="0.25">
      <c r="A313" s="3" t="s">
        <v>12</v>
      </c>
      <c r="B313" s="3">
        <v>44347</v>
      </c>
      <c r="C313" s="6">
        <v>495</v>
      </c>
      <c r="D313" s="2">
        <f>LEN(Table3[[#This Row],[CLID]])</f>
        <v>7</v>
      </c>
      <c r="I313" s="3"/>
    </row>
    <row r="314" spans="1:9" x14ac:dyDescent="0.25">
      <c r="A314" s="3" t="s">
        <v>12</v>
      </c>
      <c r="B314" s="3">
        <v>44316</v>
      </c>
      <c r="C314" s="6">
        <v>467</v>
      </c>
      <c r="D314" s="2">
        <f>LEN(Table3[[#This Row],[CLID]])</f>
        <v>7</v>
      </c>
      <c r="I314" s="3"/>
    </row>
    <row r="315" spans="1:9" x14ac:dyDescent="0.25">
      <c r="A315" s="3" t="s">
        <v>12</v>
      </c>
      <c r="B315" s="3">
        <v>44286</v>
      </c>
      <c r="C315" s="6">
        <v>451</v>
      </c>
      <c r="D315" s="2">
        <f>LEN(Table3[[#This Row],[CLID]])</f>
        <v>7</v>
      </c>
      <c r="I315" s="3"/>
    </row>
    <row r="316" spans="1:9" x14ac:dyDescent="0.25">
      <c r="A316" s="3" t="s">
        <v>12</v>
      </c>
      <c r="B316" s="3">
        <v>44255</v>
      </c>
      <c r="C316" s="6">
        <v>320</v>
      </c>
      <c r="D316" s="2">
        <f>LEN(Table3[[#This Row],[CLID]])</f>
        <v>7</v>
      </c>
      <c r="I316" s="3"/>
    </row>
    <row r="317" spans="1:9" x14ac:dyDescent="0.25">
      <c r="A317" s="3" t="s">
        <v>12</v>
      </c>
      <c r="B317" s="3">
        <v>44227</v>
      </c>
      <c r="C317" s="6">
        <v>361</v>
      </c>
      <c r="D317" s="2">
        <f>LEN(Table3[[#This Row],[CLID]])</f>
        <v>7</v>
      </c>
      <c r="I317" s="3"/>
    </row>
    <row r="318" spans="1:9" x14ac:dyDescent="0.25">
      <c r="A318" s="3" t="s">
        <v>51</v>
      </c>
      <c r="B318" s="3">
        <v>43861</v>
      </c>
      <c r="C318" s="6">
        <v>2691</v>
      </c>
      <c r="D318" s="2">
        <f>LEN(Table3[[#This Row],[CLID]])</f>
        <v>7</v>
      </c>
      <c r="I318" s="3"/>
    </row>
    <row r="319" spans="1:9" x14ac:dyDescent="0.25">
      <c r="A319" s="3" t="s">
        <v>51</v>
      </c>
      <c r="B319" s="3">
        <v>43890</v>
      </c>
      <c r="C319" s="6">
        <v>2129</v>
      </c>
      <c r="D319" s="2">
        <f>LEN(Table3[[#This Row],[CLID]])</f>
        <v>7</v>
      </c>
      <c r="I319" s="3"/>
    </row>
    <row r="320" spans="1:9" x14ac:dyDescent="0.25">
      <c r="A320" s="3" t="s">
        <v>51</v>
      </c>
      <c r="B320" s="3">
        <v>43921</v>
      </c>
      <c r="C320" s="6">
        <v>3258</v>
      </c>
      <c r="D320" s="2">
        <f>LEN(Table3[[#This Row],[CLID]])</f>
        <v>7</v>
      </c>
      <c r="I320" s="3"/>
    </row>
    <row r="321" spans="1:9" x14ac:dyDescent="0.25">
      <c r="A321" s="3" t="s">
        <v>51</v>
      </c>
      <c r="B321" s="3">
        <v>43951</v>
      </c>
      <c r="C321" s="6">
        <v>2978</v>
      </c>
      <c r="D321" s="2">
        <f>LEN(Table3[[#This Row],[CLID]])</f>
        <v>7</v>
      </c>
      <c r="I321" s="3"/>
    </row>
    <row r="322" spans="1:9" x14ac:dyDescent="0.25">
      <c r="A322" s="3" t="s">
        <v>51</v>
      </c>
      <c r="B322" s="3">
        <v>43982</v>
      </c>
      <c r="C322" s="6">
        <v>3544</v>
      </c>
      <c r="D322" s="2">
        <f>LEN(Table3[[#This Row],[CLID]])</f>
        <v>7</v>
      </c>
      <c r="I322" s="3"/>
    </row>
    <row r="323" spans="1:9" x14ac:dyDescent="0.25">
      <c r="A323" s="3" t="s">
        <v>51</v>
      </c>
      <c r="B323" s="3">
        <v>44012</v>
      </c>
      <c r="C323" s="6">
        <v>1845</v>
      </c>
      <c r="D323" s="2">
        <f>LEN(Table3[[#This Row],[CLID]])</f>
        <v>7</v>
      </c>
      <c r="I323" s="3"/>
    </row>
    <row r="324" spans="1:9" x14ac:dyDescent="0.25">
      <c r="A324" s="3" t="s">
        <v>51</v>
      </c>
      <c r="B324" s="3">
        <v>44043</v>
      </c>
      <c r="C324" s="6">
        <v>2414</v>
      </c>
      <c r="D324" s="2">
        <f>LEN(Table3[[#This Row],[CLID]])</f>
        <v>7</v>
      </c>
      <c r="I324" s="3"/>
    </row>
    <row r="325" spans="1:9" x14ac:dyDescent="0.25">
      <c r="A325" s="3" t="s">
        <v>51</v>
      </c>
      <c r="B325" s="3">
        <v>44074</v>
      </c>
      <c r="C325" s="6">
        <v>1281</v>
      </c>
      <c r="D325" s="2">
        <f>LEN(Table3[[#This Row],[CLID]])</f>
        <v>7</v>
      </c>
      <c r="I325" s="3"/>
    </row>
    <row r="326" spans="1:9" x14ac:dyDescent="0.25">
      <c r="A326" s="3" t="s">
        <v>51</v>
      </c>
      <c r="B326" s="3">
        <v>44104</v>
      </c>
      <c r="C326" s="6">
        <v>2131</v>
      </c>
      <c r="D326" s="2">
        <f>LEN(Table3[[#This Row],[CLID]])</f>
        <v>7</v>
      </c>
      <c r="I326" s="3"/>
    </row>
    <row r="327" spans="1:9" x14ac:dyDescent="0.25">
      <c r="A327" s="3" t="s">
        <v>51</v>
      </c>
      <c r="B327" s="3">
        <v>44135</v>
      </c>
      <c r="C327" s="6">
        <v>1560</v>
      </c>
      <c r="D327" s="2">
        <f>LEN(Table3[[#This Row],[CLID]])</f>
        <v>7</v>
      </c>
      <c r="I327" s="3"/>
    </row>
    <row r="328" spans="1:9" x14ac:dyDescent="0.25">
      <c r="A328" s="3" t="s">
        <v>51</v>
      </c>
      <c r="B328" s="3">
        <v>44165</v>
      </c>
      <c r="C328" s="6">
        <v>2691</v>
      </c>
      <c r="D328" s="2">
        <f>LEN(Table3[[#This Row],[CLID]])</f>
        <v>7</v>
      </c>
      <c r="I328" s="3"/>
    </row>
    <row r="329" spans="1:9" x14ac:dyDescent="0.25">
      <c r="A329" s="3" t="s">
        <v>51</v>
      </c>
      <c r="B329" s="3">
        <v>44196</v>
      </c>
      <c r="C329" s="6">
        <v>1843</v>
      </c>
      <c r="D329" s="2">
        <f>LEN(Table3[[#This Row],[CLID]])</f>
        <v>7</v>
      </c>
      <c r="I329" s="3"/>
    </row>
    <row r="330" spans="1:9" x14ac:dyDescent="0.25">
      <c r="A330" s="3" t="s">
        <v>51</v>
      </c>
      <c r="B330" s="3">
        <v>44377</v>
      </c>
      <c r="C330" s="6">
        <v>1864</v>
      </c>
      <c r="D330" s="2">
        <f>LEN(Table3[[#This Row],[CLID]])</f>
        <v>7</v>
      </c>
      <c r="I330" s="3"/>
    </row>
    <row r="331" spans="1:9" x14ac:dyDescent="0.25">
      <c r="A331" s="3" t="s">
        <v>51</v>
      </c>
      <c r="B331" s="3">
        <v>44347</v>
      </c>
      <c r="C331" s="6">
        <v>3527</v>
      </c>
      <c r="D331" s="2">
        <f>LEN(Table3[[#This Row],[CLID]])</f>
        <v>7</v>
      </c>
      <c r="I331" s="3"/>
    </row>
    <row r="332" spans="1:9" x14ac:dyDescent="0.25">
      <c r="A332" s="3" t="s">
        <v>51</v>
      </c>
      <c r="B332" s="3">
        <v>44316</v>
      </c>
      <c r="C332" s="6">
        <v>3010</v>
      </c>
      <c r="D332" s="2">
        <f>LEN(Table3[[#This Row],[CLID]])</f>
        <v>7</v>
      </c>
      <c r="I332" s="3"/>
    </row>
    <row r="333" spans="1:9" x14ac:dyDescent="0.25">
      <c r="A333" s="3" t="s">
        <v>51</v>
      </c>
      <c r="B333" s="3">
        <v>44286</v>
      </c>
      <c r="C333" s="6">
        <v>3387</v>
      </c>
      <c r="D333" s="2">
        <f>LEN(Table3[[#This Row],[CLID]])</f>
        <v>7</v>
      </c>
      <c r="I333" s="3"/>
    </row>
    <row r="334" spans="1:9" x14ac:dyDescent="0.25">
      <c r="A334" s="3" t="s">
        <v>51</v>
      </c>
      <c r="B334" s="3">
        <v>44255</v>
      </c>
      <c r="C334" s="6">
        <v>2190</v>
      </c>
      <c r="D334" s="2">
        <f>LEN(Table3[[#This Row],[CLID]])</f>
        <v>7</v>
      </c>
      <c r="I334" s="3"/>
    </row>
    <row r="335" spans="1:9" x14ac:dyDescent="0.25">
      <c r="A335" s="3" t="s">
        <v>51</v>
      </c>
      <c r="B335" s="3">
        <v>44227</v>
      </c>
      <c r="C335" s="6">
        <v>2719</v>
      </c>
      <c r="D335" s="2">
        <f>LEN(Table3[[#This Row],[CLID]])</f>
        <v>7</v>
      </c>
      <c r="I335" s="3"/>
    </row>
    <row r="336" spans="1:9" x14ac:dyDescent="0.25">
      <c r="A336" s="3" t="s">
        <v>16</v>
      </c>
      <c r="B336" s="3">
        <v>43861</v>
      </c>
      <c r="C336" s="6">
        <v>484</v>
      </c>
      <c r="D336" s="2">
        <f>LEN(Table3[[#This Row],[CLID]])</f>
        <v>7</v>
      </c>
      <c r="I336" s="3"/>
    </row>
    <row r="337" spans="1:9" x14ac:dyDescent="0.25">
      <c r="A337" s="3" t="s">
        <v>16</v>
      </c>
      <c r="B337" s="3">
        <v>43890</v>
      </c>
      <c r="C337" s="6">
        <v>546</v>
      </c>
      <c r="D337" s="2">
        <f>LEN(Table3[[#This Row],[CLID]])</f>
        <v>7</v>
      </c>
      <c r="I337" s="3"/>
    </row>
    <row r="338" spans="1:9" x14ac:dyDescent="0.25">
      <c r="A338" s="3" t="s">
        <v>16</v>
      </c>
      <c r="B338" s="3">
        <v>43921</v>
      </c>
      <c r="C338" s="6">
        <v>609</v>
      </c>
      <c r="D338" s="2">
        <f>LEN(Table3[[#This Row],[CLID]])</f>
        <v>7</v>
      </c>
      <c r="I338" s="3"/>
    </row>
    <row r="339" spans="1:9" x14ac:dyDescent="0.25">
      <c r="A339" s="3" t="s">
        <v>16</v>
      </c>
      <c r="B339" s="3">
        <v>43951</v>
      </c>
      <c r="C339" s="6">
        <v>727</v>
      </c>
      <c r="D339" s="2">
        <f>LEN(Table3[[#This Row],[CLID]])</f>
        <v>7</v>
      </c>
      <c r="I339" s="3"/>
    </row>
    <row r="340" spans="1:9" x14ac:dyDescent="0.25">
      <c r="A340" s="3" t="s">
        <v>16</v>
      </c>
      <c r="B340" s="3">
        <v>43982</v>
      </c>
      <c r="C340" s="6">
        <v>663</v>
      </c>
      <c r="D340" s="2">
        <f>LEN(Table3[[#This Row],[CLID]])</f>
        <v>7</v>
      </c>
      <c r="I340" s="3"/>
    </row>
    <row r="341" spans="1:9" x14ac:dyDescent="0.25">
      <c r="A341" s="3" t="s">
        <v>16</v>
      </c>
      <c r="B341" s="3">
        <v>44012</v>
      </c>
      <c r="C341" s="6">
        <v>489</v>
      </c>
      <c r="D341" s="2">
        <f>LEN(Table3[[#This Row],[CLID]])</f>
        <v>7</v>
      </c>
      <c r="I341" s="3"/>
    </row>
    <row r="342" spans="1:9" x14ac:dyDescent="0.25">
      <c r="A342" s="3" t="s">
        <v>16</v>
      </c>
      <c r="B342" s="3">
        <v>44043</v>
      </c>
      <c r="C342" s="6">
        <v>422</v>
      </c>
      <c r="D342" s="2">
        <f>LEN(Table3[[#This Row],[CLID]])</f>
        <v>7</v>
      </c>
      <c r="I342" s="3"/>
    </row>
    <row r="343" spans="1:9" x14ac:dyDescent="0.25">
      <c r="A343" s="3" t="s">
        <v>16</v>
      </c>
      <c r="B343" s="3">
        <v>44074</v>
      </c>
      <c r="C343" s="6">
        <v>366</v>
      </c>
      <c r="D343" s="2">
        <f>LEN(Table3[[#This Row],[CLID]])</f>
        <v>7</v>
      </c>
      <c r="I343" s="3"/>
    </row>
    <row r="344" spans="1:9" x14ac:dyDescent="0.25">
      <c r="A344" s="3" t="s">
        <v>16</v>
      </c>
      <c r="B344" s="3">
        <v>44104</v>
      </c>
      <c r="C344" s="6">
        <v>365</v>
      </c>
      <c r="D344" s="2">
        <f>LEN(Table3[[#This Row],[CLID]])</f>
        <v>7</v>
      </c>
      <c r="I344" s="3"/>
    </row>
    <row r="345" spans="1:9" x14ac:dyDescent="0.25">
      <c r="A345" s="3" t="s">
        <v>16</v>
      </c>
      <c r="B345" s="3">
        <v>44135</v>
      </c>
      <c r="C345" s="6">
        <v>428</v>
      </c>
      <c r="D345" s="2">
        <f>LEN(Table3[[#This Row],[CLID]])</f>
        <v>7</v>
      </c>
      <c r="I345" s="3"/>
    </row>
    <row r="346" spans="1:9" x14ac:dyDescent="0.25">
      <c r="A346" s="3" t="s">
        <v>16</v>
      </c>
      <c r="B346" s="3">
        <v>44165</v>
      </c>
      <c r="C346" s="6">
        <v>486</v>
      </c>
      <c r="D346" s="2">
        <f>LEN(Table3[[#This Row],[CLID]])</f>
        <v>7</v>
      </c>
      <c r="I346" s="3"/>
    </row>
    <row r="347" spans="1:9" x14ac:dyDescent="0.25">
      <c r="A347" s="3" t="s">
        <v>16</v>
      </c>
      <c r="B347" s="3">
        <v>44196</v>
      </c>
      <c r="C347" s="6">
        <v>488</v>
      </c>
      <c r="D347" s="2">
        <f>LEN(Table3[[#This Row],[CLID]])</f>
        <v>7</v>
      </c>
      <c r="I347" s="3"/>
    </row>
    <row r="348" spans="1:9" x14ac:dyDescent="0.25">
      <c r="A348" s="3" t="s">
        <v>16</v>
      </c>
      <c r="B348" s="3">
        <v>44227</v>
      </c>
      <c r="C348" s="6">
        <v>483</v>
      </c>
      <c r="D348" s="2">
        <f>LEN(Table3[[#This Row],[CLID]])</f>
        <v>7</v>
      </c>
      <c r="I348" s="3"/>
    </row>
    <row r="349" spans="1:9" x14ac:dyDescent="0.25">
      <c r="A349" s="3" t="s">
        <v>43</v>
      </c>
      <c r="B349" s="3">
        <v>43861</v>
      </c>
      <c r="C349" s="6">
        <v>13597</v>
      </c>
      <c r="D349" s="2">
        <f>LEN(Table3[[#This Row],[CLID]])</f>
        <v>7</v>
      </c>
      <c r="I349" s="3"/>
    </row>
    <row r="350" spans="1:9" x14ac:dyDescent="0.25">
      <c r="A350" s="3" t="s">
        <v>43</v>
      </c>
      <c r="B350" s="3">
        <v>43890</v>
      </c>
      <c r="C350" s="6">
        <v>15298</v>
      </c>
      <c r="D350" s="2">
        <f>LEN(Table3[[#This Row],[CLID]])</f>
        <v>7</v>
      </c>
      <c r="I350" s="3"/>
    </row>
    <row r="351" spans="1:9" x14ac:dyDescent="0.25">
      <c r="A351" s="3" t="s">
        <v>43</v>
      </c>
      <c r="B351" s="3">
        <v>43921</v>
      </c>
      <c r="C351" s="6">
        <v>16992</v>
      </c>
      <c r="D351" s="2">
        <f>LEN(Table3[[#This Row],[CLID]])</f>
        <v>7</v>
      </c>
      <c r="I351" s="3"/>
    </row>
    <row r="352" spans="1:9" x14ac:dyDescent="0.25">
      <c r="A352" s="3" t="s">
        <v>43</v>
      </c>
      <c r="B352" s="3">
        <v>43951</v>
      </c>
      <c r="C352" s="6">
        <v>20394</v>
      </c>
      <c r="D352" s="2">
        <f>LEN(Table3[[#This Row],[CLID]])</f>
        <v>7</v>
      </c>
      <c r="I352" s="3"/>
    </row>
    <row r="353" spans="1:9" x14ac:dyDescent="0.25">
      <c r="A353" s="3" t="s">
        <v>43</v>
      </c>
      <c r="B353" s="3">
        <v>43982</v>
      </c>
      <c r="C353" s="6">
        <v>18695</v>
      </c>
      <c r="D353" s="2">
        <f>LEN(Table3[[#This Row],[CLID]])</f>
        <v>7</v>
      </c>
      <c r="I353" s="3"/>
    </row>
    <row r="354" spans="1:9" x14ac:dyDescent="0.25">
      <c r="A354" s="3" t="s">
        <v>43</v>
      </c>
      <c r="B354" s="3">
        <v>44012</v>
      </c>
      <c r="C354" s="6">
        <v>13597</v>
      </c>
      <c r="D354" s="2">
        <f>LEN(Table3[[#This Row],[CLID]])</f>
        <v>7</v>
      </c>
      <c r="I354" s="3"/>
    </row>
    <row r="355" spans="1:9" x14ac:dyDescent="0.25">
      <c r="A355" s="3" t="s">
        <v>43</v>
      </c>
      <c r="B355" s="3">
        <v>44043</v>
      </c>
      <c r="C355" s="6">
        <v>11899</v>
      </c>
      <c r="D355" s="2">
        <f>LEN(Table3[[#This Row],[CLID]])</f>
        <v>7</v>
      </c>
      <c r="I355" s="3"/>
    </row>
    <row r="356" spans="1:9" x14ac:dyDescent="0.25">
      <c r="A356" s="3" t="s">
        <v>43</v>
      </c>
      <c r="B356" s="3">
        <v>44074</v>
      </c>
      <c r="C356" s="6">
        <v>10197</v>
      </c>
      <c r="D356" s="2">
        <f>LEN(Table3[[#This Row],[CLID]])</f>
        <v>7</v>
      </c>
      <c r="I356" s="3"/>
    </row>
    <row r="357" spans="1:9" x14ac:dyDescent="0.25">
      <c r="A357" s="3" t="s">
        <v>43</v>
      </c>
      <c r="B357" s="3">
        <v>44104</v>
      </c>
      <c r="C357" s="6">
        <v>10196</v>
      </c>
      <c r="D357" s="2">
        <f>LEN(Table3[[#This Row],[CLID]])</f>
        <v>7</v>
      </c>
      <c r="I357" s="3"/>
    </row>
    <row r="358" spans="1:9" x14ac:dyDescent="0.25">
      <c r="A358" s="3" t="s">
        <v>43</v>
      </c>
      <c r="B358" s="3">
        <v>44135</v>
      </c>
      <c r="C358" s="6">
        <v>11895</v>
      </c>
      <c r="D358" s="2">
        <f>LEN(Table3[[#This Row],[CLID]])</f>
        <v>7</v>
      </c>
      <c r="I358" s="3"/>
    </row>
    <row r="359" spans="1:9" x14ac:dyDescent="0.25">
      <c r="A359" s="3" t="s">
        <v>43</v>
      </c>
      <c r="B359" s="3">
        <v>44165</v>
      </c>
      <c r="C359" s="6">
        <v>13596</v>
      </c>
      <c r="D359" s="2">
        <f>LEN(Table3[[#This Row],[CLID]])</f>
        <v>7</v>
      </c>
      <c r="I359" s="3"/>
    </row>
    <row r="360" spans="1:9" x14ac:dyDescent="0.25">
      <c r="A360" s="3" t="s">
        <v>43</v>
      </c>
      <c r="B360" s="3">
        <v>44196</v>
      </c>
      <c r="C360" s="6">
        <v>13595</v>
      </c>
      <c r="D360" s="2">
        <f>LEN(Table3[[#This Row],[CLID]])</f>
        <v>7</v>
      </c>
      <c r="I360" s="3"/>
    </row>
    <row r="361" spans="1:9" x14ac:dyDescent="0.25">
      <c r="A361" s="3" t="s">
        <v>43</v>
      </c>
      <c r="B361" s="3">
        <v>44377</v>
      </c>
      <c r="C361" s="6">
        <v>13732</v>
      </c>
      <c r="D361" s="2">
        <f>LEN(Table3[[#This Row],[CLID]])</f>
        <v>7</v>
      </c>
      <c r="I361" s="3"/>
    </row>
    <row r="362" spans="1:9" x14ac:dyDescent="0.25">
      <c r="A362" s="3" t="s">
        <v>43</v>
      </c>
      <c r="B362" s="3">
        <v>44347</v>
      </c>
      <c r="C362" s="6">
        <v>19253</v>
      </c>
      <c r="D362" s="2">
        <f>LEN(Table3[[#This Row],[CLID]])</f>
        <v>7</v>
      </c>
      <c r="I362" s="3"/>
    </row>
    <row r="363" spans="1:9" x14ac:dyDescent="0.25">
      <c r="A363" s="3" t="s">
        <v>43</v>
      </c>
      <c r="B363" s="3">
        <v>44316</v>
      </c>
      <c r="C363" s="6">
        <v>20185</v>
      </c>
      <c r="D363" s="2">
        <f>LEN(Table3[[#This Row],[CLID]])</f>
        <v>7</v>
      </c>
      <c r="I363" s="3"/>
    </row>
    <row r="364" spans="1:9" x14ac:dyDescent="0.25">
      <c r="A364" s="3" t="s">
        <v>43</v>
      </c>
      <c r="B364" s="3">
        <v>44286</v>
      </c>
      <c r="C364" s="6">
        <v>17502</v>
      </c>
      <c r="D364" s="2">
        <f>LEN(Table3[[#This Row],[CLID]])</f>
        <v>7</v>
      </c>
      <c r="I364" s="3"/>
    </row>
    <row r="365" spans="1:9" x14ac:dyDescent="0.25">
      <c r="A365" s="3" t="s">
        <v>43</v>
      </c>
      <c r="B365" s="3">
        <v>44255</v>
      </c>
      <c r="C365" s="6">
        <v>16057</v>
      </c>
      <c r="D365" s="2">
        <f>LEN(Table3[[#This Row],[CLID]])</f>
        <v>7</v>
      </c>
      <c r="I365" s="3"/>
    </row>
    <row r="366" spans="1:9" x14ac:dyDescent="0.25">
      <c r="A366" s="3" t="s">
        <v>43</v>
      </c>
      <c r="B366" s="3">
        <v>44227</v>
      </c>
      <c r="C366" s="6">
        <v>14276</v>
      </c>
      <c r="D366" s="2">
        <f>LEN(Table3[[#This Row],[CLID]])</f>
        <v>7</v>
      </c>
      <c r="I366" s="3"/>
    </row>
    <row r="367" spans="1:9" x14ac:dyDescent="0.25">
      <c r="A367" s="3" t="s">
        <v>26</v>
      </c>
      <c r="B367" s="3">
        <v>43861</v>
      </c>
      <c r="C367" s="6">
        <v>864</v>
      </c>
      <c r="D367" s="2">
        <f>LEN(Table3[[#This Row],[CLID]])</f>
        <v>7</v>
      </c>
      <c r="I367" s="3"/>
    </row>
    <row r="368" spans="1:9" x14ac:dyDescent="0.25">
      <c r="A368" s="3" t="s">
        <v>26</v>
      </c>
      <c r="B368" s="3">
        <v>43890</v>
      </c>
      <c r="C368" s="6">
        <v>765</v>
      </c>
      <c r="D368" s="2">
        <f>LEN(Table3[[#This Row],[CLID]])</f>
        <v>7</v>
      </c>
      <c r="I368" s="3"/>
    </row>
    <row r="369" spans="1:9" x14ac:dyDescent="0.25">
      <c r="A369" s="3" t="s">
        <v>26</v>
      </c>
      <c r="B369" s="3">
        <v>43921</v>
      </c>
      <c r="C369" s="6">
        <v>1051</v>
      </c>
      <c r="D369" s="2">
        <f>LEN(Table3[[#This Row],[CLID]])</f>
        <v>7</v>
      </c>
      <c r="I369" s="3"/>
    </row>
    <row r="370" spans="1:9" x14ac:dyDescent="0.25">
      <c r="A370" s="3" t="s">
        <v>26</v>
      </c>
      <c r="B370" s="3">
        <v>43951</v>
      </c>
      <c r="C370" s="6">
        <v>1053</v>
      </c>
      <c r="D370" s="2">
        <f>LEN(Table3[[#This Row],[CLID]])</f>
        <v>7</v>
      </c>
      <c r="I370" s="3"/>
    </row>
    <row r="371" spans="1:9" x14ac:dyDescent="0.25">
      <c r="A371" s="3" t="s">
        <v>26</v>
      </c>
      <c r="B371" s="3">
        <v>43982</v>
      </c>
      <c r="C371" s="6">
        <v>1146</v>
      </c>
      <c r="D371" s="2">
        <f>LEN(Table3[[#This Row],[CLID]])</f>
        <v>7</v>
      </c>
      <c r="I371" s="3"/>
    </row>
    <row r="372" spans="1:9" x14ac:dyDescent="0.25">
      <c r="A372" s="3" t="s">
        <v>26</v>
      </c>
      <c r="B372" s="3">
        <v>44012</v>
      </c>
      <c r="C372" s="6">
        <v>674</v>
      </c>
      <c r="D372" s="2">
        <f>LEN(Table3[[#This Row],[CLID]])</f>
        <v>7</v>
      </c>
      <c r="I372" s="3"/>
    </row>
    <row r="373" spans="1:9" x14ac:dyDescent="0.25">
      <c r="A373" s="3" t="s">
        <v>26</v>
      </c>
      <c r="B373" s="3">
        <v>44043</v>
      </c>
      <c r="C373" s="6">
        <v>764</v>
      </c>
      <c r="D373" s="2">
        <f>LEN(Table3[[#This Row],[CLID]])</f>
        <v>7</v>
      </c>
      <c r="I373" s="3"/>
    </row>
    <row r="374" spans="1:9" x14ac:dyDescent="0.25">
      <c r="A374" s="3" t="s">
        <v>26</v>
      </c>
      <c r="B374" s="3">
        <v>44074</v>
      </c>
      <c r="C374" s="6">
        <v>482</v>
      </c>
      <c r="D374" s="2">
        <f>LEN(Table3[[#This Row],[CLID]])</f>
        <v>7</v>
      </c>
      <c r="I374" s="3"/>
    </row>
    <row r="375" spans="1:9" x14ac:dyDescent="0.25">
      <c r="A375" s="3" t="s">
        <v>26</v>
      </c>
      <c r="B375" s="3">
        <v>44104</v>
      </c>
      <c r="C375" s="6">
        <v>673</v>
      </c>
      <c r="D375" s="2">
        <f>LEN(Table3[[#This Row],[CLID]])</f>
        <v>7</v>
      </c>
      <c r="I375" s="3"/>
    </row>
    <row r="376" spans="1:9" x14ac:dyDescent="0.25">
      <c r="A376" s="3" t="s">
        <v>26</v>
      </c>
      <c r="B376" s="3">
        <v>44135</v>
      </c>
      <c r="C376" s="6">
        <v>575</v>
      </c>
      <c r="D376" s="2">
        <f>LEN(Table3[[#This Row],[CLID]])</f>
        <v>7</v>
      </c>
      <c r="I376" s="3"/>
    </row>
    <row r="377" spans="1:9" x14ac:dyDescent="0.25">
      <c r="A377" s="3" t="s">
        <v>26</v>
      </c>
      <c r="B377" s="3">
        <v>44165</v>
      </c>
      <c r="C377" s="6">
        <v>865</v>
      </c>
      <c r="D377" s="2">
        <f>LEN(Table3[[#This Row],[CLID]])</f>
        <v>7</v>
      </c>
      <c r="I377" s="3"/>
    </row>
    <row r="378" spans="1:9" x14ac:dyDescent="0.25">
      <c r="A378" s="3" t="s">
        <v>26</v>
      </c>
      <c r="B378" s="3">
        <v>44196</v>
      </c>
      <c r="C378" s="6">
        <v>674</v>
      </c>
      <c r="D378" s="2">
        <f>LEN(Table3[[#This Row],[CLID]])</f>
        <v>7</v>
      </c>
      <c r="I378" s="3"/>
    </row>
    <row r="379" spans="1:9" x14ac:dyDescent="0.25">
      <c r="A379" s="3" t="s">
        <v>26</v>
      </c>
      <c r="B379" s="3">
        <v>44377</v>
      </c>
      <c r="C379" s="6">
        <v>681</v>
      </c>
      <c r="D379" s="2">
        <f>LEN(Table3[[#This Row],[CLID]])</f>
        <v>7</v>
      </c>
      <c r="I379" s="3"/>
    </row>
    <row r="380" spans="1:9" x14ac:dyDescent="0.25">
      <c r="A380" s="3" t="s">
        <v>26</v>
      </c>
      <c r="B380" s="3">
        <v>44347</v>
      </c>
      <c r="C380" s="6">
        <v>1136</v>
      </c>
      <c r="D380" s="2">
        <f>LEN(Table3[[#This Row],[CLID]])</f>
        <v>7</v>
      </c>
      <c r="I380" s="3"/>
    </row>
    <row r="381" spans="1:9" x14ac:dyDescent="0.25">
      <c r="A381" s="3" t="s">
        <v>26</v>
      </c>
      <c r="B381" s="3">
        <v>44316</v>
      </c>
      <c r="C381" s="6">
        <v>1095</v>
      </c>
      <c r="D381" s="2">
        <f>LEN(Table3[[#This Row],[CLID]])</f>
        <v>7</v>
      </c>
      <c r="I381" s="3"/>
    </row>
    <row r="382" spans="1:9" x14ac:dyDescent="0.25">
      <c r="A382" s="3" t="s">
        <v>26</v>
      </c>
      <c r="B382" s="3">
        <v>44286</v>
      </c>
      <c r="C382" s="6">
        <v>1043</v>
      </c>
      <c r="D382" s="2">
        <f>LEN(Table3[[#This Row],[CLID]])</f>
        <v>7</v>
      </c>
      <c r="I382" s="3"/>
    </row>
    <row r="383" spans="1:9" x14ac:dyDescent="0.25">
      <c r="A383" s="3" t="s">
        <v>26</v>
      </c>
      <c r="B383" s="3">
        <v>44255</v>
      </c>
      <c r="C383" s="6">
        <v>797</v>
      </c>
      <c r="D383" s="2">
        <f>LEN(Table3[[#This Row],[CLID]])</f>
        <v>7</v>
      </c>
      <c r="I383" s="3"/>
    </row>
    <row r="384" spans="1:9" x14ac:dyDescent="0.25">
      <c r="A384" s="3" t="s">
        <v>26</v>
      </c>
      <c r="B384" s="3">
        <v>44227</v>
      </c>
      <c r="C384" s="6">
        <v>859</v>
      </c>
      <c r="D384" s="2">
        <f>LEN(Table3[[#This Row],[CLID]])</f>
        <v>7</v>
      </c>
      <c r="I384" s="3"/>
    </row>
    <row r="385" spans="1:9" x14ac:dyDescent="0.25">
      <c r="A385" s="3" t="s">
        <v>34</v>
      </c>
      <c r="B385" s="3">
        <v>44165</v>
      </c>
      <c r="C385" s="6">
        <v>916</v>
      </c>
      <c r="D385" s="2">
        <f>LEN(Table3[[#This Row],[CLID]])</f>
        <v>7</v>
      </c>
      <c r="I385" s="3"/>
    </row>
    <row r="386" spans="1:9" x14ac:dyDescent="0.25">
      <c r="A386" s="3" t="s">
        <v>34</v>
      </c>
      <c r="B386" s="3">
        <v>44196</v>
      </c>
      <c r="C386" s="6">
        <v>1176</v>
      </c>
      <c r="D386" s="2">
        <f>LEN(Table3[[#This Row],[CLID]])</f>
        <v>7</v>
      </c>
      <c r="I386" s="3"/>
    </row>
    <row r="387" spans="1:9" x14ac:dyDescent="0.25">
      <c r="A387" s="3" t="s">
        <v>34</v>
      </c>
      <c r="B387" s="3">
        <v>44377</v>
      </c>
      <c r="C387" s="6">
        <v>1193</v>
      </c>
      <c r="D387" s="2">
        <f>LEN(Table3[[#This Row],[CLID]])</f>
        <v>7</v>
      </c>
      <c r="I387" s="3"/>
    </row>
    <row r="388" spans="1:9" x14ac:dyDescent="0.25">
      <c r="A388" s="3" t="s">
        <v>34</v>
      </c>
      <c r="B388" s="3">
        <v>44347</v>
      </c>
      <c r="C388" s="6">
        <v>1360</v>
      </c>
      <c r="D388" s="2">
        <f>LEN(Table3[[#This Row],[CLID]])</f>
        <v>7</v>
      </c>
      <c r="I388" s="3"/>
    </row>
    <row r="389" spans="1:9" x14ac:dyDescent="0.25">
      <c r="A389" s="3" t="s">
        <v>34</v>
      </c>
      <c r="B389" s="3">
        <v>44316</v>
      </c>
      <c r="C389" s="6">
        <v>1768</v>
      </c>
      <c r="D389" s="2">
        <f>LEN(Table3[[#This Row],[CLID]])</f>
        <v>7</v>
      </c>
      <c r="I389" s="3"/>
    </row>
    <row r="390" spans="1:9" x14ac:dyDescent="0.25">
      <c r="A390" s="3" t="s">
        <v>34</v>
      </c>
      <c r="B390" s="3">
        <v>44286</v>
      </c>
      <c r="C390" s="6">
        <v>1192</v>
      </c>
      <c r="D390" s="2">
        <f>LEN(Table3[[#This Row],[CLID]])</f>
        <v>7</v>
      </c>
      <c r="I390" s="3"/>
    </row>
    <row r="391" spans="1:9" x14ac:dyDescent="0.25">
      <c r="A391" s="3" t="s">
        <v>34</v>
      </c>
      <c r="B391" s="3">
        <v>44255</v>
      </c>
      <c r="C391" s="6">
        <v>1332</v>
      </c>
      <c r="D391" s="2">
        <f>LEN(Table3[[#This Row],[CLID]])</f>
        <v>7</v>
      </c>
      <c r="I391" s="3"/>
    </row>
    <row r="392" spans="1:9" x14ac:dyDescent="0.25">
      <c r="A392" s="3" t="s">
        <v>34</v>
      </c>
      <c r="B392" s="3">
        <v>44227</v>
      </c>
      <c r="C392" s="6">
        <v>941</v>
      </c>
      <c r="D392" s="2">
        <f>LEN(Table3[[#This Row],[CLID]])</f>
        <v>7</v>
      </c>
      <c r="I392" s="3"/>
    </row>
    <row r="393" spans="1:9" x14ac:dyDescent="0.25">
      <c r="A393" s="3" t="s">
        <v>38</v>
      </c>
      <c r="B393" s="3">
        <v>43861</v>
      </c>
      <c r="C393" s="6">
        <v>1131</v>
      </c>
      <c r="D393" s="2">
        <f>LEN(Table3[[#This Row],[CLID]])</f>
        <v>7</v>
      </c>
      <c r="I393" s="3"/>
    </row>
    <row r="394" spans="1:9" x14ac:dyDescent="0.25">
      <c r="A394" s="3" t="s">
        <v>38</v>
      </c>
      <c r="B394" s="3">
        <v>43890</v>
      </c>
      <c r="C394" s="6">
        <v>1268</v>
      </c>
      <c r="D394" s="2">
        <f>LEN(Table3[[#This Row],[CLID]])</f>
        <v>7</v>
      </c>
      <c r="I394" s="3"/>
    </row>
    <row r="395" spans="1:9" x14ac:dyDescent="0.25">
      <c r="A395" s="3" t="s">
        <v>38</v>
      </c>
      <c r="B395" s="3">
        <v>43921</v>
      </c>
      <c r="C395" s="6">
        <v>1410</v>
      </c>
      <c r="D395" s="2">
        <f>LEN(Table3[[#This Row],[CLID]])</f>
        <v>7</v>
      </c>
      <c r="I395" s="3"/>
    </row>
    <row r="396" spans="1:9" x14ac:dyDescent="0.25">
      <c r="A396" s="3" t="s">
        <v>38</v>
      </c>
      <c r="B396" s="3">
        <v>43951</v>
      </c>
      <c r="C396" s="6">
        <v>1688</v>
      </c>
      <c r="D396" s="2">
        <f>LEN(Table3[[#This Row],[CLID]])</f>
        <v>7</v>
      </c>
      <c r="I396" s="3"/>
    </row>
    <row r="397" spans="1:9" x14ac:dyDescent="0.25">
      <c r="A397" s="3" t="s">
        <v>38</v>
      </c>
      <c r="B397" s="3">
        <v>43982</v>
      </c>
      <c r="C397" s="6">
        <v>1548</v>
      </c>
      <c r="D397" s="2">
        <f>LEN(Table3[[#This Row],[CLID]])</f>
        <v>7</v>
      </c>
      <c r="I397" s="3"/>
    </row>
    <row r="398" spans="1:9" x14ac:dyDescent="0.25">
      <c r="A398" s="3" t="s">
        <v>38</v>
      </c>
      <c r="B398" s="3">
        <v>44012</v>
      </c>
      <c r="C398" s="6">
        <v>1127</v>
      </c>
      <c r="D398" s="2">
        <f>LEN(Table3[[#This Row],[CLID]])</f>
        <v>7</v>
      </c>
      <c r="I398" s="3"/>
    </row>
    <row r="399" spans="1:9" x14ac:dyDescent="0.25">
      <c r="A399" s="3" t="s">
        <v>38</v>
      </c>
      <c r="B399" s="3">
        <v>44043</v>
      </c>
      <c r="C399" s="6">
        <v>984</v>
      </c>
      <c r="D399" s="2">
        <f>LEN(Table3[[#This Row],[CLID]])</f>
        <v>7</v>
      </c>
      <c r="I399" s="3"/>
    </row>
    <row r="400" spans="1:9" x14ac:dyDescent="0.25">
      <c r="A400" s="3" t="s">
        <v>38</v>
      </c>
      <c r="B400" s="3">
        <v>44074</v>
      </c>
      <c r="C400" s="6">
        <v>850</v>
      </c>
      <c r="D400" s="2">
        <f>LEN(Table3[[#This Row],[CLID]])</f>
        <v>7</v>
      </c>
      <c r="I400" s="3"/>
    </row>
    <row r="401" spans="1:9" x14ac:dyDescent="0.25">
      <c r="A401" s="3" t="s">
        <v>38</v>
      </c>
      <c r="B401" s="3">
        <v>44104</v>
      </c>
      <c r="C401" s="6">
        <v>850</v>
      </c>
      <c r="D401" s="2">
        <f>LEN(Table3[[#This Row],[CLID]])</f>
        <v>7</v>
      </c>
      <c r="I401" s="3"/>
    </row>
    <row r="402" spans="1:9" x14ac:dyDescent="0.25">
      <c r="A402" s="3" t="s">
        <v>38</v>
      </c>
      <c r="B402" s="3">
        <v>44135</v>
      </c>
      <c r="C402" s="6">
        <v>986</v>
      </c>
      <c r="D402" s="2">
        <f>LEN(Table3[[#This Row],[CLID]])</f>
        <v>7</v>
      </c>
      <c r="I402" s="3"/>
    </row>
    <row r="403" spans="1:9" x14ac:dyDescent="0.25">
      <c r="A403" s="3" t="s">
        <v>38</v>
      </c>
      <c r="B403" s="3">
        <v>44165</v>
      </c>
      <c r="C403" s="6">
        <v>1129</v>
      </c>
      <c r="D403" s="2">
        <f>LEN(Table3[[#This Row],[CLID]])</f>
        <v>7</v>
      </c>
      <c r="I403" s="3"/>
    </row>
    <row r="404" spans="1:9" x14ac:dyDescent="0.25">
      <c r="A404" s="3" t="s">
        <v>38</v>
      </c>
      <c r="B404" s="3">
        <v>44196</v>
      </c>
      <c r="C404" s="6">
        <v>1131</v>
      </c>
      <c r="D404" s="2">
        <f>LEN(Table3[[#This Row],[CLID]])</f>
        <v>7</v>
      </c>
      <c r="I404" s="3"/>
    </row>
    <row r="405" spans="1:9" x14ac:dyDescent="0.25">
      <c r="A405" s="3" t="s">
        <v>38</v>
      </c>
      <c r="B405" s="3">
        <v>44377</v>
      </c>
      <c r="C405" s="6">
        <v>1119</v>
      </c>
      <c r="D405" s="2">
        <f>LEN(Table3[[#This Row],[CLID]])</f>
        <v>7</v>
      </c>
      <c r="I405" s="3"/>
    </row>
    <row r="406" spans="1:9" x14ac:dyDescent="0.25">
      <c r="A406" s="3" t="s">
        <v>38</v>
      </c>
      <c r="B406" s="3">
        <v>44347</v>
      </c>
      <c r="C406" s="6">
        <v>1598</v>
      </c>
      <c r="D406" s="2">
        <f>LEN(Table3[[#This Row],[CLID]])</f>
        <v>7</v>
      </c>
      <c r="I406" s="3"/>
    </row>
    <row r="407" spans="1:9" x14ac:dyDescent="0.25">
      <c r="A407" s="3" t="s">
        <v>38</v>
      </c>
      <c r="B407" s="3">
        <v>44316</v>
      </c>
      <c r="C407" s="6">
        <v>1707</v>
      </c>
      <c r="D407" s="2">
        <f>LEN(Table3[[#This Row],[CLID]])</f>
        <v>7</v>
      </c>
      <c r="I407" s="3"/>
    </row>
    <row r="408" spans="1:9" x14ac:dyDescent="0.25">
      <c r="A408" s="3" t="s">
        <v>38</v>
      </c>
      <c r="B408" s="3">
        <v>44286</v>
      </c>
      <c r="C408" s="6">
        <v>1404</v>
      </c>
      <c r="D408" s="2">
        <f>LEN(Table3[[#This Row],[CLID]])</f>
        <v>7</v>
      </c>
      <c r="I408" s="3"/>
    </row>
    <row r="409" spans="1:9" x14ac:dyDescent="0.25">
      <c r="A409" s="3" t="s">
        <v>38</v>
      </c>
      <c r="B409" s="3">
        <v>44255</v>
      </c>
      <c r="C409" s="6">
        <v>1252</v>
      </c>
      <c r="D409" s="2">
        <f>LEN(Table3[[#This Row],[CLID]])</f>
        <v>7</v>
      </c>
      <c r="I409" s="3"/>
    </row>
    <row r="410" spans="1:9" x14ac:dyDescent="0.25">
      <c r="A410" s="3" t="s">
        <v>38</v>
      </c>
      <c r="B410" s="3">
        <v>44227</v>
      </c>
      <c r="C410" s="6">
        <v>1119</v>
      </c>
      <c r="D410" s="2">
        <f>LEN(Table3[[#This Row],[CLID]])</f>
        <v>7</v>
      </c>
      <c r="I410" s="3"/>
    </row>
    <row r="411" spans="1:9" x14ac:dyDescent="0.25">
      <c r="A411" s="3" t="s">
        <v>13</v>
      </c>
      <c r="B411" s="3">
        <v>43861</v>
      </c>
      <c r="C411" s="6">
        <v>318</v>
      </c>
      <c r="D411" s="2">
        <f>LEN(Table3[[#This Row],[CLID]])</f>
        <v>7</v>
      </c>
      <c r="I411" s="3"/>
    </row>
    <row r="412" spans="1:9" x14ac:dyDescent="0.25">
      <c r="A412" s="3" t="s">
        <v>13</v>
      </c>
      <c r="B412" s="3">
        <v>43890</v>
      </c>
      <c r="C412" s="6">
        <v>453</v>
      </c>
      <c r="D412" s="2">
        <f>LEN(Table3[[#This Row],[CLID]])</f>
        <v>7</v>
      </c>
      <c r="I412" s="3"/>
    </row>
    <row r="413" spans="1:9" x14ac:dyDescent="0.25">
      <c r="A413" s="3" t="s">
        <v>13</v>
      </c>
      <c r="B413" s="3">
        <v>43921</v>
      </c>
      <c r="C413" s="6">
        <v>411</v>
      </c>
      <c r="D413" s="2">
        <f>LEN(Table3[[#This Row],[CLID]])</f>
        <v>7</v>
      </c>
      <c r="I413" s="3"/>
    </row>
    <row r="414" spans="1:9" x14ac:dyDescent="0.25">
      <c r="A414" s="3" t="s">
        <v>13</v>
      </c>
      <c r="B414" s="3">
        <v>43951</v>
      </c>
      <c r="C414" s="6">
        <v>588</v>
      </c>
      <c r="D414" s="2">
        <f>LEN(Table3[[#This Row],[CLID]])</f>
        <v>7</v>
      </c>
      <c r="I414" s="3"/>
    </row>
    <row r="415" spans="1:9" x14ac:dyDescent="0.25">
      <c r="A415" s="3" t="s">
        <v>13</v>
      </c>
      <c r="B415" s="3">
        <v>43982</v>
      </c>
      <c r="C415" s="6">
        <v>457</v>
      </c>
      <c r="D415" s="2">
        <f>LEN(Table3[[#This Row],[CLID]])</f>
        <v>7</v>
      </c>
      <c r="I415" s="3"/>
    </row>
    <row r="416" spans="1:9" x14ac:dyDescent="0.25">
      <c r="A416" s="3" t="s">
        <v>13</v>
      </c>
      <c r="B416" s="3">
        <v>44012</v>
      </c>
      <c r="C416" s="6">
        <v>410</v>
      </c>
      <c r="D416" s="2">
        <f>LEN(Table3[[#This Row],[CLID]])</f>
        <v>7</v>
      </c>
      <c r="I416" s="3"/>
    </row>
    <row r="417" spans="1:9" x14ac:dyDescent="0.25">
      <c r="A417" s="3" t="s">
        <v>13</v>
      </c>
      <c r="B417" s="3">
        <v>44043</v>
      </c>
      <c r="C417" s="6">
        <v>273</v>
      </c>
      <c r="D417" s="2">
        <f>LEN(Table3[[#This Row],[CLID]])</f>
        <v>7</v>
      </c>
      <c r="I417" s="3"/>
    </row>
    <row r="418" spans="1:9" x14ac:dyDescent="0.25">
      <c r="A418" s="3" t="s">
        <v>13</v>
      </c>
      <c r="B418" s="3">
        <v>44074</v>
      </c>
      <c r="C418" s="6">
        <v>317</v>
      </c>
      <c r="D418" s="2">
        <f>LEN(Table3[[#This Row],[CLID]])</f>
        <v>7</v>
      </c>
      <c r="I418" s="3"/>
    </row>
    <row r="419" spans="1:9" x14ac:dyDescent="0.25">
      <c r="A419" s="3" t="s">
        <v>13</v>
      </c>
      <c r="B419" s="3">
        <v>44104</v>
      </c>
      <c r="C419" s="6">
        <v>233</v>
      </c>
      <c r="D419" s="2">
        <f>LEN(Table3[[#This Row],[CLID]])</f>
        <v>7</v>
      </c>
      <c r="I419" s="3"/>
    </row>
    <row r="420" spans="1:9" x14ac:dyDescent="0.25">
      <c r="A420" s="3" t="s">
        <v>13</v>
      </c>
      <c r="B420" s="3">
        <v>44135</v>
      </c>
      <c r="C420" s="6">
        <v>367</v>
      </c>
      <c r="D420" s="2">
        <f>LEN(Table3[[#This Row],[CLID]])</f>
        <v>7</v>
      </c>
      <c r="I420" s="3"/>
    </row>
    <row r="421" spans="1:9" x14ac:dyDescent="0.25">
      <c r="A421" s="3" t="s">
        <v>13</v>
      </c>
      <c r="B421" s="3">
        <v>44165</v>
      </c>
      <c r="C421" s="6">
        <v>322</v>
      </c>
      <c r="D421" s="2">
        <f>LEN(Table3[[#This Row],[CLID]])</f>
        <v>7</v>
      </c>
      <c r="I421" s="3"/>
    </row>
    <row r="422" spans="1:9" x14ac:dyDescent="0.25">
      <c r="A422" s="3" t="s">
        <v>13</v>
      </c>
      <c r="B422" s="3">
        <v>44196</v>
      </c>
      <c r="C422" s="6">
        <v>407</v>
      </c>
      <c r="D422" s="2">
        <f>LEN(Table3[[#This Row],[CLID]])</f>
        <v>7</v>
      </c>
      <c r="I422" s="3"/>
    </row>
    <row r="423" spans="1:9" x14ac:dyDescent="0.25">
      <c r="A423" s="3" t="s">
        <v>13</v>
      </c>
      <c r="B423" s="3">
        <v>44377</v>
      </c>
      <c r="C423" s="6">
        <v>409</v>
      </c>
      <c r="D423" s="2">
        <f>LEN(Table3[[#This Row],[CLID]])</f>
        <v>7</v>
      </c>
      <c r="I423" s="3"/>
    </row>
    <row r="424" spans="1:9" x14ac:dyDescent="0.25">
      <c r="A424" s="3" t="s">
        <v>13</v>
      </c>
      <c r="B424" s="3">
        <v>44347</v>
      </c>
      <c r="C424" s="6">
        <v>459</v>
      </c>
      <c r="D424" s="2">
        <f>LEN(Table3[[#This Row],[CLID]])</f>
        <v>7</v>
      </c>
      <c r="I424" s="3"/>
    </row>
    <row r="425" spans="1:9" x14ac:dyDescent="0.25">
      <c r="A425" s="3" t="s">
        <v>13</v>
      </c>
      <c r="B425" s="3">
        <v>44316</v>
      </c>
      <c r="C425" s="6">
        <v>591</v>
      </c>
      <c r="D425" s="2">
        <f>LEN(Table3[[#This Row],[CLID]])</f>
        <v>7</v>
      </c>
      <c r="I425" s="3"/>
    </row>
    <row r="426" spans="1:9" x14ac:dyDescent="0.25">
      <c r="A426" s="3" t="s">
        <v>13</v>
      </c>
      <c r="B426" s="3">
        <v>44286</v>
      </c>
      <c r="C426" s="6">
        <v>421</v>
      </c>
      <c r="D426" s="2">
        <f>LEN(Table3[[#This Row],[CLID]])</f>
        <v>7</v>
      </c>
      <c r="I426" s="3"/>
    </row>
    <row r="427" spans="1:9" x14ac:dyDescent="0.25">
      <c r="A427" s="3" t="s">
        <v>13</v>
      </c>
      <c r="B427" s="3">
        <v>44255</v>
      </c>
      <c r="C427" s="6">
        <v>456</v>
      </c>
      <c r="D427" s="2">
        <f>LEN(Table3[[#This Row],[CLID]])</f>
        <v>7</v>
      </c>
      <c r="I427" s="3"/>
    </row>
    <row r="428" spans="1:9" x14ac:dyDescent="0.25">
      <c r="A428" s="3" t="s">
        <v>13</v>
      </c>
      <c r="B428" s="3">
        <v>44227</v>
      </c>
      <c r="C428" s="6">
        <v>316</v>
      </c>
      <c r="D428" s="2">
        <f>LEN(Table3[[#This Row],[CLID]])</f>
        <v>7</v>
      </c>
      <c r="I428" s="3"/>
    </row>
    <row r="429" spans="1:9" x14ac:dyDescent="0.25">
      <c r="A429" s="3" t="s">
        <v>48</v>
      </c>
      <c r="B429" s="3">
        <v>43861</v>
      </c>
      <c r="C429" s="6">
        <v>1488</v>
      </c>
      <c r="D429" s="2">
        <f>LEN(Table3[[#This Row],[CLID]])</f>
        <v>7</v>
      </c>
      <c r="I429" s="3"/>
    </row>
    <row r="430" spans="1:9" x14ac:dyDescent="0.25">
      <c r="A430" s="3" t="s">
        <v>48</v>
      </c>
      <c r="B430" s="3">
        <v>43890</v>
      </c>
      <c r="C430" s="6">
        <v>1674</v>
      </c>
      <c r="D430" s="2">
        <f>LEN(Table3[[#This Row],[CLID]])</f>
        <v>7</v>
      </c>
      <c r="I430" s="3"/>
    </row>
    <row r="431" spans="1:9" x14ac:dyDescent="0.25">
      <c r="A431" s="3" t="s">
        <v>48</v>
      </c>
      <c r="B431" s="3">
        <v>43921</v>
      </c>
      <c r="C431" s="6">
        <v>1862</v>
      </c>
      <c r="D431" s="2">
        <f>LEN(Table3[[#This Row],[CLID]])</f>
        <v>7</v>
      </c>
      <c r="I431" s="3"/>
    </row>
    <row r="432" spans="1:9" x14ac:dyDescent="0.25">
      <c r="A432" s="3" t="s">
        <v>48</v>
      </c>
      <c r="B432" s="3">
        <v>43951</v>
      </c>
      <c r="C432" s="6">
        <v>2231</v>
      </c>
      <c r="D432" s="2">
        <f>LEN(Table3[[#This Row],[CLID]])</f>
        <v>7</v>
      </c>
      <c r="I432" s="3"/>
    </row>
    <row r="433" spans="1:9" x14ac:dyDescent="0.25">
      <c r="A433" s="3" t="s">
        <v>48</v>
      </c>
      <c r="B433" s="3">
        <v>43982</v>
      </c>
      <c r="C433" s="6">
        <v>2049</v>
      </c>
      <c r="D433" s="2">
        <f>LEN(Table3[[#This Row],[CLID]])</f>
        <v>7</v>
      </c>
      <c r="I433" s="3"/>
    </row>
    <row r="434" spans="1:9" x14ac:dyDescent="0.25">
      <c r="A434" s="3" t="s">
        <v>48</v>
      </c>
      <c r="B434" s="3">
        <v>44012</v>
      </c>
      <c r="C434" s="6">
        <v>1489</v>
      </c>
      <c r="D434" s="2">
        <f>LEN(Table3[[#This Row],[CLID]])</f>
        <v>7</v>
      </c>
      <c r="I434" s="3"/>
    </row>
    <row r="435" spans="1:9" x14ac:dyDescent="0.25">
      <c r="A435" s="3" t="s">
        <v>48</v>
      </c>
      <c r="B435" s="3">
        <v>44043</v>
      </c>
      <c r="C435" s="6">
        <v>1301</v>
      </c>
      <c r="D435" s="2">
        <f>LEN(Table3[[#This Row],[CLID]])</f>
        <v>7</v>
      </c>
      <c r="I435" s="3"/>
    </row>
    <row r="436" spans="1:9" x14ac:dyDescent="0.25">
      <c r="A436" s="3" t="s">
        <v>48</v>
      </c>
      <c r="B436" s="3">
        <v>44074</v>
      </c>
      <c r="C436" s="6">
        <v>1118</v>
      </c>
      <c r="D436" s="2">
        <f>LEN(Table3[[#This Row],[CLID]])</f>
        <v>7</v>
      </c>
      <c r="I436" s="3"/>
    </row>
    <row r="437" spans="1:9" x14ac:dyDescent="0.25">
      <c r="A437" s="3" t="s">
        <v>48</v>
      </c>
      <c r="B437" s="3">
        <v>44104</v>
      </c>
      <c r="C437" s="6">
        <v>1117</v>
      </c>
      <c r="D437" s="2">
        <f>LEN(Table3[[#This Row],[CLID]])</f>
        <v>7</v>
      </c>
      <c r="I437" s="3"/>
    </row>
    <row r="438" spans="1:9" x14ac:dyDescent="0.25">
      <c r="A438" s="3" t="s">
        <v>48</v>
      </c>
      <c r="B438" s="3">
        <v>44135</v>
      </c>
      <c r="C438" s="6">
        <v>1301</v>
      </c>
      <c r="D438" s="2">
        <f>LEN(Table3[[#This Row],[CLID]])</f>
        <v>7</v>
      </c>
      <c r="I438" s="3"/>
    </row>
    <row r="439" spans="1:9" x14ac:dyDescent="0.25">
      <c r="A439" s="3" t="s">
        <v>48</v>
      </c>
      <c r="B439" s="3">
        <v>44165</v>
      </c>
      <c r="C439" s="6">
        <v>1488</v>
      </c>
      <c r="D439" s="2">
        <f>LEN(Table3[[#This Row],[CLID]])</f>
        <v>7</v>
      </c>
      <c r="I439" s="3"/>
    </row>
    <row r="440" spans="1:9" x14ac:dyDescent="0.25">
      <c r="A440" s="3" t="s">
        <v>48</v>
      </c>
      <c r="B440" s="3">
        <v>44196</v>
      </c>
      <c r="C440" s="6">
        <v>1489</v>
      </c>
      <c r="D440" s="2">
        <f>LEN(Table3[[#This Row],[CLID]])</f>
        <v>7</v>
      </c>
      <c r="I440" s="3"/>
    </row>
    <row r="441" spans="1:9" x14ac:dyDescent="0.25">
      <c r="A441" s="3" t="s">
        <v>48</v>
      </c>
      <c r="B441" s="3">
        <v>44377</v>
      </c>
      <c r="C441" s="6">
        <v>1551</v>
      </c>
      <c r="D441" s="2">
        <f>LEN(Table3[[#This Row],[CLID]])</f>
        <v>7</v>
      </c>
      <c r="I441" s="3"/>
    </row>
    <row r="442" spans="1:9" x14ac:dyDescent="0.25">
      <c r="A442" s="3" t="s">
        <v>48</v>
      </c>
      <c r="B442" s="3">
        <v>44347</v>
      </c>
      <c r="C442" s="6">
        <v>2067</v>
      </c>
      <c r="D442" s="2">
        <f>LEN(Table3[[#This Row],[CLID]])</f>
        <v>7</v>
      </c>
      <c r="I442" s="3"/>
    </row>
    <row r="443" spans="1:9" x14ac:dyDescent="0.25">
      <c r="A443" s="3" t="s">
        <v>48</v>
      </c>
      <c r="B443" s="3">
        <v>44316</v>
      </c>
      <c r="C443" s="6">
        <v>2277</v>
      </c>
      <c r="D443" s="2">
        <f>LEN(Table3[[#This Row],[CLID]])</f>
        <v>7</v>
      </c>
      <c r="I443" s="3"/>
    </row>
    <row r="444" spans="1:9" x14ac:dyDescent="0.25">
      <c r="A444" s="3" t="s">
        <v>48</v>
      </c>
      <c r="B444" s="3">
        <v>44286</v>
      </c>
      <c r="C444" s="6">
        <v>1854</v>
      </c>
      <c r="D444" s="2">
        <f>LEN(Table3[[#This Row],[CLID]])</f>
        <v>7</v>
      </c>
      <c r="I444" s="3"/>
    </row>
    <row r="445" spans="1:9" x14ac:dyDescent="0.25">
      <c r="A445" s="3" t="s">
        <v>48</v>
      </c>
      <c r="B445" s="3">
        <v>44255</v>
      </c>
      <c r="C445" s="6">
        <v>1665</v>
      </c>
      <c r="D445" s="2">
        <f>LEN(Table3[[#This Row],[CLID]])</f>
        <v>7</v>
      </c>
      <c r="I445" s="3"/>
    </row>
    <row r="446" spans="1:9" x14ac:dyDescent="0.25">
      <c r="A446" s="3" t="s">
        <v>48</v>
      </c>
      <c r="B446" s="3">
        <v>44227</v>
      </c>
      <c r="C446" s="6">
        <v>1516</v>
      </c>
      <c r="D446" s="2">
        <f>LEN(Table3[[#This Row],[CLID]])</f>
        <v>7</v>
      </c>
      <c r="I446" s="3"/>
    </row>
    <row r="447" spans="1:9" x14ac:dyDescent="0.25">
      <c r="A447" s="3" t="s">
        <v>24</v>
      </c>
      <c r="B447" s="3">
        <v>43861</v>
      </c>
      <c r="C447" s="6">
        <v>644</v>
      </c>
      <c r="D447" s="2">
        <f>LEN(Table3[[#This Row],[CLID]])</f>
        <v>7</v>
      </c>
      <c r="I447" s="3"/>
    </row>
    <row r="448" spans="1:9" x14ac:dyDescent="0.25">
      <c r="A448" s="3" t="s">
        <v>24</v>
      </c>
      <c r="B448" s="3">
        <v>43890</v>
      </c>
      <c r="C448" s="6">
        <v>814</v>
      </c>
      <c r="D448" s="2">
        <f>LEN(Table3[[#This Row],[CLID]])</f>
        <v>7</v>
      </c>
      <c r="I448" s="3"/>
    </row>
    <row r="449" spans="1:9" x14ac:dyDescent="0.25">
      <c r="A449" s="3" t="s">
        <v>24</v>
      </c>
      <c r="B449" s="3">
        <v>43921</v>
      </c>
      <c r="C449" s="6">
        <v>814</v>
      </c>
      <c r="D449" s="2">
        <f>LEN(Table3[[#This Row],[CLID]])</f>
        <v>7</v>
      </c>
      <c r="I449" s="3"/>
    </row>
    <row r="450" spans="1:9" x14ac:dyDescent="0.25">
      <c r="A450" s="3" t="s">
        <v>24</v>
      </c>
      <c r="B450" s="3">
        <v>43951</v>
      </c>
      <c r="C450" s="6">
        <v>1068</v>
      </c>
      <c r="D450" s="2">
        <f>LEN(Table3[[#This Row],[CLID]])</f>
        <v>7</v>
      </c>
      <c r="I450" s="3"/>
    </row>
    <row r="451" spans="1:9" x14ac:dyDescent="0.25">
      <c r="A451" s="3" t="s">
        <v>24</v>
      </c>
      <c r="B451" s="3">
        <v>43982</v>
      </c>
      <c r="C451" s="6">
        <v>899</v>
      </c>
      <c r="D451" s="2">
        <f>LEN(Table3[[#This Row],[CLID]])</f>
        <v>7</v>
      </c>
      <c r="I451" s="3"/>
    </row>
    <row r="452" spans="1:9" x14ac:dyDescent="0.25">
      <c r="A452" s="3" t="s">
        <v>24</v>
      </c>
      <c r="B452" s="3">
        <v>44012</v>
      </c>
      <c r="C452" s="6">
        <v>732</v>
      </c>
      <c r="D452" s="2">
        <f>LEN(Table3[[#This Row],[CLID]])</f>
        <v>7</v>
      </c>
      <c r="I452" s="3"/>
    </row>
    <row r="453" spans="1:9" x14ac:dyDescent="0.25">
      <c r="A453" s="3" t="s">
        <v>24</v>
      </c>
      <c r="B453" s="3">
        <v>44043</v>
      </c>
      <c r="C453" s="6">
        <v>560</v>
      </c>
      <c r="D453" s="2">
        <f>LEN(Table3[[#This Row],[CLID]])</f>
        <v>7</v>
      </c>
      <c r="I453" s="3"/>
    </row>
    <row r="454" spans="1:9" x14ac:dyDescent="0.25">
      <c r="A454" s="3" t="s">
        <v>24</v>
      </c>
      <c r="B454" s="3">
        <v>44074</v>
      </c>
      <c r="C454" s="6">
        <v>557</v>
      </c>
      <c r="D454" s="2">
        <f>LEN(Table3[[#This Row],[CLID]])</f>
        <v>7</v>
      </c>
      <c r="I454" s="3"/>
    </row>
    <row r="455" spans="1:9" x14ac:dyDescent="0.25">
      <c r="A455" s="3" t="s">
        <v>24</v>
      </c>
      <c r="B455" s="3">
        <v>44104</v>
      </c>
      <c r="C455" s="6">
        <v>473</v>
      </c>
      <c r="D455" s="2">
        <f>LEN(Table3[[#This Row],[CLID]])</f>
        <v>7</v>
      </c>
      <c r="I455" s="3"/>
    </row>
    <row r="456" spans="1:9" x14ac:dyDescent="0.25">
      <c r="A456" s="3" t="s">
        <v>24</v>
      </c>
      <c r="B456" s="3">
        <v>44135</v>
      </c>
      <c r="C456" s="6">
        <v>645</v>
      </c>
      <c r="D456" s="2">
        <f>LEN(Table3[[#This Row],[CLID]])</f>
        <v>7</v>
      </c>
      <c r="I456" s="3"/>
    </row>
    <row r="457" spans="1:9" x14ac:dyDescent="0.25">
      <c r="A457" s="3" t="s">
        <v>24</v>
      </c>
      <c r="B457" s="3">
        <v>44165</v>
      </c>
      <c r="C457" s="6">
        <v>643</v>
      </c>
      <c r="D457" s="2">
        <f>LEN(Table3[[#This Row],[CLID]])</f>
        <v>7</v>
      </c>
      <c r="I457" s="3"/>
    </row>
    <row r="458" spans="1:9" x14ac:dyDescent="0.25">
      <c r="A458" s="3" t="s">
        <v>24</v>
      </c>
      <c r="B458" s="3">
        <v>44196</v>
      </c>
      <c r="C458" s="6">
        <v>726</v>
      </c>
      <c r="D458" s="2">
        <f>LEN(Table3[[#This Row],[CLID]])</f>
        <v>7</v>
      </c>
      <c r="I458" s="3"/>
    </row>
    <row r="459" spans="1:9" x14ac:dyDescent="0.25">
      <c r="A459" s="3" t="s">
        <v>24</v>
      </c>
      <c r="B459" s="3">
        <v>44377</v>
      </c>
      <c r="C459" s="6">
        <v>755</v>
      </c>
      <c r="D459" s="2">
        <f>LEN(Table3[[#This Row],[CLID]])</f>
        <v>7</v>
      </c>
      <c r="I459" s="3"/>
    </row>
    <row r="460" spans="1:9" x14ac:dyDescent="0.25">
      <c r="A460" s="3" t="s">
        <v>24</v>
      </c>
      <c r="B460" s="3">
        <v>44347</v>
      </c>
      <c r="C460" s="6">
        <v>892</v>
      </c>
      <c r="D460" s="2">
        <f>LEN(Table3[[#This Row],[CLID]])</f>
        <v>7</v>
      </c>
      <c r="I460" s="3"/>
    </row>
    <row r="461" spans="1:9" x14ac:dyDescent="0.25">
      <c r="A461" s="3" t="s">
        <v>24</v>
      </c>
      <c r="B461" s="3">
        <v>44316</v>
      </c>
      <c r="C461" s="6">
        <v>1125</v>
      </c>
      <c r="D461" s="2">
        <f>LEN(Table3[[#This Row],[CLID]])</f>
        <v>7</v>
      </c>
      <c r="I461" s="3"/>
    </row>
    <row r="462" spans="1:9" x14ac:dyDescent="0.25">
      <c r="A462" s="3" t="s">
        <v>24</v>
      </c>
      <c r="B462" s="3">
        <v>44286</v>
      </c>
      <c r="C462" s="6">
        <v>828</v>
      </c>
      <c r="D462" s="2">
        <f>LEN(Table3[[#This Row],[CLID]])</f>
        <v>7</v>
      </c>
      <c r="I462" s="3"/>
    </row>
    <row r="463" spans="1:9" x14ac:dyDescent="0.25">
      <c r="A463" s="3" t="s">
        <v>24</v>
      </c>
      <c r="B463" s="3">
        <v>44255</v>
      </c>
      <c r="C463" s="6">
        <v>855</v>
      </c>
      <c r="D463" s="2">
        <f>LEN(Table3[[#This Row],[CLID]])</f>
        <v>7</v>
      </c>
      <c r="I463" s="3"/>
    </row>
    <row r="464" spans="1:9" x14ac:dyDescent="0.25">
      <c r="A464" s="3" t="s">
        <v>24</v>
      </c>
      <c r="B464" s="3">
        <v>44227</v>
      </c>
      <c r="C464" s="6">
        <v>668</v>
      </c>
      <c r="D464" s="2">
        <f>LEN(Table3[[#This Row],[CLID]])</f>
        <v>7</v>
      </c>
      <c r="I464" s="3"/>
    </row>
    <row r="465" spans="1:9" x14ac:dyDescent="0.25">
      <c r="A465" s="3" t="s">
        <v>52</v>
      </c>
      <c r="B465" s="3">
        <v>43861</v>
      </c>
      <c r="C465" s="6">
        <v>6731</v>
      </c>
      <c r="D465" s="2">
        <f>LEN(Table3[[#This Row],[CLID]])</f>
        <v>7</v>
      </c>
      <c r="I465" s="3"/>
    </row>
    <row r="466" spans="1:9" x14ac:dyDescent="0.25">
      <c r="A466" s="3" t="s">
        <v>52</v>
      </c>
      <c r="B466" s="3">
        <v>43890</v>
      </c>
      <c r="C466" s="6">
        <v>5312</v>
      </c>
      <c r="D466" s="2">
        <f>LEN(Table3[[#This Row],[CLID]])</f>
        <v>7</v>
      </c>
      <c r="I466" s="3"/>
    </row>
    <row r="467" spans="1:9" x14ac:dyDescent="0.25">
      <c r="A467" s="3" t="s">
        <v>52</v>
      </c>
      <c r="B467" s="3">
        <v>43921</v>
      </c>
      <c r="C467" s="6">
        <v>8146</v>
      </c>
      <c r="D467" s="2">
        <f>LEN(Table3[[#This Row],[CLID]])</f>
        <v>7</v>
      </c>
      <c r="I467" s="3"/>
    </row>
    <row r="468" spans="1:9" x14ac:dyDescent="0.25">
      <c r="A468" s="3" t="s">
        <v>52</v>
      </c>
      <c r="B468" s="3">
        <v>43951</v>
      </c>
      <c r="C468" s="6">
        <v>7438</v>
      </c>
      <c r="D468" s="2">
        <f>LEN(Table3[[#This Row],[CLID]])</f>
        <v>7</v>
      </c>
      <c r="I468" s="3"/>
    </row>
    <row r="469" spans="1:9" x14ac:dyDescent="0.25">
      <c r="A469" s="3" t="s">
        <v>52</v>
      </c>
      <c r="B469" s="3">
        <v>43982</v>
      </c>
      <c r="C469" s="6">
        <v>8850</v>
      </c>
      <c r="D469" s="2">
        <f>LEN(Table3[[#This Row],[CLID]])</f>
        <v>7</v>
      </c>
      <c r="I469" s="3"/>
    </row>
    <row r="470" spans="1:9" x14ac:dyDescent="0.25">
      <c r="A470" s="3" t="s">
        <v>52</v>
      </c>
      <c r="B470" s="3">
        <v>44012</v>
      </c>
      <c r="C470" s="6">
        <v>4608</v>
      </c>
      <c r="D470" s="2">
        <f>LEN(Table3[[#This Row],[CLID]])</f>
        <v>7</v>
      </c>
      <c r="I470" s="3"/>
    </row>
    <row r="471" spans="1:9" x14ac:dyDescent="0.25">
      <c r="A471" s="3" t="s">
        <v>52</v>
      </c>
      <c r="B471" s="3">
        <v>44043</v>
      </c>
      <c r="C471" s="6">
        <v>6024</v>
      </c>
      <c r="D471" s="2">
        <f>LEN(Table3[[#This Row],[CLID]])</f>
        <v>7</v>
      </c>
      <c r="I471" s="3"/>
    </row>
    <row r="472" spans="1:9" x14ac:dyDescent="0.25">
      <c r="A472" s="3" t="s">
        <v>52</v>
      </c>
      <c r="B472" s="3">
        <v>44074</v>
      </c>
      <c r="C472" s="6">
        <v>3188</v>
      </c>
      <c r="D472" s="2">
        <f>LEN(Table3[[#This Row],[CLID]])</f>
        <v>7</v>
      </c>
      <c r="I472" s="3"/>
    </row>
    <row r="473" spans="1:9" x14ac:dyDescent="0.25">
      <c r="A473" s="3" t="s">
        <v>52</v>
      </c>
      <c r="B473" s="3">
        <v>44104</v>
      </c>
      <c r="C473" s="6">
        <v>5313</v>
      </c>
      <c r="D473" s="2">
        <f>LEN(Table3[[#This Row],[CLID]])</f>
        <v>7</v>
      </c>
      <c r="I473" s="3"/>
    </row>
    <row r="474" spans="1:9" x14ac:dyDescent="0.25">
      <c r="A474" s="3" t="s">
        <v>52</v>
      </c>
      <c r="B474" s="3">
        <v>44135</v>
      </c>
      <c r="C474" s="6">
        <v>3897</v>
      </c>
      <c r="D474" s="2">
        <f>LEN(Table3[[#This Row],[CLID]])</f>
        <v>7</v>
      </c>
      <c r="I474" s="3"/>
    </row>
    <row r="475" spans="1:9" x14ac:dyDescent="0.25">
      <c r="A475" s="3" t="s">
        <v>52</v>
      </c>
      <c r="B475" s="3">
        <v>44165</v>
      </c>
      <c r="C475" s="6">
        <v>6730</v>
      </c>
      <c r="D475" s="2">
        <f>LEN(Table3[[#This Row],[CLID]])</f>
        <v>7</v>
      </c>
      <c r="I475" s="3"/>
    </row>
    <row r="476" spans="1:9" x14ac:dyDescent="0.25">
      <c r="A476" s="3" t="s">
        <v>52</v>
      </c>
      <c r="B476" s="3">
        <v>44196</v>
      </c>
      <c r="C476" s="6">
        <v>4607</v>
      </c>
      <c r="D476" s="2">
        <f>LEN(Table3[[#This Row],[CLID]])</f>
        <v>7</v>
      </c>
      <c r="I476" s="3"/>
    </row>
    <row r="477" spans="1:9" x14ac:dyDescent="0.25">
      <c r="A477" s="3" t="s">
        <v>52</v>
      </c>
      <c r="B477" s="3">
        <v>44377</v>
      </c>
      <c r="C477" s="6">
        <v>4556</v>
      </c>
      <c r="D477" s="2">
        <f>LEN(Table3[[#This Row],[CLID]])</f>
        <v>7</v>
      </c>
      <c r="I477" s="3"/>
    </row>
    <row r="478" spans="1:9" x14ac:dyDescent="0.25">
      <c r="A478" s="3" t="s">
        <v>52</v>
      </c>
      <c r="B478" s="3">
        <v>44347</v>
      </c>
      <c r="C478" s="6">
        <v>8806</v>
      </c>
      <c r="D478" s="2">
        <f>LEN(Table3[[#This Row],[CLID]])</f>
        <v>7</v>
      </c>
      <c r="I478" s="3"/>
    </row>
    <row r="479" spans="1:9" x14ac:dyDescent="0.25">
      <c r="A479" s="3" t="s">
        <v>52</v>
      </c>
      <c r="B479" s="3">
        <v>44316</v>
      </c>
      <c r="C479" s="6">
        <v>7735</v>
      </c>
      <c r="D479" s="2">
        <f>LEN(Table3[[#This Row],[CLID]])</f>
        <v>7</v>
      </c>
      <c r="I479" s="3"/>
    </row>
    <row r="480" spans="1:9" x14ac:dyDescent="0.25">
      <c r="A480" s="3" t="s">
        <v>52</v>
      </c>
      <c r="B480" s="3">
        <v>44286</v>
      </c>
      <c r="C480" s="6">
        <v>8064</v>
      </c>
      <c r="D480" s="2">
        <f>LEN(Table3[[#This Row],[CLID]])</f>
        <v>7</v>
      </c>
      <c r="I480" s="3"/>
    </row>
    <row r="481" spans="1:9" x14ac:dyDescent="0.25">
      <c r="A481" s="3" t="s">
        <v>52</v>
      </c>
      <c r="B481" s="3">
        <v>44255</v>
      </c>
      <c r="C481" s="6">
        <v>5257</v>
      </c>
      <c r="D481" s="2">
        <f>LEN(Table3[[#This Row],[CLID]])</f>
        <v>7</v>
      </c>
      <c r="I481" s="3"/>
    </row>
    <row r="482" spans="1:9" x14ac:dyDescent="0.25">
      <c r="A482" s="3" t="s">
        <v>52</v>
      </c>
      <c r="B482" s="3">
        <v>44227</v>
      </c>
      <c r="C482" s="6">
        <v>6996</v>
      </c>
      <c r="D482" s="2">
        <f>LEN(Table3[[#This Row],[CLID]])</f>
        <v>7</v>
      </c>
      <c r="I482" s="3"/>
    </row>
    <row r="483" spans="1:9" x14ac:dyDescent="0.25">
      <c r="A483" s="3" t="s">
        <v>37</v>
      </c>
      <c r="B483" s="3">
        <v>43861</v>
      </c>
      <c r="C483" s="6">
        <v>1087</v>
      </c>
      <c r="D483" s="2">
        <f>LEN(Table3[[#This Row],[CLID]])</f>
        <v>7</v>
      </c>
      <c r="I483" s="3"/>
    </row>
    <row r="484" spans="1:9" x14ac:dyDescent="0.25">
      <c r="A484" s="3" t="s">
        <v>37</v>
      </c>
      <c r="B484" s="3">
        <v>43890</v>
      </c>
      <c r="C484" s="6">
        <v>1224</v>
      </c>
      <c r="D484" s="2">
        <f>LEN(Table3[[#This Row],[CLID]])</f>
        <v>7</v>
      </c>
      <c r="I484" s="3"/>
    </row>
    <row r="485" spans="1:9" x14ac:dyDescent="0.25">
      <c r="A485" s="3" t="s">
        <v>37</v>
      </c>
      <c r="B485" s="3">
        <v>43921</v>
      </c>
      <c r="C485" s="6">
        <v>1362</v>
      </c>
      <c r="D485" s="2">
        <f>LEN(Table3[[#This Row],[CLID]])</f>
        <v>7</v>
      </c>
      <c r="I485" s="3"/>
    </row>
    <row r="486" spans="1:9" x14ac:dyDescent="0.25">
      <c r="A486" s="3" t="s">
        <v>37</v>
      </c>
      <c r="B486" s="3">
        <v>43951</v>
      </c>
      <c r="C486" s="6">
        <v>1633</v>
      </c>
      <c r="D486" s="2">
        <f>LEN(Table3[[#This Row],[CLID]])</f>
        <v>7</v>
      </c>
      <c r="I486" s="3"/>
    </row>
    <row r="487" spans="1:9" x14ac:dyDescent="0.25">
      <c r="A487" s="3" t="s">
        <v>37</v>
      </c>
      <c r="B487" s="3">
        <v>43982</v>
      </c>
      <c r="C487" s="6">
        <v>1492</v>
      </c>
      <c r="D487" s="2">
        <f>LEN(Table3[[#This Row],[CLID]])</f>
        <v>7</v>
      </c>
      <c r="I487" s="3"/>
    </row>
    <row r="488" spans="1:9" x14ac:dyDescent="0.25">
      <c r="A488" s="3" t="s">
        <v>37</v>
      </c>
      <c r="B488" s="3">
        <v>44012</v>
      </c>
      <c r="C488" s="6">
        <v>1091</v>
      </c>
      <c r="D488" s="2">
        <f>LEN(Table3[[#This Row],[CLID]])</f>
        <v>7</v>
      </c>
      <c r="I488" s="3"/>
    </row>
    <row r="489" spans="1:9" x14ac:dyDescent="0.25">
      <c r="A489" s="3" t="s">
        <v>37</v>
      </c>
      <c r="B489" s="3">
        <v>44043</v>
      </c>
      <c r="C489" s="6">
        <v>950</v>
      </c>
      <c r="D489" s="2">
        <f>LEN(Table3[[#This Row],[CLID]])</f>
        <v>7</v>
      </c>
      <c r="I489" s="3"/>
    </row>
    <row r="490" spans="1:9" x14ac:dyDescent="0.25">
      <c r="A490" s="3" t="s">
        <v>37</v>
      </c>
      <c r="B490" s="3">
        <v>44074</v>
      </c>
      <c r="C490" s="6">
        <v>818</v>
      </c>
      <c r="D490" s="2">
        <f>LEN(Table3[[#This Row],[CLID]])</f>
        <v>7</v>
      </c>
      <c r="I490" s="3"/>
    </row>
    <row r="491" spans="1:9" x14ac:dyDescent="0.25">
      <c r="A491" s="3" t="s">
        <v>37</v>
      </c>
      <c r="B491" s="3">
        <v>44104</v>
      </c>
      <c r="C491" s="6">
        <v>820</v>
      </c>
      <c r="D491" s="2">
        <f>LEN(Table3[[#This Row],[CLID]])</f>
        <v>7</v>
      </c>
      <c r="I491" s="3"/>
    </row>
    <row r="492" spans="1:9" x14ac:dyDescent="0.25">
      <c r="A492" s="3" t="s">
        <v>37</v>
      </c>
      <c r="B492" s="3">
        <v>44135</v>
      </c>
      <c r="C492" s="6">
        <v>954</v>
      </c>
      <c r="D492" s="2">
        <f>LEN(Table3[[#This Row],[CLID]])</f>
        <v>7</v>
      </c>
      <c r="I492" s="3"/>
    </row>
    <row r="493" spans="1:9" x14ac:dyDescent="0.25">
      <c r="A493" s="3" t="s">
        <v>37</v>
      </c>
      <c r="B493" s="3">
        <v>44165</v>
      </c>
      <c r="C493" s="6">
        <v>1086</v>
      </c>
      <c r="D493" s="2">
        <f>LEN(Table3[[#This Row],[CLID]])</f>
        <v>7</v>
      </c>
      <c r="I493" s="3"/>
    </row>
    <row r="494" spans="1:9" x14ac:dyDescent="0.25">
      <c r="A494" s="3" t="s">
        <v>37</v>
      </c>
      <c r="B494" s="3">
        <v>44196</v>
      </c>
      <c r="C494" s="6">
        <v>1091</v>
      </c>
      <c r="D494" s="2">
        <f>LEN(Table3[[#This Row],[CLID]])</f>
        <v>7</v>
      </c>
      <c r="I494" s="3"/>
    </row>
    <row r="495" spans="1:9" x14ac:dyDescent="0.25">
      <c r="A495" s="3" t="s">
        <v>37</v>
      </c>
      <c r="B495" s="3">
        <v>44316</v>
      </c>
      <c r="C495" s="6">
        <v>1614</v>
      </c>
      <c r="D495" s="2">
        <f>LEN(Table3[[#This Row],[CLID]])</f>
        <v>7</v>
      </c>
      <c r="I495" s="3"/>
    </row>
    <row r="496" spans="1:9" x14ac:dyDescent="0.25">
      <c r="A496" s="3" t="s">
        <v>37</v>
      </c>
      <c r="B496" s="3">
        <v>44286</v>
      </c>
      <c r="C496" s="6">
        <v>1426</v>
      </c>
      <c r="D496" s="2">
        <f>LEN(Table3[[#This Row],[CLID]])</f>
        <v>7</v>
      </c>
      <c r="I496" s="3"/>
    </row>
    <row r="497" spans="1:9" x14ac:dyDescent="0.25">
      <c r="A497" s="3" t="s">
        <v>37</v>
      </c>
      <c r="B497" s="3">
        <v>44255</v>
      </c>
      <c r="C497" s="6">
        <v>1220</v>
      </c>
      <c r="D497" s="2">
        <f>LEN(Table3[[#This Row],[CLID]])</f>
        <v>7</v>
      </c>
      <c r="I497" s="3"/>
    </row>
    <row r="498" spans="1:9" x14ac:dyDescent="0.25">
      <c r="A498" s="3" t="s">
        <v>37</v>
      </c>
      <c r="B498" s="3">
        <v>44227</v>
      </c>
      <c r="C498" s="6">
        <v>1113</v>
      </c>
      <c r="D498" s="2">
        <f>LEN(Table3[[#This Row],[CLID]])</f>
        <v>7</v>
      </c>
      <c r="I498" s="3"/>
    </row>
    <row r="499" spans="1:9" x14ac:dyDescent="0.25">
      <c r="A499" s="3" t="s">
        <v>11</v>
      </c>
      <c r="B499" s="3">
        <v>43861</v>
      </c>
      <c r="C499" s="6">
        <v>303</v>
      </c>
      <c r="D499" s="2">
        <f>LEN(Table3[[#This Row],[CLID]])</f>
        <v>7</v>
      </c>
      <c r="I499" s="3"/>
    </row>
    <row r="500" spans="1:9" x14ac:dyDescent="0.25">
      <c r="A500" s="3" t="s">
        <v>11</v>
      </c>
      <c r="B500" s="3">
        <v>43890</v>
      </c>
      <c r="C500" s="6">
        <v>304</v>
      </c>
      <c r="D500" s="2">
        <f>LEN(Table3[[#This Row],[CLID]])</f>
        <v>7</v>
      </c>
      <c r="I500" s="3"/>
    </row>
    <row r="501" spans="1:9" x14ac:dyDescent="0.25">
      <c r="A501" s="3" t="s">
        <v>11</v>
      </c>
      <c r="B501" s="3">
        <v>43921</v>
      </c>
      <c r="C501" s="6">
        <v>375</v>
      </c>
      <c r="D501" s="2">
        <f>LEN(Table3[[#This Row],[CLID]])</f>
        <v>7</v>
      </c>
      <c r="I501" s="3"/>
    </row>
    <row r="502" spans="1:9" x14ac:dyDescent="0.25">
      <c r="A502" s="3" t="s">
        <v>11</v>
      </c>
      <c r="B502" s="3">
        <v>43951</v>
      </c>
      <c r="C502" s="6">
        <v>407</v>
      </c>
      <c r="D502" s="2">
        <f>LEN(Table3[[#This Row],[CLID]])</f>
        <v>7</v>
      </c>
      <c r="I502" s="3"/>
    </row>
    <row r="503" spans="1:9" x14ac:dyDescent="0.25">
      <c r="A503" s="3" t="s">
        <v>11</v>
      </c>
      <c r="B503" s="3">
        <v>43982</v>
      </c>
      <c r="C503" s="6">
        <v>405</v>
      </c>
      <c r="D503" s="2">
        <f>LEN(Table3[[#This Row],[CLID]])</f>
        <v>7</v>
      </c>
      <c r="I503" s="3"/>
    </row>
    <row r="504" spans="1:9" x14ac:dyDescent="0.25">
      <c r="A504" s="3" t="s">
        <v>11</v>
      </c>
      <c r="B504" s="3">
        <v>44012</v>
      </c>
      <c r="C504" s="6">
        <v>267</v>
      </c>
      <c r="D504" s="2">
        <f>LEN(Table3[[#This Row],[CLID]])</f>
        <v>7</v>
      </c>
      <c r="I504" s="3"/>
    </row>
    <row r="505" spans="1:9" x14ac:dyDescent="0.25">
      <c r="A505" s="3" t="s">
        <v>11</v>
      </c>
      <c r="B505" s="3">
        <v>44043</v>
      </c>
      <c r="C505" s="6">
        <v>264</v>
      </c>
      <c r="D505" s="2">
        <f>LEN(Table3[[#This Row],[CLID]])</f>
        <v>7</v>
      </c>
      <c r="I505" s="3"/>
    </row>
    <row r="506" spans="1:9" x14ac:dyDescent="0.25">
      <c r="A506" s="3" t="s">
        <v>11</v>
      </c>
      <c r="B506" s="3">
        <v>44074</v>
      </c>
      <c r="C506" s="6">
        <v>195</v>
      </c>
      <c r="D506" s="2">
        <f>LEN(Table3[[#This Row],[CLID]])</f>
        <v>7</v>
      </c>
      <c r="I506" s="3"/>
    </row>
    <row r="507" spans="1:9" x14ac:dyDescent="0.25">
      <c r="A507" s="3" t="s">
        <v>11</v>
      </c>
      <c r="B507" s="3">
        <v>44104</v>
      </c>
      <c r="C507" s="6">
        <v>232</v>
      </c>
      <c r="D507" s="2">
        <f>LEN(Table3[[#This Row],[CLID]])</f>
        <v>7</v>
      </c>
      <c r="I507" s="3"/>
    </row>
    <row r="508" spans="1:9" x14ac:dyDescent="0.25">
      <c r="A508" s="3" t="s">
        <v>11</v>
      </c>
      <c r="B508" s="3">
        <v>44135</v>
      </c>
      <c r="C508" s="6">
        <v>233</v>
      </c>
      <c r="D508" s="2">
        <f>LEN(Table3[[#This Row],[CLID]])</f>
        <v>7</v>
      </c>
      <c r="I508" s="3"/>
    </row>
    <row r="509" spans="1:9" x14ac:dyDescent="0.25">
      <c r="A509" s="3" t="s">
        <v>11</v>
      </c>
      <c r="B509" s="3">
        <v>44165</v>
      </c>
      <c r="C509" s="6">
        <v>306</v>
      </c>
      <c r="D509" s="2">
        <f>LEN(Table3[[#This Row],[CLID]])</f>
        <v>7</v>
      </c>
      <c r="I509" s="3"/>
    </row>
    <row r="510" spans="1:9" x14ac:dyDescent="0.25">
      <c r="A510" s="3" t="s">
        <v>11</v>
      </c>
      <c r="B510" s="3">
        <v>44196</v>
      </c>
      <c r="C510" s="6">
        <v>267</v>
      </c>
      <c r="D510" s="2">
        <f>LEN(Table3[[#This Row],[CLID]])</f>
        <v>7</v>
      </c>
      <c r="I510" s="3"/>
    </row>
    <row r="511" spans="1:9" x14ac:dyDescent="0.25">
      <c r="A511" s="3" t="s">
        <v>11</v>
      </c>
      <c r="B511" s="3">
        <v>44377</v>
      </c>
      <c r="C511" s="6">
        <v>261</v>
      </c>
      <c r="D511" s="2">
        <f>LEN(Table3[[#This Row],[CLID]])</f>
        <v>7</v>
      </c>
      <c r="I511" s="3"/>
    </row>
    <row r="512" spans="1:9" x14ac:dyDescent="0.25">
      <c r="A512" s="3" t="s">
        <v>11</v>
      </c>
      <c r="B512" s="3">
        <v>44347</v>
      </c>
      <c r="C512" s="6">
        <v>405</v>
      </c>
      <c r="D512" s="2">
        <f>LEN(Table3[[#This Row],[CLID]])</f>
        <v>7</v>
      </c>
      <c r="I512" s="3"/>
    </row>
    <row r="513" spans="1:9" x14ac:dyDescent="0.25">
      <c r="A513" s="3" t="s">
        <v>11</v>
      </c>
      <c r="B513" s="3">
        <v>44316</v>
      </c>
      <c r="C513" s="6">
        <v>422</v>
      </c>
      <c r="D513" s="2">
        <f>LEN(Table3[[#This Row],[CLID]])</f>
        <v>7</v>
      </c>
      <c r="I513" s="3"/>
    </row>
    <row r="514" spans="1:9" x14ac:dyDescent="0.25">
      <c r="A514" s="3" t="s">
        <v>11</v>
      </c>
      <c r="B514" s="3">
        <v>44286</v>
      </c>
      <c r="C514" s="6">
        <v>390</v>
      </c>
      <c r="D514" s="2">
        <f>LEN(Table3[[#This Row],[CLID]])</f>
        <v>7</v>
      </c>
      <c r="I514" s="3"/>
    </row>
    <row r="515" spans="1:9" x14ac:dyDescent="0.25">
      <c r="A515" s="3" t="s">
        <v>11</v>
      </c>
      <c r="B515" s="3">
        <v>44255</v>
      </c>
      <c r="C515" s="6">
        <v>304</v>
      </c>
      <c r="D515" s="2">
        <f>LEN(Table3[[#This Row],[CLID]])</f>
        <v>7</v>
      </c>
      <c r="I515" s="3"/>
    </row>
    <row r="516" spans="1:9" x14ac:dyDescent="0.25">
      <c r="A516" s="3" t="s">
        <v>11</v>
      </c>
      <c r="B516" s="3">
        <v>44227</v>
      </c>
      <c r="C516" s="6">
        <v>302</v>
      </c>
      <c r="D516" s="2">
        <f>LEN(Table3[[#This Row],[CLID]])</f>
        <v>7</v>
      </c>
      <c r="I516" s="3"/>
    </row>
    <row r="517" spans="1:9" x14ac:dyDescent="0.25">
      <c r="A517" s="3" t="s">
        <v>7</v>
      </c>
      <c r="B517" s="3">
        <v>43861</v>
      </c>
      <c r="C517" s="6">
        <v>30584</v>
      </c>
      <c r="D517" s="2">
        <f>LEN(Table3[[#This Row],[CLID]])</f>
        <v>7</v>
      </c>
      <c r="I517" s="3"/>
    </row>
    <row r="518" spans="1:9" x14ac:dyDescent="0.25">
      <c r="A518" s="3" t="s">
        <v>7</v>
      </c>
      <c r="B518" s="3">
        <v>43890</v>
      </c>
      <c r="C518" s="6">
        <v>27186</v>
      </c>
      <c r="D518" s="2">
        <f>LEN(Table3[[#This Row],[CLID]])</f>
        <v>7</v>
      </c>
      <c r="I518" s="3"/>
    </row>
    <row r="519" spans="1:9" x14ac:dyDescent="0.25">
      <c r="A519" s="3" t="s">
        <v>7</v>
      </c>
      <c r="B519" s="3">
        <v>43921</v>
      </c>
      <c r="C519" s="6">
        <v>37383</v>
      </c>
      <c r="D519" s="2">
        <f>LEN(Table3[[#This Row],[CLID]])</f>
        <v>7</v>
      </c>
      <c r="I519" s="3"/>
    </row>
    <row r="520" spans="1:9" x14ac:dyDescent="0.25">
      <c r="A520" s="3" t="s">
        <v>7</v>
      </c>
      <c r="B520" s="3">
        <v>43951</v>
      </c>
      <c r="C520" s="6">
        <v>37379</v>
      </c>
      <c r="D520" s="2">
        <f>LEN(Table3[[#This Row],[CLID]])</f>
        <v>7</v>
      </c>
      <c r="I520" s="3"/>
    </row>
    <row r="521" spans="1:9" x14ac:dyDescent="0.25">
      <c r="A521" s="3" t="s">
        <v>7</v>
      </c>
      <c r="B521" s="3">
        <v>43982</v>
      </c>
      <c r="C521" s="6">
        <v>40779</v>
      </c>
      <c r="D521" s="2">
        <f>LEN(Table3[[#This Row],[CLID]])</f>
        <v>7</v>
      </c>
      <c r="I521" s="3"/>
    </row>
    <row r="522" spans="1:9" x14ac:dyDescent="0.25">
      <c r="A522" s="3" t="s">
        <v>7</v>
      </c>
      <c r="B522" s="3">
        <v>44012</v>
      </c>
      <c r="C522" s="6">
        <v>23788</v>
      </c>
      <c r="D522" s="2">
        <f>LEN(Table3[[#This Row],[CLID]])</f>
        <v>7</v>
      </c>
      <c r="I522" s="3"/>
    </row>
    <row r="523" spans="1:9" x14ac:dyDescent="0.25">
      <c r="A523" s="3" t="s">
        <v>7</v>
      </c>
      <c r="B523" s="3">
        <v>44043</v>
      </c>
      <c r="C523" s="6">
        <v>27188</v>
      </c>
      <c r="D523" s="2">
        <f>LEN(Table3[[#This Row],[CLID]])</f>
        <v>7</v>
      </c>
      <c r="I523" s="3"/>
    </row>
    <row r="524" spans="1:9" x14ac:dyDescent="0.25">
      <c r="A524" s="3" t="s">
        <v>7</v>
      </c>
      <c r="B524" s="3">
        <v>44074</v>
      </c>
      <c r="C524" s="6">
        <v>16996</v>
      </c>
      <c r="D524" s="2">
        <f>LEN(Table3[[#This Row],[CLID]])</f>
        <v>7</v>
      </c>
      <c r="I524" s="3"/>
    </row>
    <row r="525" spans="1:9" x14ac:dyDescent="0.25">
      <c r="A525" s="3" t="s">
        <v>7</v>
      </c>
      <c r="B525" s="3">
        <v>44104</v>
      </c>
      <c r="C525" s="6">
        <v>23792</v>
      </c>
      <c r="D525" s="2">
        <f>LEN(Table3[[#This Row],[CLID]])</f>
        <v>7</v>
      </c>
      <c r="I525" s="3"/>
    </row>
    <row r="526" spans="1:9" x14ac:dyDescent="0.25">
      <c r="A526" s="3" t="s">
        <v>7</v>
      </c>
      <c r="B526" s="3">
        <v>44135</v>
      </c>
      <c r="C526" s="6">
        <v>20390</v>
      </c>
      <c r="D526" s="2">
        <f>LEN(Table3[[#This Row],[CLID]])</f>
        <v>7</v>
      </c>
      <c r="I526" s="3"/>
    </row>
    <row r="527" spans="1:9" x14ac:dyDescent="0.25">
      <c r="A527" s="3" t="s">
        <v>7</v>
      </c>
      <c r="B527" s="3">
        <v>44165</v>
      </c>
      <c r="C527" s="6">
        <v>30586</v>
      </c>
      <c r="D527" s="2">
        <f>LEN(Table3[[#This Row],[CLID]])</f>
        <v>7</v>
      </c>
      <c r="I527" s="3"/>
    </row>
    <row r="528" spans="1:9" x14ac:dyDescent="0.25">
      <c r="A528" s="3" t="s">
        <v>7</v>
      </c>
      <c r="B528" s="3">
        <v>44196</v>
      </c>
      <c r="C528" s="6">
        <v>23787</v>
      </c>
      <c r="D528" s="2">
        <f>LEN(Table3[[#This Row],[CLID]])</f>
        <v>7</v>
      </c>
      <c r="I528" s="3"/>
    </row>
    <row r="529" spans="1:9" x14ac:dyDescent="0.25">
      <c r="A529" s="3" t="s">
        <v>7</v>
      </c>
      <c r="B529" s="3">
        <v>44377</v>
      </c>
      <c r="C529" s="6">
        <v>24737</v>
      </c>
      <c r="D529" s="2">
        <f>LEN(Table3[[#This Row],[CLID]])</f>
        <v>7</v>
      </c>
      <c r="I529" s="3"/>
    </row>
    <row r="530" spans="1:9" x14ac:dyDescent="0.25">
      <c r="A530" s="3" t="s">
        <v>7</v>
      </c>
      <c r="B530" s="3">
        <v>44347</v>
      </c>
      <c r="C530" s="6">
        <v>41598</v>
      </c>
      <c r="D530" s="2">
        <f>LEN(Table3[[#This Row],[CLID]])</f>
        <v>7</v>
      </c>
      <c r="I530" s="3"/>
    </row>
    <row r="531" spans="1:9" x14ac:dyDescent="0.25">
      <c r="A531" s="3" t="s">
        <v>7</v>
      </c>
      <c r="B531" s="3">
        <v>44316</v>
      </c>
      <c r="C531" s="6">
        <v>38878</v>
      </c>
      <c r="D531" s="2">
        <f>LEN(Table3[[#This Row],[CLID]])</f>
        <v>7</v>
      </c>
      <c r="I531" s="3"/>
    </row>
    <row r="532" spans="1:9" x14ac:dyDescent="0.25">
      <c r="A532" s="3" t="s">
        <v>7</v>
      </c>
      <c r="B532" s="3">
        <v>44286</v>
      </c>
      <c r="C532" s="6">
        <v>39253</v>
      </c>
      <c r="D532" s="2">
        <f>LEN(Table3[[#This Row],[CLID]])</f>
        <v>7</v>
      </c>
      <c r="I532" s="3"/>
    </row>
    <row r="533" spans="1:9" x14ac:dyDescent="0.25">
      <c r="A533" s="3" t="s">
        <v>7</v>
      </c>
      <c r="B533" s="3">
        <v>44255</v>
      </c>
      <c r="C533" s="6">
        <v>27048</v>
      </c>
      <c r="D533" s="2">
        <f>LEN(Table3[[#This Row],[CLID]])</f>
        <v>7</v>
      </c>
      <c r="I533" s="3"/>
    </row>
    <row r="534" spans="1:9" x14ac:dyDescent="0.25">
      <c r="A534" s="3" t="s">
        <v>7</v>
      </c>
      <c r="B534" s="3">
        <v>44227</v>
      </c>
      <c r="C534" s="6">
        <v>32111</v>
      </c>
      <c r="D534" s="2">
        <f>LEN(Table3[[#This Row],[CLID]])</f>
        <v>7</v>
      </c>
      <c r="I534" s="3"/>
    </row>
    <row r="535" spans="1:9" x14ac:dyDescent="0.25">
      <c r="A535" s="3" t="s">
        <v>31</v>
      </c>
      <c r="B535" s="3">
        <v>43861</v>
      </c>
      <c r="C535" s="6">
        <v>866</v>
      </c>
      <c r="D535" s="2">
        <f>LEN(Table3[[#This Row],[CLID]])</f>
        <v>7</v>
      </c>
      <c r="I535" s="3"/>
    </row>
    <row r="536" spans="1:9" x14ac:dyDescent="0.25">
      <c r="A536" s="3" t="s">
        <v>31</v>
      </c>
      <c r="B536" s="3">
        <v>43890</v>
      </c>
      <c r="C536" s="6">
        <v>1101</v>
      </c>
      <c r="D536" s="2">
        <f>LEN(Table3[[#This Row],[CLID]])</f>
        <v>7</v>
      </c>
      <c r="I536" s="3"/>
    </row>
    <row r="537" spans="1:9" x14ac:dyDescent="0.25">
      <c r="A537" s="3" t="s">
        <v>31</v>
      </c>
      <c r="B537" s="3">
        <v>43921</v>
      </c>
      <c r="C537" s="6">
        <v>1103</v>
      </c>
      <c r="D537" s="2">
        <f>LEN(Table3[[#This Row],[CLID]])</f>
        <v>7</v>
      </c>
      <c r="I537" s="3"/>
    </row>
    <row r="538" spans="1:9" x14ac:dyDescent="0.25">
      <c r="A538" s="3" t="s">
        <v>31</v>
      </c>
      <c r="B538" s="3">
        <v>43951</v>
      </c>
      <c r="C538" s="6">
        <v>1447</v>
      </c>
      <c r="D538" s="2">
        <f>LEN(Table3[[#This Row],[CLID]])</f>
        <v>7</v>
      </c>
      <c r="I538" s="3"/>
    </row>
    <row r="539" spans="1:9" x14ac:dyDescent="0.25">
      <c r="A539" s="3" t="s">
        <v>31</v>
      </c>
      <c r="B539" s="3">
        <v>43982</v>
      </c>
      <c r="C539" s="6">
        <v>1213</v>
      </c>
      <c r="D539" s="2">
        <f>LEN(Table3[[#This Row],[CLID]])</f>
        <v>7</v>
      </c>
      <c r="I539" s="3"/>
    </row>
    <row r="540" spans="1:9" x14ac:dyDescent="0.25">
      <c r="A540" s="3" t="s">
        <v>31</v>
      </c>
      <c r="B540" s="3">
        <v>44012</v>
      </c>
      <c r="C540" s="6">
        <v>988</v>
      </c>
      <c r="D540" s="2">
        <f>LEN(Table3[[#This Row],[CLID]])</f>
        <v>7</v>
      </c>
      <c r="I540" s="3"/>
    </row>
    <row r="541" spans="1:9" x14ac:dyDescent="0.25">
      <c r="A541" s="3" t="s">
        <v>31</v>
      </c>
      <c r="B541" s="3">
        <v>44043</v>
      </c>
      <c r="C541" s="6">
        <v>752</v>
      </c>
      <c r="D541" s="2">
        <f>LEN(Table3[[#This Row],[CLID]])</f>
        <v>7</v>
      </c>
      <c r="I541" s="3"/>
    </row>
    <row r="542" spans="1:9" x14ac:dyDescent="0.25">
      <c r="A542" s="3" t="s">
        <v>31</v>
      </c>
      <c r="B542" s="3">
        <v>44074</v>
      </c>
      <c r="C542" s="6">
        <v>756</v>
      </c>
      <c r="D542" s="2">
        <f>LEN(Table3[[#This Row],[CLID]])</f>
        <v>7</v>
      </c>
      <c r="I542" s="3"/>
    </row>
    <row r="543" spans="1:9" x14ac:dyDescent="0.25">
      <c r="A543" s="3" t="s">
        <v>31</v>
      </c>
      <c r="B543" s="3">
        <v>44104</v>
      </c>
      <c r="C543" s="6">
        <v>641</v>
      </c>
      <c r="D543" s="2">
        <f>LEN(Table3[[#This Row],[CLID]])</f>
        <v>7</v>
      </c>
      <c r="I543" s="3"/>
    </row>
    <row r="544" spans="1:9" x14ac:dyDescent="0.25">
      <c r="A544" s="3" t="s">
        <v>31</v>
      </c>
      <c r="B544" s="3">
        <v>44135</v>
      </c>
      <c r="C544" s="6">
        <v>867</v>
      </c>
      <c r="D544" s="2">
        <f>LEN(Table3[[#This Row],[CLID]])</f>
        <v>7</v>
      </c>
      <c r="I544" s="3"/>
    </row>
    <row r="545" spans="1:9" x14ac:dyDescent="0.25">
      <c r="A545" s="3" t="s">
        <v>31</v>
      </c>
      <c r="B545" s="3">
        <v>44165</v>
      </c>
      <c r="C545" s="6">
        <v>866</v>
      </c>
      <c r="D545" s="2">
        <f>LEN(Table3[[#This Row],[CLID]])</f>
        <v>7</v>
      </c>
      <c r="I545" s="3"/>
    </row>
    <row r="546" spans="1:9" x14ac:dyDescent="0.25">
      <c r="A546" s="3" t="s">
        <v>31</v>
      </c>
      <c r="B546" s="3">
        <v>44196</v>
      </c>
      <c r="C546" s="6">
        <v>986</v>
      </c>
      <c r="D546" s="2">
        <f>LEN(Table3[[#This Row],[CLID]])</f>
        <v>7</v>
      </c>
      <c r="I546" s="3"/>
    </row>
    <row r="547" spans="1:9" x14ac:dyDescent="0.25">
      <c r="A547" s="3" t="s">
        <v>31</v>
      </c>
      <c r="B547" s="3">
        <v>44377</v>
      </c>
      <c r="C547" s="6">
        <v>997</v>
      </c>
      <c r="D547" s="2">
        <f>LEN(Table3[[#This Row],[CLID]])</f>
        <v>7</v>
      </c>
      <c r="I547" s="3"/>
    </row>
    <row r="548" spans="1:9" x14ac:dyDescent="0.25">
      <c r="A548" s="3" t="s">
        <v>31</v>
      </c>
      <c r="B548" s="3">
        <v>44347</v>
      </c>
      <c r="C548" s="6">
        <v>1206</v>
      </c>
      <c r="D548" s="2">
        <f>LEN(Table3[[#This Row],[CLID]])</f>
        <v>7</v>
      </c>
      <c r="I548" s="3"/>
    </row>
    <row r="549" spans="1:9" x14ac:dyDescent="0.25">
      <c r="A549" s="3" t="s">
        <v>31</v>
      </c>
      <c r="B549" s="3">
        <v>44316</v>
      </c>
      <c r="C549" s="6">
        <v>1519</v>
      </c>
      <c r="D549" s="2">
        <f>LEN(Table3[[#This Row],[CLID]])</f>
        <v>7</v>
      </c>
      <c r="I549" s="3"/>
    </row>
    <row r="550" spans="1:9" x14ac:dyDescent="0.25">
      <c r="A550" s="3" t="s">
        <v>31</v>
      </c>
      <c r="B550" s="3">
        <v>44286</v>
      </c>
      <c r="C550" s="6">
        <v>1096</v>
      </c>
      <c r="D550" s="2">
        <f>LEN(Table3[[#This Row],[CLID]])</f>
        <v>7</v>
      </c>
      <c r="I550" s="3"/>
    </row>
    <row r="551" spans="1:9" x14ac:dyDescent="0.25">
      <c r="A551" s="3" t="s">
        <v>31</v>
      </c>
      <c r="B551" s="3">
        <v>44255</v>
      </c>
      <c r="C551" s="6">
        <v>1110</v>
      </c>
      <c r="D551" s="2">
        <f>LEN(Table3[[#This Row],[CLID]])</f>
        <v>7</v>
      </c>
      <c r="I551" s="3"/>
    </row>
    <row r="552" spans="1:9" x14ac:dyDescent="0.25">
      <c r="A552" s="3" t="s">
        <v>31</v>
      </c>
      <c r="B552" s="3">
        <v>44227</v>
      </c>
      <c r="C552" s="6">
        <v>880</v>
      </c>
      <c r="D552" s="2">
        <f>LEN(Table3[[#This Row],[CLID]])</f>
        <v>7</v>
      </c>
      <c r="I552" s="3"/>
    </row>
    <row r="553" spans="1:9" x14ac:dyDescent="0.25">
      <c r="A553" s="3" t="s">
        <v>53</v>
      </c>
      <c r="B553" s="3">
        <v>43861</v>
      </c>
      <c r="C553" s="6">
        <v>9422</v>
      </c>
      <c r="D553" s="2">
        <f>LEN(Table3[[#This Row],[CLID]])</f>
        <v>7</v>
      </c>
      <c r="I553" s="3"/>
    </row>
    <row r="554" spans="1:9" x14ac:dyDescent="0.25">
      <c r="A554" s="3" t="s">
        <v>53</v>
      </c>
      <c r="B554" s="3">
        <v>43890</v>
      </c>
      <c r="C554" s="6">
        <v>7438</v>
      </c>
      <c r="D554" s="2">
        <f>LEN(Table3[[#This Row],[CLID]])</f>
        <v>7</v>
      </c>
      <c r="I554" s="3"/>
    </row>
    <row r="555" spans="1:9" x14ac:dyDescent="0.25">
      <c r="A555" s="3" t="s">
        <v>53</v>
      </c>
      <c r="B555" s="3">
        <v>43921</v>
      </c>
      <c r="C555" s="6">
        <v>11403</v>
      </c>
      <c r="D555" s="2">
        <f>LEN(Table3[[#This Row],[CLID]])</f>
        <v>7</v>
      </c>
      <c r="I555" s="3"/>
    </row>
    <row r="556" spans="1:9" x14ac:dyDescent="0.25">
      <c r="A556" s="3" t="s">
        <v>53</v>
      </c>
      <c r="B556" s="3">
        <v>43951</v>
      </c>
      <c r="C556" s="6">
        <v>10408</v>
      </c>
      <c r="D556" s="2">
        <f>LEN(Table3[[#This Row],[CLID]])</f>
        <v>7</v>
      </c>
      <c r="I556" s="3"/>
    </row>
    <row r="557" spans="1:9" x14ac:dyDescent="0.25">
      <c r="A557" s="3" t="s">
        <v>53</v>
      </c>
      <c r="B557" s="3">
        <v>43982</v>
      </c>
      <c r="C557" s="6">
        <v>12392</v>
      </c>
      <c r="D557" s="2">
        <f>LEN(Table3[[#This Row],[CLID]])</f>
        <v>7</v>
      </c>
      <c r="I557" s="3"/>
    </row>
    <row r="558" spans="1:9" x14ac:dyDescent="0.25">
      <c r="A558" s="3" t="s">
        <v>53</v>
      </c>
      <c r="B558" s="3">
        <v>44012</v>
      </c>
      <c r="C558" s="6">
        <v>6449</v>
      </c>
      <c r="D558" s="2">
        <f>LEN(Table3[[#This Row],[CLID]])</f>
        <v>7</v>
      </c>
      <c r="I558" s="3"/>
    </row>
    <row r="559" spans="1:9" x14ac:dyDescent="0.25">
      <c r="A559" s="3" t="s">
        <v>53</v>
      </c>
      <c r="B559" s="3">
        <v>44043</v>
      </c>
      <c r="C559" s="6">
        <v>8425</v>
      </c>
      <c r="D559" s="2">
        <f>LEN(Table3[[#This Row],[CLID]])</f>
        <v>7</v>
      </c>
      <c r="I559" s="3"/>
    </row>
    <row r="560" spans="1:9" x14ac:dyDescent="0.25">
      <c r="A560" s="3" t="s">
        <v>53</v>
      </c>
      <c r="B560" s="3">
        <v>44074</v>
      </c>
      <c r="C560" s="6">
        <v>4464</v>
      </c>
      <c r="D560" s="2">
        <f>LEN(Table3[[#This Row],[CLID]])</f>
        <v>7</v>
      </c>
      <c r="I560" s="3"/>
    </row>
    <row r="561" spans="1:9" x14ac:dyDescent="0.25">
      <c r="A561" s="3" t="s">
        <v>53</v>
      </c>
      <c r="B561" s="3">
        <v>44104</v>
      </c>
      <c r="C561" s="6">
        <v>7440</v>
      </c>
      <c r="D561" s="2">
        <f>LEN(Table3[[#This Row],[CLID]])</f>
        <v>7</v>
      </c>
      <c r="I561" s="3"/>
    </row>
    <row r="562" spans="1:9" x14ac:dyDescent="0.25">
      <c r="A562" s="3" t="s">
        <v>53</v>
      </c>
      <c r="B562" s="3">
        <v>44135</v>
      </c>
      <c r="C562" s="6">
        <v>5452</v>
      </c>
      <c r="D562" s="2">
        <f>LEN(Table3[[#This Row],[CLID]])</f>
        <v>7</v>
      </c>
      <c r="I562" s="3"/>
    </row>
    <row r="563" spans="1:9" x14ac:dyDescent="0.25">
      <c r="A563" s="3" t="s">
        <v>53</v>
      </c>
      <c r="B563" s="3">
        <v>44165</v>
      </c>
      <c r="C563" s="6">
        <v>9422</v>
      </c>
      <c r="D563" s="2">
        <f>LEN(Table3[[#This Row],[CLID]])</f>
        <v>7</v>
      </c>
      <c r="I563" s="3"/>
    </row>
    <row r="564" spans="1:9" x14ac:dyDescent="0.25">
      <c r="A564" s="3" t="s">
        <v>53</v>
      </c>
      <c r="B564" s="3">
        <v>44196</v>
      </c>
      <c r="C564" s="6">
        <v>6445</v>
      </c>
      <c r="D564" s="2">
        <f>LEN(Table3[[#This Row],[CLID]])</f>
        <v>7</v>
      </c>
      <c r="I564" s="3"/>
    </row>
    <row r="565" spans="1:9" x14ac:dyDescent="0.25">
      <c r="A565" s="3" t="s">
        <v>53</v>
      </c>
      <c r="B565" s="3">
        <v>44377</v>
      </c>
      <c r="C565" s="6">
        <v>6576</v>
      </c>
      <c r="D565" s="2">
        <f>LEN(Table3[[#This Row],[CLID]])</f>
        <v>7</v>
      </c>
      <c r="I565" s="3"/>
    </row>
    <row r="566" spans="1:9" x14ac:dyDescent="0.25">
      <c r="A566" s="3" t="s">
        <v>53</v>
      </c>
      <c r="B566" s="3">
        <v>44347</v>
      </c>
      <c r="C566" s="6">
        <v>13012</v>
      </c>
      <c r="D566" s="2">
        <f>LEN(Table3[[#This Row],[CLID]])</f>
        <v>7</v>
      </c>
      <c r="I566" s="3"/>
    </row>
    <row r="567" spans="1:9" x14ac:dyDescent="0.25">
      <c r="A567" s="3" t="s">
        <v>53</v>
      </c>
      <c r="B567" s="3">
        <v>44316</v>
      </c>
      <c r="C567" s="6">
        <v>10308</v>
      </c>
      <c r="D567" s="2">
        <f>LEN(Table3[[#This Row],[CLID]])</f>
        <v>7</v>
      </c>
      <c r="I567" s="3"/>
    </row>
    <row r="568" spans="1:9" x14ac:dyDescent="0.25">
      <c r="A568" s="3" t="s">
        <v>53</v>
      </c>
      <c r="B568" s="3">
        <v>44286</v>
      </c>
      <c r="C568" s="6">
        <v>11287</v>
      </c>
      <c r="D568" s="2">
        <f>LEN(Table3[[#This Row],[CLID]])</f>
        <v>7</v>
      </c>
      <c r="I568" s="3"/>
    </row>
    <row r="569" spans="1:9" x14ac:dyDescent="0.25">
      <c r="A569" s="3" t="s">
        <v>53</v>
      </c>
      <c r="B569" s="3">
        <v>44255</v>
      </c>
      <c r="C569" s="6">
        <v>7361</v>
      </c>
      <c r="D569" s="2">
        <f>LEN(Table3[[#This Row],[CLID]])</f>
        <v>7</v>
      </c>
      <c r="I569" s="3"/>
    </row>
    <row r="570" spans="1:9" x14ac:dyDescent="0.25">
      <c r="A570" s="3" t="s">
        <v>53</v>
      </c>
      <c r="B570" s="3">
        <v>44227</v>
      </c>
      <c r="C570" s="6">
        <v>9604</v>
      </c>
      <c r="D570" s="2">
        <f>LEN(Table3[[#This Row],[CLID]])</f>
        <v>7</v>
      </c>
      <c r="I570" s="3"/>
    </row>
    <row r="571" spans="1:9" x14ac:dyDescent="0.25">
      <c r="A571" s="3" t="s">
        <v>27</v>
      </c>
      <c r="B571" s="3">
        <v>43861</v>
      </c>
      <c r="C571" s="6">
        <v>19257</v>
      </c>
      <c r="D571" s="2">
        <f>LEN(Table3[[#This Row],[CLID]])</f>
        <v>7</v>
      </c>
      <c r="I571" s="3"/>
    </row>
    <row r="572" spans="1:9" x14ac:dyDescent="0.25">
      <c r="A572" s="3" t="s">
        <v>27</v>
      </c>
      <c r="B572" s="3">
        <v>43890</v>
      </c>
      <c r="C572" s="6">
        <v>19258</v>
      </c>
      <c r="D572" s="2">
        <f>LEN(Table3[[#This Row],[CLID]])</f>
        <v>7</v>
      </c>
      <c r="I572" s="3"/>
    </row>
    <row r="573" spans="1:9" x14ac:dyDescent="0.25">
      <c r="A573" s="3" t="s">
        <v>27</v>
      </c>
      <c r="B573" s="3">
        <v>43921</v>
      </c>
      <c r="C573" s="6">
        <v>23787</v>
      </c>
      <c r="D573" s="2">
        <f>LEN(Table3[[#This Row],[CLID]])</f>
        <v>7</v>
      </c>
      <c r="I573" s="3"/>
    </row>
    <row r="574" spans="1:9" x14ac:dyDescent="0.25">
      <c r="A574" s="3" t="s">
        <v>27</v>
      </c>
      <c r="B574" s="3">
        <v>43951</v>
      </c>
      <c r="C574" s="6">
        <v>26053</v>
      </c>
      <c r="D574" s="2">
        <f>LEN(Table3[[#This Row],[CLID]])</f>
        <v>7</v>
      </c>
      <c r="I574" s="3"/>
    </row>
    <row r="575" spans="1:9" x14ac:dyDescent="0.25">
      <c r="A575" s="3" t="s">
        <v>27</v>
      </c>
      <c r="B575" s="3">
        <v>43982</v>
      </c>
      <c r="C575" s="6">
        <v>26056</v>
      </c>
      <c r="D575" s="2">
        <f>LEN(Table3[[#This Row],[CLID]])</f>
        <v>7</v>
      </c>
      <c r="I575" s="3"/>
    </row>
    <row r="576" spans="1:9" x14ac:dyDescent="0.25">
      <c r="A576" s="3" t="s">
        <v>27</v>
      </c>
      <c r="B576" s="3">
        <v>44012</v>
      </c>
      <c r="C576" s="6">
        <v>16993</v>
      </c>
      <c r="D576" s="2">
        <f>LEN(Table3[[#This Row],[CLID]])</f>
        <v>7</v>
      </c>
      <c r="I576" s="3"/>
    </row>
    <row r="577" spans="1:9" x14ac:dyDescent="0.25">
      <c r="A577" s="3" t="s">
        <v>27</v>
      </c>
      <c r="B577" s="3">
        <v>44043</v>
      </c>
      <c r="C577" s="6">
        <v>16994</v>
      </c>
      <c r="D577" s="2">
        <f>LEN(Table3[[#This Row],[CLID]])</f>
        <v>7</v>
      </c>
      <c r="I577" s="3"/>
    </row>
    <row r="578" spans="1:9" x14ac:dyDescent="0.25">
      <c r="A578" s="3" t="s">
        <v>27</v>
      </c>
      <c r="B578" s="3">
        <v>44074</v>
      </c>
      <c r="C578" s="6">
        <v>12464</v>
      </c>
      <c r="D578" s="2">
        <f>LEN(Table3[[#This Row],[CLID]])</f>
        <v>7</v>
      </c>
      <c r="I578" s="3"/>
    </row>
    <row r="579" spans="1:9" x14ac:dyDescent="0.25">
      <c r="A579" s="3" t="s">
        <v>27</v>
      </c>
      <c r="B579" s="3">
        <v>44104</v>
      </c>
      <c r="C579" s="6">
        <v>14726</v>
      </c>
      <c r="D579" s="2">
        <f>LEN(Table3[[#This Row],[CLID]])</f>
        <v>7</v>
      </c>
      <c r="I579" s="3"/>
    </row>
    <row r="580" spans="1:9" x14ac:dyDescent="0.25">
      <c r="A580" s="3" t="s">
        <v>27</v>
      </c>
      <c r="B580" s="3">
        <v>44135</v>
      </c>
      <c r="C580" s="6">
        <v>14726</v>
      </c>
      <c r="D580" s="2">
        <f>LEN(Table3[[#This Row],[CLID]])</f>
        <v>7</v>
      </c>
      <c r="I580" s="3"/>
    </row>
    <row r="581" spans="1:9" x14ac:dyDescent="0.25">
      <c r="A581" s="3" t="s">
        <v>27</v>
      </c>
      <c r="B581" s="3">
        <v>44165</v>
      </c>
      <c r="C581" s="6">
        <v>19258</v>
      </c>
      <c r="D581" s="2">
        <f>LEN(Table3[[#This Row],[CLID]])</f>
        <v>7</v>
      </c>
      <c r="I581" s="3"/>
    </row>
    <row r="582" spans="1:9" x14ac:dyDescent="0.25">
      <c r="A582" s="3" t="s">
        <v>27</v>
      </c>
      <c r="B582" s="3">
        <v>44196</v>
      </c>
      <c r="C582" s="6">
        <v>16992</v>
      </c>
      <c r="D582" s="2">
        <f>LEN(Table3[[#This Row],[CLID]])</f>
        <v>7</v>
      </c>
      <c r="I582" s="3"/>
    </row>
    <row r="583" spans="1:9" x14ac:dyDescent="0.25">
      <c r="A583" s="3" t="s">
        <v>27</v>
      </c>
      <c r="B583" s="3">
        <v>44377</v>
      </c>
      <c r="C583" s="6">
        <v>17501</v>
      </c>
      <c r="D583" s="2">
        <f>LEN(Table3[[#This Row],[CLID]])</f>
        <v>7</v>
      </c>
      <c r="I583" s="3"/>
    </row>
    <row r="584" spans="1:9" x14ac:dyDescent="0.25">
      <c r="A584" s="3" t="s">
        <v>27</v>
      </c>
      <c r="B584" s="3">
        <v>44347</v>
      </c>
      <c r="C584" s="6">
        <v>26834</v>
      </c>
      <c r="D584" s="2">
        <f>LEN(Table3[[#This Row],[CLID]])</f>
        <v>7</v>
      </c>
      <c r="I584" s="3"/>
    </row>
    <row r="585" spans="1:9" x14ac:dyDescent="0.25">
      <c r="A585" s="3" t="s">
        <v>27</v>
      </c>
      <c r="B585" s="3">
        <v>44316</v>
      </c>
      <c r="C585" s="6">
        <v>26840</v>
      </c>
      <c r="D585" s="2">
        <f>LEN(Table3[[#This Row],[CLID]])</f>
        <v>7</v>
      </c>
      <c r="I585" s="3"/>
    </row>
    <row r="586" spans="1:9" x14ac:dyDescent="0.25">
      <c r="A586" s="3" t="s">
        <v>27</v>
      </c>
      <c r="B586" s="3">
        <v>44286</v>
      </c>
      <c r="C586" s="6">
        <v>23553</v>
      </c>
      <c r="D586" s="2">
        <f>LEN(Table3[[#This Row],[CLID]])</f>
        <v>7</v>
      </c>
      <c r="I586" s="3"/>
    </row>
    <row r="587" spans="1:9" x14ac:dyDescent="0.25">
      <c r="A587" s="3" t="s">
        <v>27</v>
      </c>
      <c r="B587" s="3">
        <v>44255</v>
      </c>
      <c r="C587" s="6">
        <v>19839</v>
      </c>
      <c r="D587" s="2">
        <f>LEN(Table3[[#This Row],[CLID]])</f>
        <v>7</v>
      </c>
      <c r="I587" s="3"/>
    </row>
    <row r="588" spans="1:9" x14ac:dyDescent="0.25">
      <c r="A588" s="3" t="s">
        <v>27</v>
      </c>
      <c r="B588" s="3">
        <v>44227</v>
      </c>
      <c r="C588" s="6">
        <v>20221</v>
      </c>
      <c r="D588" s="2">
        <f>LEN(Table3[[#This Row],[CLID]])</f>
        <v>7</v>
      </c>
      <c r="I588" s="3"/>
    </row>
    <row r="589" spans="1:9" x14ac:dyDescent="0.25">
      <c r="A589" s="3" t="s">
        <v>10</v>
      </c>
      <c r="B589" s="3">
        <v>43861</v>
      </c>
      <c r="C589" s="6">
        <v>277</v>
      </c>
      <c r="D589" s="2">
        <f>LEN(Table3[[#This Row],[CLID]])</f>
        <v>7</v>
      </c>
      <c r="I589" s="3"/>
    </row>
    <row r="590" spans="1:9" x14ac:dyDescent="0.25">
      <c r="A590" s="3" t="s">
        <v>10</v>
      </c>
      <c r="B590" s="3">
        <v>43890</v>
      </c>
      <c r="C590" s="6">
        <v>244</v>
      </c>
      <c r="D590" s="2">
        <f>LEN(Table3[[#This Row],[CLID]])</f>
        <v>7</v>
      </c>
      <c r="I590" s="3"/>
    </row>
    <row r="591" spans="1:9" x14ac:dyDescent="0.25">
      <c r="A591" s="3" t="s">
        <v>10</v>
      </c>
      <c r="B591" s="3">
        <v>43921</v>
      </c>
      <c r="C591" s="6">
        <v>337</v>
      </c>
      <c r="D591" s="2">
        <f>LEN(Table3[[#This Row],[CLID]])</f>
        <v>7</v>
      </c>
      <c r="I591" s="3"/>
    </row>
    <row r="592" spans="1:9" x14ac:dyDescent="0.25">
      <c r="A592" s="3" t="s">
        <v>10</v>
      </c>
      <c r="B592" s="3">
        <v>43951</v>
      </c>
      <c r="C592" s="6">
        <v>332</v>
      </c>
      <c r="D592" s="2">
        <f>LEN(Table3[[#This Row],[CLID]])</f>
        <v>7</v>
      </c>
      <c r="I592" s="3"/>
    </row>
    <row r="593" spans="1:9" x14ac:dyDescent="0.25">
      <c r="A593" s="3" t="s">
        <v>10</v>
      </c>
      <c r="B593" s="3">
        <v>43982</v>
      </c>
      <c r="C593" s="6">
        <v>362</v>
      </c>
      <c r="D593" s="2">
        <f>LEN(Table3[[#This Row],[CLID]])</f>
        <v>7</v>
      </c>
      <c r="I593" s="3"/>
    </row>
    <row r="594" spans="1:9" x14ac:dyDescent="0.25">
      <c r="A594" s="3" t="s">
        <v>10</v>
      </c>
      <c r="B594" s="3">
        <v>44012</v>
      </c>
      <c r="C594" s="6">
        <v>213</v>
      </c>
      <c r="D594" s="2">
        <f>LEN(Table3[[#This Row],[CLID]])</f>
        <v>7</v>
      </c>
      <c r="I594" s="3"/>
    </row>
    <row r="595" spans="1:9" x14ac:dyDescent="0.25">
      <c r="A595" s="3" t="s">
        <v>10</v>
      </c>
      <c r="B595" s="3">
        <v>44043</v>
      </c>
      <c r="C595" s="6">
        <v>248</v>
      </c>
      <c r="D595" s="2">
        <f>LEN(Table3[[#This Row],[CLID]])</f>
        <v>7</v>
      </c>
      <c r="I595" s="3"/>
    </row>
    <row r="596" spans="1:9" x14ac:dyDescent="0.25">
      <c r="A596" s="3" t="s">
        <v>10</v>
      </c>
      <c r="B596" s="3">
        <v>44074</v>
      </c>
      <c r="C596" s="6">
        <v>156</v>
      </c>
      <c r="D596" s="2">
        <f>LEN(Table3[[#This Row],[CLID]])</f>
        <v>7</v>
      </c>
      <c r="I596" s="3"/>
    </row>
    <row r="597" spans="1:9" x14ac:dyDescent="0.25">
      <c r="A597" s="3" t="s">
        <v>10</v>
      </c>
      <c r="B597" s="3">
        <v>44104</v>
      </c>
      <c r="C597" s="6">
        <v>218</v>
      </c>
      <c r="D597" s="2">
        <f>LEN(Table3[[#This Row],[CLID]])</f>
        <v>7</v>
      </c>
      <c r="I597" s="3"/>
    </row>
    <row r="598" spans="1:9" x14ac:dyDescent="0.25">
      <c r="A598" s="3" t="s">
        <v>10</v>
      </c>
      <c r="B598" s="3">
        <v>44135</v>
      </c>
      <c r="C598" s="6">
        <v>182</v>
      </c>
      <c r="D598" s="2">
        <f>LEN(Table3[[#This Row],[CLID]])</f>
        <v>7</v>
      </c>
      <c r="I598" s="3"/>
    </row>
    <row r="599" spans="1:9" x14ac:dyDescent="0.25">
      <c r="A599" s="3" t="s">
        <v>10</v>
      </c>
      <c r="B599" s="3">
        <v>44165</v>
      </c>
      <c r="C599" s="6">
        <v>276</v>
      </c>
      <c r="D599" s="2">
        <f>LEN(Table3[[#This Row],[CLID]])</f>
        <v>7</v>
      </c>
      <c r="I599" s="3"/>
    </row>
    <row r="600" spans="1:9" x14ac:dyDescent="0.25">
      <c r="A600" s="3" t="s">
        <v>10</v>
      </c>
      <c r="B600" s="3">
        <v>44196</v>
      </c>
      <c r="C600" s="6">
        <v>218</v>
      </c>
      <c r="D600" s="2">
        <f>LEN(Table3[[#This Row],[CLID]])</f>
        <v>7</v>
      </c>
      <c r="I600" s="3"/>
    </row>
    <row r="601" spans="1:9" x14ac:dyDescent="0.25">
      <c r="A601" s="3" t="s">
        <v>10</v>
      </c>
      <c r="B601" s="3">
        <v>44377</v>
      </c>
      <c r="C601" s="6">
        <v>220</v>
      </c>
      <c r="D601" s="2">
        <f>LEN(Table3[[#This Row],[CLID]])</f>
        <v>7</v>
      </c>
      <c r="I601" s="3"/>
    </row>
    <row r="602" spans="1:9" x14ac:dyDescent="0.25">
      <c r="A602" s="3" t="s">
        <v>10</v>
      </c>
      <c r="B602" s="3">
        <v>44347</v>
      </c>
      <c r="C602" s="6">
        <v>370</v>
      </c>
      <c r="D602" s="2">
        <f>LEN(Table3[[#This Row],[CLID]])</f>
        <v>7</v>
      </c>
      <c r="I602" s="3"/>
    </row>
    <row r="603" spans="1:9" x14ac:dyDescent="0.25">
      <c r="A603" s="3" t="s">
        <v>10</v>
      </c>
      <c r="B603" s="3">
        <v>44316</v>
      </c>
      <c r="C603" s="6">
        <v>331</v>
      </c>
      <c r="D603" s="2">
        <f>LEN(Table3[[#This Row],[CLID]])</f>
        <v>7</v>
      </c>
      <c r="I603" s="3"/>
    </row>
    <row r="604" spans="1:9" x14ac:dyDescent="0.25">
      <c r="A604" s="3" t="s">
        <v>10</v>
      </c>
      <c r="B604" s="3">
        <v>44286</v>
      </c>
      <c r="C604" s="6">
        <v>332</v>
      </c>
      <c r="D604" s="2">
        <f>LEN(Table3[[#This Row],[CLID]])</f>
        <v>7</v>
      </c>
      <c r="I604" s="3"/>
    </row>
    <row r="605" spans="1:9" x14ac:dyDescent="0.25">
      <c r="A605" s="3" t="s">
        <v>10</v>
      </c>
      <c r="B605" s="3">
        <v>44255</v>
      </c>
      <c r="C605" s="6">
        <v>250</v>
      </c>
      <c r="D605" s="2">
        <f>LEN(Table3[[#This Row],[CLID]])</f>
        <v>7</v>
      </c>
      <c r="I605" s="3"/>
    </row>
    <row r="606" spans="1:9" x14ac:dyDescent="0.25">
      <c r="A606" s="3" t="s">
        <v>10</v>
      </c>
      <c r="B606" s="3">
        <v>44227</v>
      </c>
      <c r="C606" s="6">
        <v>289</v>
      </c>
      <c r="D606" s="2">
        <f>LEN(Table3[[#This Row],[CLID]])</f>
        <v>7</v>
      </c>
      <c r="I606" s="3"/>
    </row>
    <row r="607" spans="1:9" x14ac:dyDescent="0.25">
      <c r="A607" s="3" t="s">
        <v>46</v>
      </c>
      <c r="B607" s="3">
        <v>43861</v>
      </c>
      <c r="C607" s="6">
        <v>1586</v>
      </c>
      <c r="D607" s="2">
        <f>LEN(Table3[[#This Row],[CLID]])</f>
        <v>7</v>
      </c>
      <c r="I607" s="3"/>
    </row>
    <row r="608" spans="1:9" x14ac:dyDescent="0.25">
      <c r="A608" s="3" t="s">
        <v>46</v>
      </c>
      <c r="B608" s="3">
        <v>43890</v>
      </c>
      <c r="C608" s="6">
        <v>1412</v>
      </c>
      <c r="D608" s="2">
        <f>LEN(Table3[[#This Row],[CLID]])</f>
        <v>7</v>
      </c>
      <c r="I608" s="3"/>
    </row>
    <row r="609" spans="1:9" x14ac:dyDescent="0.25">
      <c r="A609" s="3" t="s">
        <v>46</v>
      </c>
      <c r="B609" s="3">
        <v>43921</v>
      </c>
      <c r="C609" s="6">
        <v>1936</v>
      </c>
      <c r="D609" s="2">
        <f>LEN(Table3[[#This Row],[CLID]])</f>
        <v>7</v>
      </c>
      <c r="I609" s="3"/>
    </row>
    <row r="610" spans="1:9" x14ac:dyDescent="0.25">
      <c r="A610" s="3" t="s">
        <v>46</v>
      </c>
      <c r="B610" s="3">
        <v>43951</v>
      </c>
      <c r="C610" s="6">
        <v>1939</v>
      </c>
      <c r="D610" s="2">
        <f>LEN(Table3[[#This Row],[CLID]])</f>
        <v>7</v>
      </c>
      <c r="I610" s="3"/>
    </row>
    <row r="611" spans="1:9" x14ac:dyDescent="0.25">
      <c r="A611" s="3" t="s">
        <v>46</v>
      </c>
      <c r="B611" s="3">
        <v>43982</v>
      </c>
      <c r="C611" s="6">
        <v>2112</v>
      </c>
      <c r="D611" s="2">
        <f>LEN(Table3[[#This Row],[CLID]])</f>
        <v>7</v>
      </c>
      <c r="I611" s="3"/>
    </row>
    <row r="612" spans="1:9" x14ac:dyDescent="0.25">
      <c r="A612" s="3" t="s">
        <v>46</v>
      </c>
      <c r="B612" s="3">
        <v>44012</v>
      </c>
      <c r="C612" s="6">
        <v>1230</v>
      </c>
      <c r="D612" s="2">
        <f>LEN(Table3[[#This Row],[CLID]])</f>
        <v>7</v>
      </c>
      <c r="I612" s="3"/>
    </row>
    <row r="613" spans="1:9" x14ac:dyDescent="0.25">
      <c r="A613" s="3" t="s">
        <v>46</v>
      </c>
      <c r="B613" s="3">
        <v>44043</v>
      </c>
      <c r="C613" s="6">
        <v>1407</v>
      </c>
      <c r="D613" s="2">
        <f>LEN(Table3[[#This Row],[CLID]])</f>
        <v>7</v>
      </c>
      <c r="I613" s="3"/>
    </row>
    <row r="614" spans="1:9" x14ac:dyDescent="0.25">
      <c r="A614" s="3" t="s">
        <v>46</v>
      </c>
      <c r="B614" s="3">
        <v>44074</v>
      </c>
      <c r="C614" s="6">
        <v>880</v>
      </c>
      <c r="D614" s="2">
        <f>LEN(Table3[[#This Row],[CLID]])</f>
        <v>7</v>
      </c>
      <c r="I614" s="3"/>
    </row>
    <row r="615" spans="1:9" x14ac:dyDescent="0.25">
      <c r="A615" s="3" t="s">
        <v>46</v>
      </c>
      <c r="B615" s="3">
        <v>44104</v>
      </c>
      <c r="C615" s="6">
        <v>1233</v>
      </c>
      <c r="D615" s="2">
        <f>LEN(Table3[[#This Row],[CLID]])</f>
        <v>7</v>
      </c>
      <c r="I615" s="3"/>
    </row>
    <row r="616" spans="1:9" x14ac:dyDescent="0.25">
      <c r="A616" s="3" t="s">
        <v>46</v>
      </c>
      <c r="B616" s="3">
        <v>44135</v>
      </c>
      <c r="C616" s="6">
        <v>1059</v>
      </c>
      <c r="D616" s="2">
        <f>LEN(Table3[[#This Row],[CLID]])</f>
        <v>7</v>
      </c>
      <c r="I616" s="3"/>
    </row>
    <row r="617" spans="1:9" x14ac:dyDescent="0.25">
      <c r="A617" s="3" t="s">
        <v>46</v>
      </c>
      <c r="B617" s="3">
        <v>44165</v>
      </c>
      <c r="C617" s="6">
        <v>1586</v>
      </c>
      <c r="D617" s="2">
        <f>LEN(Table3[[#This Row],[CLID]])</f>
        <v>7</v>
      </c>
      <c r="I617" s="3"/>
    </row>
    <row r="618" spans="1:9" x14ac:dyDescent="0.25">
      <c r="A618" s="3" t="s">
        <v>46</v>
      </c>
      <c r="B618" s="3">
        <v>44196</v>
      </c>
      <c r="C618" s="6">
        <v>1230</v>
      </c>
      <c r="D618" s="2">
        <f>LEN(Table3[[#This Row],[CLID]])</f>
        <v>7</v>
      </c>
      <c r="I618" s="3"/>
    </row>
    <row r="619" spans="1:9" x14ac:dyDescent="0.25">
      <c r="A619" s="3" t="s">
        <v>46</v>
      </c>
      <c r="B619" s="3">
        <v>44377</v>
      </c>
      <c r="C619" s="6">
        <v>1291</v>
      </c>
      <c r="D619" s="2">
        <f>LEN(Table3[[#This Row],[CLID]])</f>
        <v>7</v>
      </c>
      <c r="I619" s="3"/>
    </row>
    <row r="620" spans="1:9" x14ac:dyDescent="0.25">
      <c r="A620" s="3" t="s">
        <v>46</v>
      </c>
      <c r="B620" s="3">
        <v>44347</v>
      </c>
      <c r="C620" s="6">
        <v>2150</v>
      </c>
      <c r="D620" s="2">
        <f>LEN(Table3[[#This Row],[CLID]])</f>
        <v>7</v>
      </c>
      <c r="I620" s="3"/>
    </row>
    <row r="621" spans="1:9" x14ac:dyDescent="0.25">
      <c r="A621" s="3" t="s">
        <v>46</v>
      </c>
      <c r="B621" s="3">
        <v>44316</v>
      </c>
      <c r="C621" s="6">
        <v>1991</v>
      </c>
      <c r="D621" s="2">
        <f>LEN(Table3[[#This Row],[CLID]])</f>
        <v>7</v>
      </c>
      <c r="I621" s="3"/>
    </row>
    <row r="622" spans="1:9" x14ac:dyDescent="0.25">
      <c r="A622" s="3" t="s">
        <v>46</v>
      </c>
      <c r="B622" s="3">
        <v>44286</v>
      </c>
      <c r="C622" s="6">
        <v>2032</v>
      </c>
      <c r="D622" s="2">
        <f>LEN(Table3[[#This Row],[CLID]])</f>
        <v>7</v>
      </c>
      <c r="I622" s="3"/>
    </row>
    <row r="623" spans="1:9" x14ac:dyDescent="0.25">
      <c r="A623" s="3" t="s">
        <v>46</v>
      </c>
      <c r="B623" s="3">
        <v>44255</v>
      </c>
      <c r="C623" s="6">
        <v>1438</v>
      </c>
      <c r="D623" s="2">
        <f>LEN(Table3[[#This Row],[CLID]])</f>
        <v>7</v>
      </c>
      <c r="I623" s="3"/>
    </row>
    <row r="624" spans="1:9" x14ac:dyDescent="0.25">
      <c r="A624" s="3" t="s">
        <v>46</v>
      </c>
      <c r="B624" s="3">
        <v>44227</v>
      </c>
      <c r="C624" s="6">
        <v>1569</v>
      </c>
      <c r="D624" s="2">
        <f>LEN(Table3[[#This Row],[CLID]])</f>
        <v>7</v>
      </c>
      <c r="I624" s="3"/>
    </row>
    <row r="625" spans="1:9" x14ac:dyDescent="0.25">
      <c r="A625" s="3" t="s">
        <v>40</v>
      </c>
      <c r="B625" s="3">
        <v>43861</v>
      </c>
      <c r="C625" s="6">
        <v>1211</v>
      </c>
      <c r="D625" s="2">
        <f>LEN(Table3[[#This Row],[CLID]])</f>
        <v>7</v>
      </c>
      <c r="I625" s="3"/>
    </row>
    <row r="626" spans="1:9" x14ac:dyDescent="0.25">
      <c r="A626" s="3" t="s">
        <v>40</v>
      </c>
      <c r="B626" s="3">
        <v>43890</v>
      </c>
      <c r="C626" s="6">
        <v>1358</v>
      </c>
      <c r="D626" s="2">
        <f>LEN(Table3[[#This Row],[CLID]])</f>
        <v>7</v>
      </c>
      <c r="I626" s="3"/>
    </row>
    <row r="627" spans="1:9" x14ac:dyDescent="0.25">
      <c r="A627" s="3" t="s">
        <v>40</v>
      </c>
      <c r="B627" s="3">
        <v>43921</v>
      </c>
      <c r="C627" s="6">
        <v>1507</v>
      </c>
      <c r="D627" s="2">
        <f>LEN(Table3[[#This Row],[CLID]])</f>
        <v>7</v>
      </c>
      <c r="I627" s="3"/>
    </row>
    <row r="628" spans="1:9" x14ac:dyDescent="0.25">
      <c r="A628" s="3" t="s">
        <v>40</v>
      </c>
      <c r="B628" s="3">
        <v>43951</v>
      </c>
      <c r="C628" s="6">
        <v>1812</v>
      </c>
      <c r="D628" s="2">
        <f>LEN(Table3[[#This Row],[CLID]])</f>
        <v>7</v>
      </c>
      <c r="I628" s="3"/>
    </row>
    <row r="629" spans="1:9" x14ac:dyDescent="0.25">
      <c r="A629" s="3" t="s">
        <v>40</v>
      </c>
      <c r="B629" s="3">
        <v>43982</v>
      </c>
      <c r="C629" s="6">
        <v>1663</v>
      </c>
      <c r="D629" s="2">
        <f>LEN(Table3[[#This Row],[CLID]])</f>
        <v>7</v>
      </c>
      <c r="I629" s="3"/>
    </row>
    <row r="630" spans="1:9" x14ac:dyDescent="0.25">
      <c r="A630" s="3" t="s">
        <v>40</v>
      </c>
      <c r="B630" s="3">
        <v>44012</v>
      </c>
      <c r="C630" s="6">
        <v>1205</v>
      </c>
      <c r="D630" s="2">
        <f>LEN(Table3[[#This Row],[CLID]])</f>
        <v>7</v>
      </c>
      <c r="I630" s="3"/>
    </row>
    <row r="631" spans="1:9" x14ac:dyDescent="0.25">
      <c r="A631" s="3" t="s">
        <v>40</v>
      </c>
      <c r="B631" s="3">
        <v>44043</v>
      </c>
      <c r="C631" s="6">
        <v>1059</v>
      </c>
      <c r="D631" s="2">
        <f>LEN(Table3[[#This Row],[CLID]])</f>
        <v>7</v>
      </c>
      <c r="I631" s="3"/>
    </row>
    <row r="632" spans="1:9" x14ac:dyDescent="0.25">
      <c r="A632" s="3" t="s">
        <v>40</v>
      </c>
      <c r="B632" s="3">
        <v>44074</v>
      </c>
      <c r="C632" s="6">
        <v>910</v>
      </c>
      <c r="D632" s="2">
        <f>LEN(Table3[[#This Row],[CLID]])</f>
        <v>7</v>
      </c>
      <c r="I632" s="3"/>
    </row>
    <row r="633" spans="1:9" x14ac:dyDescent="0.25">
      <c r="A633" s="3" t="s">
        <v>40</v>
      </c>
      <c r="B633" s="3">
        <v>44104</v>
      </c>
      <c r="C633" s="6">
        <v>910</v>
      </c>
      <c r="D633" s="2">
        <f>LEN(Table3[[#This Row],[CLID]])</f>
        <v>7</v>
      </c>
      <c r="I633" s="3"/>
    </row>
    <row r="634" spans="1:9" x14ac:dyDescent="0.25">
      <c r="A634" s="3" t="s">
        <v>40</v>
      </c>
      <c r="B634" s="3">
        <v>44135</v>
      </c>
      <c r="C634" s="6">
        <v>1060</v>
      </c>
      <c r="D634" s="2">
        <f>LEN(Table3[[#This Row],[CLID]])</f>
        <v>7</v>
      </c>
      <c r="I634" s="3"/>
    </row>
    <row r="635" spans="1:9" x14ac:dyDescent="0.25">
      <c r="A635" s="3" t="s">
        <v>40</v>
      </c>
      <c r="B635" s="3">
        <v>44165</v>
      </c>
      <c r="C635" s="6">
        <v>1205</v>
      </c>
      <c r="D635" s="2">
        <f>LEN(Table3[[#This Row],[CLID]])</f>
        <v>7</v>
      </c>
      <c r="I635" s="3"/>
    </row>
    <row r="636" spans="1:9" x14ac:dyDescent="0.25">
      <c r="A636" s="3" t="s">
        <v>40</v>
      </c>
      <c r="B636" s="3">
        <v>44196</v>
      </c>
      <c r="C636" s="6">
        <v>1211</v>
      </c>
      <c r="D636" s="2">
        <f>LEN(Table3[[#This Row],[CLID]])</f>
        <v>7</v>
      </c>
      <c r="I636" s="3"/>
    </row>
    <row r="637" spans="1:9" x14ac:dyDescent="0.25">
      <c r="A637" s="3" t="s">
        <v>40</v>
      </c>
      <c r="B637" s="3">
        <v>44377</v>
      </c>
      <c r="C637" s="6">
        <v>1193</v>
      </c>
      <c r="D637" s="2">
        <f>LEN(Table3[[#This Row],[CLID]])</f>
        <v>7</v>
      </c>
      <c r="I637" s="3"/>
    </row>
    <row r="638" spans="1:9" x14ac:dyDescent="0.25">
      <c r="A638" s="3" t="s">
        <v>40</v>
      </c>
      <c r="B638" s="3">
        <v>44347</v>
      </c>
      <c r="C638" s="6">
        <v>1694</v>
      </c>
      <c r="D638" s="2">
        <f>LEN(Table3[[#This Row],[CLID]])</f>
        <v>7</v>
      </c>
      <c r="I638" s="3"/>
    </row>
    <row r="639" spans="1:9" x14ac:dyDescent="0.25">
      <c r="A639" s="3" t="s">
        <v>40</v>
      </c>
      <c r="B639" s="3">
        <v>44316</v>
      </c>
      <c r="C639" s="6">
        <v>1791</v>
      </c>
      <c r="D639" s="2">
        <f>LEN(Table3[[#This Row],[CLID]])</f>
        <v>7</v>
      </c>
      <c r="I639" s="3"/>
    </row>
    <row r="640" spans="1:9" x14ac:dyDescent="0.25">
      <c r="A640" s="3" t="s">
        <v>40</v>
      </c>
      <c r="B640" s="3">
        <v>44286</v>
      </c>
      <c r="C640" s="6">
        <v>1568</v>
      </c>
      <c r="D640" s="2">
        <f>LEN(Table3[[#This Row],[CLID]])</f>
        <v>7</v>
      </c>
      <c r="I640" s="3"/>
    </row>
    <row r="641" spans="1:9" x14ac:dyDescent="0.25">
      <c r="A641" s="3" t="s">
        <v>40</v>
      </c>
      <c r="B641" s="3">
        <v>44255</v>
      </c>
      <c r="C641" s="6">
        <v>1399</v>
      </c>
      <c r="D641" s="2">
        <f>LEN(Table3[[#This Row],[CLID]])</f>
        <v>7</v>
      </c>
      <c r="I641" s="3"/>
    </row>
    <row r="642" spans="1:9" x14ac:dyDescent="0.25">
      <c r="A642" s="3" t="s">
        <v>40</v>
      </c>
      <c r="B642" s="3">
        <v>44227</v>
      </c>
      <c r="C642" s="6">
        <v>1255</v>
      </c>
      <c r="D642" s="2">
        <f>LEN(Table3[[#This Row],[CLID]])</f>
        <v>7</v>
      </c>
      <c r="I642" s="3"/>
    </row>
    <row r="643" spans="1:9" x14ac:dyDescent="0.25">
      <c r="A643" s="3" t="s">
        <v>2</v>
      </c>
      <c r="B643" s="3">
        <v>43861</v>
      </c>
      <c r="C643" s="6">
        <v>53</v>
      </c>
      <c r="D643" s="2">
        <f>LEN(Table3[[#This Row],[CLID]])</f>
        <v>7</v>
      </c>
      <c r="I643" s="3"/>
    </row>
    <row r="644" spans="1:9" x14ac:dyDescent="0.25">
      <c r="A644" s="3" t="s">
        <v>2</v>
      </c>
      <c r="B644" s="3">
        <v>43890</v>
      </c>
      <c r="C644" s="6">
        <v>40</v>
      </c>
      <c r="D644" s="2">
        <f>LEN(Table3[[#This Row],[CLID]])</f>
        <v>7</v>
      </c>
      <c r="I644" s="3"/>
    </row>
    <row r="645" spans="1:9" x14ac:dyDescent="0.25">
      <c r="A645" s="3" t="s">
        <v>2</v>
      </c>
      <c r="B645" s="3">
        <v>43921</v>
      </c>
      <c r="C645" s="6">
        <v>65</v>
      </c>
      <c r="D645" s="2">
        <f>LEN(Table3[[#This Row],[CLID]])</f>
        <v>7</v>
      </c>
      <c r="I645" s="3"/>
    </row>
    <row r="646" spans="1:9" x14ac:dyDescent="0.25">
      <c r="A646" s="3" t="s">
        <v>2</v>
      </c>
      <c r="B646" s="3">
        <v>43951</v>
      </c>
      <c r="C646" s="6">
        <v>56</v>
      </c>
      <c r="D646" s="2">
        <f>LEN(Table3[[#This Row],[CLID]])</f>
        <v>7</v>
      </c>
      <c r="I646" s="3"/>
    </row>
    <row r="647" spans="1:9" x14ac:dyDescent="0.25">
      <c r="A647" s="3" t="s">
        <v>2</v>
      </c>
      <c r="B647" s="3">
        <v>43982</v>
      </c>
      <c r="C647" s="6">
        <v>65</v>
      </c>
      <c r="D647" s="2">
        <f>LEN(Table3[[#This Row],[CLID]])</f>
        <v>7</v>
      </c>
      <c r="I647" s="3"/>
    </row>
    <row r="648" spans="1:9" x14ac:dyDescent="0.25">
      <c r="A648" s="3" t="s">
        <v>2</v>
      </c>
      <c r="B648" s="3">
        <v>44012</v>
      </c>
      <c r="C648" s="6">
        <v>34</v>
      </c>
      <c r="D648" s="2">
        <f>LEN(Table3[[#This Row],[CLID]])</f>
        <v>7</v>
      </c>
      <c r="I648" s="3"/>
    </row>
    <row r="649" spans="1:9" x14ac:dyDescent="0.25">
      <c r="A649" s="3" t="s">
        <v>2</v>
      </c>
      <c r="B649" s="3">
        <v>44043</v>
      </c>
      <c r="C649" s="6">
        <v>50</v>
      </c>
      <c r="D649" s="2">
        <f>LEN(Table3[[#This Row],[CLID]])</f>
        <v>7</v>
      </c>
      <c r="I649" s="3"/>
    </row>
    <row r="650" spans="1:9" x14ac:dyDescent="0.25">
      <c r="A650" s="3" t="s">
        <v>2</v>
      </c>
      <c r="B650" s="3">
        <v>44074</v>
      </c>
      <c r="C650" s="6">
        <v>26</v>
      </c>
      <c r="D650" s="2">
        <f>LEN(Table3[[#This Row],[CLID]])</f>
        <v>7</v>
      </c>
      <c r="I650" s="3"/>
    </row>
    <row r="651" spans="1:9" x14ac:dyDescent="0.25">
      <c r="A651" s="3" t="s">
        <v>2</v>
      </c>
      <c r="B651" s="3">
        <v>44104</v>
      </c>
      <c r="C651" s="6">
        <v>43</v>
      </c>
      <c r="D651" s="2">
        <f>LEN(Table3[[#This Row],[CLID]])</f>
        <v>7</v>
      </c>
      <c r="I651" s="3"/>
    </row>
    <row r="652" spans="1:9" x14ac:dyDescent="0.25">
      <c r="A652" s="3" t="s">
        <v>2</v>
      </c>
      <c r="B652" s="3">
        <v>44135</v>
      </c>
      <c r="C652" s="6">
        <v>32</v>
      </c>
      <c r="D652" s="2">
        <f>LEN(Table3[[#This Row],[CLID]])</f>
        <v>7</v>
      </c>
      <c r="I652" s="3"/>
    </row>
    <row r="653" spans="1:9" x14ac:dyDescent="0.25">
      <c r="A653" s="3" t="s">
        <v>2</v>
      </c>
      <c r="B653" s="3">
        <v>44165</v>
      </c>
      <c r="C653" s="6">
        <v>54</v>
      </c>
      <c r="D653" s="2">
        <f>LEN(Table3[[#This Row],[CLID]])</f>
        <v>7</v>
      </c>
      <c r="I653" s="3"/>
    </row>
    <row r="654" spans="1:9" x14ac:dyDescent="0.25">
      <c r="A654" s="3" t="s">
        <v>2</v>
      </c>
      <c r="B654" s="3">
        <v>44196</v>
      </c>
      <c r="C654" s="6">
        <v>38</v>
      </c>
      <c r="D654" s="2">
        <f>LEN(Table3[[#This Row],[CLID]])</f>
        <v>7</v>
      </c>
      <c r="I654" s="3"/>
    </row>
    <row r="655" spans="1:9" x14ac:dyDescent="0.25">
      <c r="A655" s="3" t="s">
        <v>2</v>
      </c>
      <c r="B655" s="3">
        <v>44377</v>
      </c>
      <c r="C655" s="6">
        <v>38</v>
      </c>
      <c r="D655" s="2">
        <f>LEN(Table3[[#This Row],[CLID]])</f>
        <v>7</v>
      </c>
      <c r="I655" s="3"/>
    </row>
    <row r="656" spans="1:9" x14ac:dyDescent="0.25">
      <c r="A656" s="3" t="s">
        <v>2</v>
      </c>
      <c r="B656" s="3">
        <v>44347</v>
      </c>
      <c r="C656" s="6">
        <v>71</v>
      </c>
      <c r="D656" s="2">
        <f>LEN(Table3[[#This Row],[CLID]])</f>
        <v>7</v>
      </c>
      <c r="I656" s="3"/>
    </row>
    <row r="657" spans="1:9" x14ac:dyDescent="0.25">
      <c r="A657" s="3" t="s">
        <v>2</v>
      </c>
      <c r="B657" s="3">
        <v>44316</v>
      </c>
      <c r="C657" s="6">
        <v>60</v>
      </c>
      <c r="D657" s="2">
        <f>LEN(Table3[[#This Row],[CLID]])</f>
        <v>7</v>
      </c>
      <c r="I657" s="3"/>
    </row>
    <row r="658" spans="1:9" x14ac:dyDescent="0.25">
      <c r="A658" s="3" t="s">
        <v>2</v>
      </c>
      <c r="B658" s="3">
        <v>44286</v>
      </c>
      <c r="C658" s="6">
        <v>65</v>
      </c>
      <c r="D658" s="2">
        <f>LEN(Table3[[#This Row],[CLID]])</f>
        <v>7</v>
      </c>
      <c r="I658" s="3"/>
    </row>
    <row r="659" spans="1:9" x14ac:dyDescent="0.25">
      <c r="A659" s="3" t="s">
        <v>2</v>
      </c>
      <c r="B659" s="3">
        <v>44255</v>
      </c>
      <c r="C659" s="6">
        <v>45</v>
      </c>
      <c r="D659" s="2">
        <f>LEN(Table3[[#This Row],[CLID]])</f>
        <v>7</v>
      </c>
      <c r="I659" s="3"/>
    </row>
    <row r="660" spans="1:9" x14ac:dyDescent="0.25">
      <c r="A660" s="3" t="s">
        <v>2</v>
      </c>
      <c r="B660" s="3">
        <v>44227</v>
      </c>
      <c r="C660" s="6">
        <v>56</v>
      </c>
      <c r="D660" s="2">
        <f>LEN(Table3[[#This Row],[CLID]])</f>
        <v>7</v>
      </c>
      <c r="I660" s="3"/>
    </row>
    <row r="661" spans="1:9" x14ac:dyDescent="0.25">
      <c r="A661" s="3" t="s">
        <v>45</v>
      </c>
      <c r="B661" s="3">
        <v>43861</v>
      </c>
      <c r="C661" s="6">
        <v>1283</v>
      </c>
      <c r="D661" s="2">
        <f>LEN(Table3[[#This Row],[CLID]])</f>
        <v>7</v>
      </c>
      <c r="I661" s="3"/>
    </row>
    <row r="662" spans="1:9" x14ac:dyDescent="0.25">
      <c r="A662" s="3" t="s">
        <v>45</v>
      </c>
      <c r="B662" s="3">
        <v>43890</v>
      </c>
      <c r="C662" s="6">
        <v>1622</v>
      </c>
      <c r="D662" s="2">
        <f>LEN(Table3[[#This Row],[CLID]])</f>
        <v>7</v>
      </c>
      <c r="I662" s="3"/>
    </row>
    <row r="663" spans="1:9" x14ac:dyDescent="0.25">
      <c r="A663" s="3" t="s">
        <v>45</v>
      </c>
      <c r="B663" s="3">
        <v>43921</v>
      </c>
      <c r="C663" s="6">
        <v>1628</v>
      </c>
      <c r="D663" s="2">
        <f>LEN(Table3[[#This Row],[CLID]])</f>
        <v>7</v>
      </c>
      <c r="I663" s="3"/>
    </row>
    <row r="664" spans="1:9" x14ac:dyDescent="0.25">
      <c r="A664" s="3" t="s">
        <v>45</v>
      </c>
      <c r="B664" s="3">
        <v>43951</v>
      </c>
      <c r="C664" s="6">
        <v>2137</v>
      </c>
      <c r="D664" s="2">
        <f>LEN(Table3[[#This Row],[CLID]])</f>
        <v>7</v>
      </c>
      <c r="I664" s="3"/>
    </row>
    <row r="665" spans="1:9" x14ac:dyDescent="0.25">
      <c r="A665" s="3" t="s">
        <v>45</v>
      </c>
      <c r="B665" s="3">
        <v>43982</v>
      </c>
      <c r="C665" s="6">
        <v>1795</v>
      </c>
      <c r="D665" s="2">
        <f>LEN(Table3[[#This Row],[CLID]])</f>
        <v>7</v>
      </c>
      <c r="I665" s="3"/>
    </row>
    <row r="666" spans="1:9" x14ac:dyDescent="0.25">
      <c r="A666" s="3" t="s">
        <v>45</v>
      </c>
      <c r="B666" s="3">
        <v>44012</v>
      </c>
      <c r="C666" s="6">
        <v>1456</v>
      </c>
      <c r="D666" s="2">
        <f>LEN(Table3[[#This Row],[CLID]])</f>
        <v>7</v>
      </c>
      <c r="I666" s="3"/>
    </row>
    <row r="667" spans="1:9" x14ac:dyDescent="0.25">
      <c r="A667" s="3" t="s">
        <v>45</v>
      </c>
      <c r="B667" s="3">
        <v>44043</v>
      </c>
      <c r="C667" s="6">
        <v>1112</v>
      </c>
      <c r="D667" s="2">
        <f>LEN(Table3[[#This Row],[CLID]])</f>
        <v>7</v>
      </c>
      <c r="I667" s="3"/>
    </row>
    <row r="668" spans="1:9" x14ac:dyDescent="0.25">
      <c r="A668" s="3" t="s">
        <v>45</v>
      </c>
      <c r="B668" s="3">
        <v>44074</v>
      </c>
      <c r="C668" s="6">
        <v>1116</v>
      </c>
      <c r="D668" s="2">
        <f>LEN(Table3[[#This Row],[CLID]])</f>
        <v>7</v>
      </c>
      <c r="I668" s="3"/>
    </row>
    <row r="669" spans="1:9" x14ac:dyDescent="0.25">
      <c r="A669" s="3" t="s">
        <v>45</v>
      </c>
      <c r="B669" s="3">
        <v>44104</v>
      </c>
      <c r="C669" s="6">
        <v>939</v>
      </c>
      <c r="D669" s="2">
        <f>LEN(Table3[[#This Row],[CLID]])</f>
        <v>7</v>
      </c>
      <c r="I669" s="3"/>
    </row>
    <row r="670" spans="1:9" x14ac:dyDescent="0.25">
      <c r="A670" s="3" t="s">
        <v>45</v>
      </c>
      <c r="B670" s="3">
        <v>44135</v>
      </c>
      <c r="C670" s="6">
        <v>1282</v>
      </c>
      <c r="D670" s="2">
        <f>LEN(Table3[[#This Row],[CLID]])</f>
        <v>7</v>
      </c>
      <c r="I670" s="3"/>
    </row>
    <row r="671" spans="1:9" x14ac:dyDescent="0.25">
      <c r="A671" s="3" t="s">
        <v>45</v>
      </c>
      <c r="B671" s="3">
        <v>44165</v>
      </c>
      <c r="C671" s="6">
        <v>1285</v>
      </c>
      <c r="D671" s="2">
        <f>LEN(Table3[[#This Row],[CLID]])</f>
        <v>7</v>
      </c>
      <c r="I671" s="3"/>
    </row>
    <row r="672" spans="1:9" x14ac:dyDescent="0.25">
      <c r="A672" s="3" t="s">
        <v>45</v>
      </c>
      <c r="B672" s="3">
        <v>44196</v>
      </c>
      <c r="C672" s="6">
        <v>1452</v>
      </c>
      <c r="D672" s="2">
        <f>LEN(Table3[[#This Row],[CLID]])</f>
        <v>7</v>
      </c>
      <c r="I672" s="3"/>
    </row>
    <row r="673" spans="1:9" x14ac:dyDescent="0.25">
      <c r="A673" s="3" t="s">
        <v>45</v>
      </c>
      <c r="B673" s="3">
        <v>44377</v>
      </c>
      <c r="C673" s="6">
        <v>1480</v>
      </c>
      <c r="D673" s="2">
        <f>LEN(Table3[[#This Row],[CLID]])</f>
        <v>7</v>
      </c>
      <c r="I673" s="3"/>
    </row>
    <row r="674" spans="1:9" x14ac:dyDescent="0.25">
      <c r="A674" s="3" t="s">
        <v>45</v>
      </c>
      <c r="B674" s="3">
        <v>44347</v>
      </c>
      <c r="C674" s="6">
        <v>1869</v>
      </c>
      <c r="D674" s="2">
        <f>LEN(Table3[[#This Row],[CLID]])</f>
        <v>7</v>
      </c>
      <c r="I674" s="3"/>
    </row>
    <row r="675" spans="1:9" x14ac:dyDescent="0.25">
      <c r="A675" s="3" t="s">
        <v>45</v>
      </c>
      <c r="B675" s="3">
        <v>44316</v>
      </c>
      <c r="C675" s="6">
        <v>2242</v>
      </c>
      <c r="D675" s="2">
        <f>LEN(Table3[[#This Row],[CLID]])</f>
        <v>7</v>
      </c>
      <c r="I675" s="3"/>
    </row>
    <row r="676" spans="1:9" x14ac:dyDescent="0.25">
      <c r="A676" s="3" t="s">
        <v>45</v>
      </c>
      <c r="B676" s="3">
        <v>44286</v>
      </c>
      <c r="C676" s="6">
        <v>1655</v>
      </c>
      <c r="D676" s="2">
        <f>LEN(Table3[[#This Row],[CLID]])</f>
        <v>7</v>
      </c>
      <c r="I676" s="3"/>
    </row>
    <row r="677" spans="1:9" x14ac:dyDescent="0.25">
      <c r="A677" s="3" t="s">
        <v>45</v>
      </c>
      <c r="B677" s="3">
        <v>44255</v>
      </c>
      <c r="C677" s="6">
        <v>1693</v>
      </c>
      <c r="D677" s="2">
        <f>LEN(Table3[[#This Row],[CLID]])</f>
        <v>7</v>
      </c>
      <c r="I677" s="3"/>
    </row>
    <row r="678" spans="1:9" x14ac:dyDescent="0.25">
      <c r="A678" s="3" t="s">
        <v>45</v>
      </c>
      <c r="B678" s="3">
        <v>44227</v>
      </c>
      <c r="C678" s="6">
        <v>1275</v>
      </c>
      <c r="D678" s="2">
        <f>LEN(Table3[[#This Row],[CLID]])</f>
        <v>7</v>
      </c>
      <c r="I678" s="3"/>
    </row>
    <row r="679" spans="1:9" x14ac:dyDescent="0.25">
      <c r="A679" s="3" t="s">
        <v>42</v>
      </c>
      <c r="B679" s="3">
        <v>43861</v>
      </c>
      <c r="C679" s="6">
        <v>1207</v>
      </c>
      <c r="D679" s="2">
        <f>LEN(Table3[[#This Row],[CLID]])</f>
        <v>7</v>
      </c>
      <c r="I679" s="3"/>
    </row>
    <row r="680" spans="1:9" x14ac:dyDescent="0.25">
      <c r="A680" s="3" t="s">
        <v>42</v>
      </c>
      <c r="B680" s="3">
        <v>43890</v>
      </c>
      <c r="C680" s="6">
        <v>1530</v>
      </c>
      <c r="D680" s="2">
        <f>LEN(Table3[[#This Row],[CLID]])</f>
        <v>7</v>
      </c>
      <c r="I680" s="3"/>
    </row>
    <row r="681" spans="1:9" x14ac:dyDescent="0.25">
      <c r="A681" s="3" t="s">
        <v>42</v>
      </c>
      <c r="B681" s="3">
        <v>43921</v>
      </c>
      <c r="C681" s="6">
        <v>1532</v>
      </c>
      <c r="D681" s="2">
        <f>LEN(Table3[[#This Row],[CLID]])</f>
        <v>7</v>
      </c>
      <c r="I681" s="3"/>
    </row>
    <row r="682" spans="1:9" x14ac:dyDescent="0.25">
      <c r="A682" s="3" t="s">
        <v>42</v>
      </c>
      <c r="B682" s="3">
        <v>43951</v>
      </c>
      <c r="C682" s="6">
        <v>2014</v>
      </c>
      <c r="D682" s="2">
        <f>LEN(Table3[[#This Row],[CLID]])</f>
        <v>7</v>
      </c>
      <c r="I682" s="3"/>
    </row>
    <row r="683" spans="1:9" x14ac:dyDescent="0.25">
      <c r="A683" s="3" t="s">
        <v>42</v>
      </c>
      <c r="B683" s="3">
        <v>43982</v>
      </c>
      <c r="C683" s="6">
        <v>1688</v>
      </c>
      <c r="D683" s="2">
        <f>LEN(Table3[[#This Row],[CLID]])</f>
        <v>7</v>
      </c>
      <c r="I683" s="3"/>
    </row>
    <row r="684" spans="1:9" x14ac:dyDescent="0.25">
      <c r="A684" s="3" t="s">
        <v>42</v>
      </c>
      <c r="B684" s="3">
        <v>44012</v>
      </c>
      <c r="C684" s="6">
        <v>1368</v>
      </c>
      <c r="D684" s="2">
        <f>LEN(Table3[[#This Row],[CLID]])</f>
        <v>7</v>
      </c>
      <c r="I684" s="3"/>
    </row>
    <row r="685" spans="1:9" x14ac:dyDescent="0.25">
      <c r="A685" s="3" t="s">
        <v>42</v>
      </c>
      <c r="B685" s="3">
        <v>44043</v>
      </c>
      <c r="C685" s="6">
        <v>1047</v>
      </c>
      <c r="D685" s="2">
        <f>LEN(Table3[[#This Row],[CLID]])</f>
        <v>7</v>
      </c>
      <c r="I685" s="3"/>
    </row>
    <row r="686" spans="1:9" x14ac:dyDescent="0.25">
      <c r="A686" s="3" t="s">
        <v>42</v>
      </c>
      <c r="B686" s="3">
        <v>44074</v>
      </c>
      <c r="C686" s="6">
        <v>1050</v>
      </c>
      <c r="D686" s="2">
        <f>LEN(Table3[[#This Row],[CLID]])</f>
        <v>7</v>
      </c>
      <c r="I686" s="3"/>
    </row>
    <row r="687" spans="1:9" x14ac:dyDescent="0.25">
      <c r="A687" s="3" t="s">
        <v>42</v>
      </c>
      <c r="B687" s="3">
        <v>44104</v>
      </c>
      <c r="C687" s="6">
        <v>890</v>
      </c>
      <c r="D687" s="2">
        <f>LEN(Table3[[#This Row],[CLID]])</f>
        <v>7</v>
      </c>
      <c r="I687" s="3"/>
    </row>
    <row r="688" spans="1:9" x14ac:dyDescent="0.25">
      <c r="A688" s="3" t="s">
        <v>42</v>
      </c>
      <c r="B688" s="3">
        <v>44135</v>
      </c>
      <c r="C688" s="6">
        <v>1208</v>
      </c>
      <c r="D688" s="2">
        <f>LEN(Table3[[#This Row],[CLID]])</f>
        <v>7</v>
      </c>
      <c r="I688" s="3"/>
    </row>
    <row r="689" spans="1:9" x14ac:dyDescent="0.25">
      <c r="A689" s="3" t="s">
        <v>42</v>
      </c>
      <c r="B689" s="3">
        <v>44165</v>
      </c>
      <c r="C689" s="6">
        <v>1205</v>
      </c>
      <c r="D689" s="2">
        <f>LEN(Table3[[#This Row],[CLID]])</f>
        <v>7</v>
      </c>
      <c r="I689" s="3"/>
    </row>
    <row r="690" spans="1:9" x14ac:dyDescent="0.25">
      <c r="A690" s="3" t="s">
        <v>42</v>
      </c>
      <c r="B690" s="3">
        <v>44196</v>
      </c>
      <c r="C690" s="6">
        <v>1366</v>
      </c>
      <c r="D690" s="2">
        <f>LEN(Table3[[#This Row],[CLID]])</f>
        <v>7</v>
      </c>
      <c r="I690" s="3"/>
    </row>
    <row r="691" spans="1:9" x14ac:dyDescent="0.25">
      <c r="A691" s="3" t="s">
        <v>42</v>
      </c>
      <c r="B691" s="3">
        <v>44377</v>
      </c>
      <c r="C691" s="6">
        <v>1397</v>
      </c>
      <c r="D691" s="2">
        <f>LEN(Table3[[#This Row],[CLID]])</f>
        <v>7</v>
      </c>
      <c r="I691" s="3"/>
    </row>
    <row r="692" spans="1:9" x14ac:dyDescent="0.25">
      <c r="A692" s="3" t="s">
        <v>42</v>
      </c>
      <c r="B692" s="3">
        <v>44347</v>
      </c>
      <c r="C692" s="6">
        <v>1757</v>
      </c>
      <c r="D692" s="2">
        <f>LEN(Table3[[#This Row],[CLID]])</f>
        <v>7</v>
      </c>
      <c r="I692" s="3"/>
    </row>
    <row r="693" spans="1:9" x14ac:dyDescent="0.25">
      <c r="A693" s="3" t="s">
        <v>42</v>
      </c>
      <c r="B693" s="3">
        <v>44316</v>
      </c>
      <c r="C693" s="6">
        <v>2092</v>
      </c>
      <c r="D693" s="2">
        <f>LEN(Table3[[#This Row],[CLID]])</f>
        <v>7</v>
      </c>
      <c r="I693" s="3"/>
    </row>
    <row r="694" spans="1:9" x14ac:dyDescent="0.25">
      <c r="A694" s="3" t="s">
        <v>42</v>
      </c>
      <c r="B694" s="3">
        <v>44286</v>
      </c>
      <c r="C694" s="6">
        <v>1544</v>
      </c>
      <c r="D694" s="2">
        <f>LEN(Table3[[#This Row],[CLID]])</f>
        <v>7</v>
      </c>
      <c r="I694" s="3"/>
    </row>
    <row r="695" spans="1:9" x14ac:dyDescent="0.25">
      <c r="A695" s="3" t="s">
        <v>42</v>
      </c>
      <c r="B695" s="3">
        <v>44255</v>
      </c>
      <c r="C695" s="6">
        <v>1547</v>
      </c>
      <c r="D695" s="2">
        <f>LEN(Table3[[#This Row],[CLID]])</f>
        <v>7</v>
      </c>
      <c r="I695" s="3"/>
    </row>
    <row r="696" spans="1:9" x14ac:dyDescent="0.25">
      <c r="A696" s="3" t="s">
        <v>42</v>
      </c>
      <c r="B696" s="3">
        <v>44227</v>
      </c>
      <c r="C696" s="6">
        <v>1265</v>
      </c>
      <c r="D696" s="2">
        <f>LEN(Table3[[#This Row],[CLID]])</f>
        <v>7</v>
      </c>
      <c r="I696" s="3"/>
    </row>
    <row r="697" spans="1:9" x14ac:dyDescent="0.25">
      <c r="A697" s="3" t="s">
        <v>50</v>
      </c>
      <c r="B697" s="3">
        <v>43861</v>
      </c>
      <c r="C697" s="6">
        <v>3405</v>
      </c>
      <c r="D697" s="2">
        <f>LEN(Table3[[#This Row],[CLID]])</f>
        <v>7</v>
      </c>
      <c r="I697" s="3"/>
    </row>
    <row r="698" spans="1:9" x14ac:dyDescent="0.25">
      <c r="A698" s="3" t="s">
        <v>50</v>
      </c>
      <c r="B698" s="3">
        <v>43890</v>
      </c>
      <c r="C698" s="6">
        <v>3827</v>
      </c>
      <c r="D698" s="2">
        <f>LEN(Table3[[#This Row],[CLID]])</f>
        <v>7</v>
      </c>
      <c r="I698" s="3"/>
    </row>
    <row r="699" spans="1:9" x14ac:dyDescent="0.25">
      <c r="A699" s="3" t="s">
        <v>50</v>
      </c>
      <c r="B699" s="3">
        <v>43921</v>
      </c>
      <c r="C699" s="6">
        <v>4248</v>
      </c>
      <c r="D699" s="2">
        <f>LEN(Table3[[#This Row],[CLID]])</f>
        <v>7</v>
      </c>
      <c r="I699" s="3"/>
    </row>
    <row r="700" spans="1:9" x14ac:dyDescent="0.25">
      <c r="A700" s="3" t="s">
        <v>50</v>
      </c>
      <c r="B700" s="3">
        <v>43951</v>
      </c>
      <c r="C700" s="6">
        <v>5101</v>
      </c>
      <c r="D700" s="2">
        <f>LEN(Table3[[#This Row],[CLID]])</f>
        <v>7</v>
      </c>
      <c r="I700" s="3"/>
    </row>
    <row r="701" spans="1:9" x14ac:dyDescent="0.25">
      <c r="A701" s="3" t="s">
        <v>50</v>
      </c>
      <c r="B701" s="3">
        <v>43982</v>
      </c>
      <c r="C701" s="6">
        <v>4675</v>
      </c>
      <c r="D701" s="2">
        <f>LEN(Table3[[#This Row],[CLID]])</f>
        <v>7</v>
      </c>
      <c r="I701" s="3"/>
    </row>
    <row r="702" spans="1:9" x14ac:dyDescent="0.25">
      <c r="A702" s="3" t="s">
        <v>50</v>
      </c>
      <c r="B702" s="3">
        <v>44012</v>
      </c>
      <c r="C702" s="6">
        <v>3400</v>
      </c>
      <c r="D702" s="2">
        <f>LEN(Table3[[#This Row],[CLID]])</f>
        <v>7</v>
      </c>
      <c r="I702" s="3"/>
    </row>
    <row r="703" spans="1:9" x14ac:dyDescent="0.25">
      <c r="A703" s="3" t="s">
        <v>50</v>
      </c>
      <c r="B703" s="3">
        <v>44043</v>
      </c>
      <c r="C703" s="6">
        <v>2976</v>
      </c>
      <c r="D703" s="2">
        <f>LEN(Table3[[#This Row],[CLID]])</f>
        <v>7</v>
      </c>
      <c r="I703" s="3"/>
    </row>
    <row r="704" spans="1:9" x14ac:dyDescent="0.25">
      <c r="A704" s="3" t="s">
        <v>50</v>
      </c>
      <c r="B704" s="3">
        <v>44074</v>
      </c>
      <c r="C704" s="6">
        <v>2552</v>
      </c>
      <c r="D704" s="2">
        <f>LEN(Table3[[#This Row],[CLID]])</f>
        <v>7</v>
      </c>
      <c r="I704" s="3"/>
    </row>
    <row r="705" spans="1:9" x14ac:dyDescent="0.25">
      <c r="A705" s="3" t="s">
        <v>50</v>
      </c>
      <c r="B705" s="3">
        <v>44104</v>
      </c>
      <c r="C705" s="6">
        <v>2550</v>
      </c>
      <c r="D705" s="2">
        <f>LEN(Table3[[#This Row],[CLID]])</f>
        <v>7</v>
      </c>
      <c r="I705" s="3"/>
    </row>
    <row r="706" spans="1:9" x14ac:dyDescent="0.25">
      <c r="A706" s="3" t="s">
        <v>50</v>
      </c>
      <c r="B706" s="3">
        <v>44135</v>
      </c>
      <c r="C706" s="6">
        <v>2975</v>
      </c>
      <c r="D706" s="2">
        <f>LEN(Table3[[#This Row],[CLID]])</f>
        <v>7</v>
      </c>
      <c r="I706" s="3"/>
    </row>
    <row r="707" spans="1:9" x14ac:dyDescent="0.25">
      <c r="A707" s="3" t="s">
        <v>50</v>
      </c>
      <c r="B707" s="3">
        <v>44165</v>
      </c>
      <c r="C707" s="6">
        <v>3399</v>
      </c>
      <c r="D707" s="2">
        <f>LEN(Table3[[#This Row],[CLID]])</f>
        <v>7</v>
      </c>
      <c r="I707" s="3"/>
    </row>
    <row r="708" spans="1:9" x14ac:dyDescent="0.25">
      <c r="A708" s="3" t="s">
        <v>50</v>
      </c>
      <c r="B708" s="3">
        <v>44196</v>
      </c>
      <c r="C708" s="6">
        <v>3404</v>
      </c>
      <c r="D708" s="2">
        <f>LEN(Table3[[#This Row],[CLID]])</f>
        <v>7</v>
      </c>
      <c r="I708" s="3"/>
    </row>
    <row r="709" spans="1:9" x14ac:dyDescent="0.25">
      <c r="A709" s="3" t="s">
        <v>50</v>
      </c>
      <c r="B709" s="3">
        <v>44377</v>
      </c>
      <c r="C709" s="6">
        <v>3501</v>
      </c>
      <c r="D709" s="2">
        <f>LEN(Table3[[#This Row],[CLID]])</f>
        <v>7</v>
      </c>
      <c r="I709" s="3"/>
    </row>
    <row r="710" spans="1:9" x14ac:dyDescent="0.25">
      <c r="A710" s="3" t="s">
        <v>50</v>
      </c>
      <c r="B710" s="3">
        <v>44347</v>
      </c>
      <c r="C710" s="6">
        <v>4768</v>
      </c>
      <c r="D710" s="2">
        <f>LEN(Table3[[#This Row],[CLID]])</f>
        <v>7</v>
      </c>
      <c r="I710" s="3"/>
    </row>
    <row r="711" spans="1:9" x14ac:dyDescent="0.25">
      <c r="A711" s="3" t="s">
        <v>50</v>
      </c>
      <c r="B711" s="3">
        <v>44316</v>
      </c>
      <c r="C711" s="6">
        <v>5254</v>
      </c>
      <c r="D711" s="2">
        <f>LEN(Table3[[#This Row],[CLID]])</f>
        <v>7</v>
      </c>
      <c r="I711" s="3"/>
    </row>
    <row r="712" spans="1:9" x14ac:dyDescent="0.25">
      <c r="A712" s="3" t="s">
        <v>50</v>
      </c>
      <c r="B712" s="3">
        <v>44286</v>
      </c>
      <c r="C712" s="6">
        <v>4212</v>
      </c>
      <c r="D712" s="2">
        <f>LEN(Table3[[#This Row],[CLID]])</f>
        <v>7</v>
      </c>
      <c r="I712" s="3"/>
    </row>
    <row r="713" spans="1:9" x14ac:dyDescent="0.25">
      <c r="A713" s="3" t="s">
        <v>50</v>
      </c>
      <c r="B713" s="3">
        <v>44255</v>
      </c>
      <c r="C713" s="6">
        <v>3808</v>
      </c>
      <c r="D713" s="2">
        <f>LEN(Table3[[#This Row],[CLID]])</f>
        <v>7</v>
      </c>
      <c r="I713" s="3"/>
    </row>
    <row r="714" spans="1:9" x14ac:dyDescent="0.25">
      <c r="A714" s="3" t="s">
        <v>50</v>
      </c>
      <c r="B714" s="3">
        <v>44227</v>
      </c>
      <c r="C714" s="6">
        <v>3575</v>
      </c>
      <c r="D714" s="2">
        <f>LEN(Table3[[#This Row],[CLID]])</f>
        <v>7</v>
      </c>
      <c r="I714" s="3"/>
    </row>
    <row r="715" spans="1:9" x14ac:dyDescent="0.25">
      <c r="A715" s="3" t="s">
        <v>18</v>
      </c>
      <c r="B715" s="3">
        <v>43861</v>
      </c>
      <c r="C715" s="6">
        <v>627</v>
      </c>
      <c r="D715" s="2">
        <f>LEN(Table3[[#This Row],[CLID]])</f>
        <v>7</v>
      </c>
      <c r="I715" s="3"/>
    </row>
    <row r="716" spans="1:9" x14ac:dyDescent="0.25">
      <c r="A716" s="3" t="s">
        <v>18</v>
      </c>
      <c r="B716" s="3">
        <v>43890</v>
      </c>
      <c r="C716" s="6">
        <v>495</v>
      </c>
      <c r="D716" s="2">
        <f>LEN(Table3[[#This Row],[CLID]])</f>
        <v>7</v>
      </c>
      <c r="I716" s="3"/>
    </row>
    <row r="717" spans="1:9" x14ac:dyDescent="0.25">
      <c r="A717" s="3" t="s">
        <v>18</v>
      </c>
      <c r="B717" s="3">
        <v>43921</v>
      </c>
      <c r="C717" s="6">
        <v>755</v>
      </c>
      <c r="D717" s="2">
        <f>LEN(Table3[[#This Row],[CLID]])</f>
        <v>7</v>
      </c>
      <c r="I717" s="3"/>
    </row>
    <row r="718" spans="1:9" x14ac:dyDescent="0.25">
      <c r="A718" s="3" t="s">
        <v>18</v>
      </c>
      <c r="B718" s="3">
        <v>43951</v>
      </c>
      <c r="C718" s="6">
        <v>689</v>
      </c>
      <c r="D718" s="2">
        <f>LEN(Table3[[#This Row],[CLID]])</f>
        <v>7</v>
      </c>
      <c r="I718" s="3"/>
    </row>
    <row r="719" spans="1:9" x14ac:dyDescent="0.25">
      <c r="A719" s="3" t="s">
        <v>18</v>
      </c>
      <c r="B719" s="3">
        <v>43982</v>
      </c>
      <c r="C719" s="6">
        <v>817</v>
      </c>
      <c r="D719" s="2">
        <f>LEN(Table3[[#This Row],[CLID]])</f>
        <v>7</v>
      </c>
      <c r="I719" s="3"/>
    </row>
    <row r="720" spans="1:9" x14ac:dyDescent="0.25">
      <c r="A720" s="3" t="s">
        <v>18</v>
      </c>
      <c r="B720" s="3">
        <v>44012</v>
      </c>
      <c r="C720" s="6">
        <v>426</v>
      </c>
      <c r="D720" s="2">
        <f>LEN(Table3[[#This Row],[CLID]])</f>
        <v>7</v>
      </c>
      <c r="I720" s="3"/>
    </row>
    <row r="721" spans="1:9" x14ac:dyDescent="0.25">
      <c r="A721" s="3" t="s">
        <v>18</v>
      </c>
      <c r="B721" s="3">
        <v>44043</v>
      </c>
      <c r="C721" s="6">
        <v>559</v>
      </c>
      <c r="D721" s="2">
        <f>LEN(Table3[[#This Row],[CLID]])</f>
        <v>7</v>
      </c>
      <c r="I721" s="3"/>
    </row>
    <row r="722" spans="1:9" x14ac:dyDescent="0.25">
      <c r="A722" s="3" t="s">
        <v>18</v>
      </c>
      <c r="B722" s="3">
        <v>44074</v>
      </c>
      <c r="C722" s="6">
        <v>300</v>
      </c>
      <c r="D722" s="2">
        <f>LEN(Table3[[#This Row],[CLID]])</f>
        <v>7</v>
      </c>
      <c r="I722" s="3"/>
    </row>
    <row r="723" spans="1:9" x14ac:dyDescent="0.25">
      <c r="A723" s="3" t="s">
        <v>18</v>
      </c>
      <c r="B723" s="3">
        <v>44104</v>
      </c>
      <c r="C723" s="6">
        <v>493</v>
      </c>
      <c r="D723" s="2">
        <f>LEN(Table3[[#This Row],[CLID]])</f>
        <v>7</v>
      </c>
      <c r="I723" s="3"/>
    </row>
    <row r="724" spans="1:9" x14ac:dyDescent="0.25">
      <c r="A724" s="3" t="s">
        <v>18</v>
      </c>
      <c r="B724" s="3">
        <v>44135</v>
      </c>
      <c r="C724" s="6">
        <v>364</v>
      </c>
      <c r="D724" s="2">
        <f>LEN(Table3[[#This Row],[CLID]])</f>
        <v>7</v>
      </c>
      <c r="I724" s="3"/>
    </row>
    <row r="725" spans="1:9" x14ac:dyDescent="0.25">
      <c r="A725" s="3" t="s">
        <v>18</v>
      </c>
      <c r="B725" s="3">
        <v>44165</v>
      </c>
      <c r="C725" s="6">
        <v>627</v>
      </c>
      <c r="D725" s="2">
        <f>LEN(Table3[[#This Row],[CLID]])</f>
        <v>7</v>
      </c>
      <c r="I725" s="3"/>
    </row>
    <row r="726" spans="1:9" x14ac:dyDescent="0.25">
      <c r="A726" s="3" t="s">
        <v>18</v>
      </c>
      <c r="B726" s="3">
        <v>44196</v>
      </c>
      <c r="C726" s="6">
        <v>429</v>
      </c>
      <c r="D726" s="2">
        <f>LEN(Table3[[#This Row],[CLID]])</f>
        <v>7</v>
      </c>
      <c r="I726" s="3"/>
    </row>
    <row r="727" spans="1:9" x14ac:dyDescent="0.25">
      <c r="A727" s="3" t="s">
        <v>18</v>
      </c>
      <c r="B727" s="3">
        <v>44377</v>
      </c>
      <c r="C727" s="6">
        <v>441</v>
      </c>
      <c r="D727" s="2">
        <f>LEN(Table3[[#This Row],[CLID]])</f>
        <v>7</v>
      </c>
      <c r="I727" s="3"/>
    </row>
    <row r="728" spans="1:9" x14ac:dyDescent="0.25">
      <c r="A728" s="3" t="s">
        <v>18</v>
      </c>
      <c r="B728" s="3">
        <v>44347</v>
      </c>
      <c r="C728" s="6">
        <v>813</v>
      </c>
      <c r="D728" s="2">
        <f>LEN(Table3[[#This Row],[CLID]])</f>
        <v>7</v>
      </c>
      <c r="I728" s="3"/>
    </row>
    <row r="729" spans="1:9" x14ac:dyDescent="0.25">
      <c r="A729" s="3" t="s">
        <v>18</v>
      </c>
      <c r="B729" s="3">
        <v>44316</v>
      </c>
      <c r="C729" s="6">
        <v>689</v>
      </c>
      <c r="D729" s="2">
        <f>LEN(Table3[[#This Row],[CLID]])</f>
        <v>7</v>
      </c>
      <c r="I729" s="3"/>
    </row>
    <row r="730" spans="1:9" x14ac:dyDescent="0.25">
      <c r="A730" s="3" t="s">
        <v>18</v>
      </c>
      <c r="B730" s="3">
        <v>44286</v>
      </c>
      <c r="C730" s="6">
        <v>769</v>
      </c>
      <c r="D730" s="2">
        <f>LEN(Table3[[#This Row],[CLID]])</f>
        <v>7</v>
      </c>
      <c r="I730" s="3"/>
    </row>
    <row r="731" spans="1:9" x14ac:dyDescent="0.25">
      <c r="A731" s="3" t="s">
        <v>18</v>
      </c>
      <c r="B731" s="3">
        <v>44255</v>
      </c>
      <c r="C731" s="6">
        <v>504</v>
      </c>
      <c r="D731" s="2">
        <f>LEN(Table3[[#This Row],[CLID]])</f>
        <v>7</v>
      </c>
      <c r="I731" s="3"/>
    </row>
    <row r="732" spans="1:9" x14ac:dyDescent="0.25">
      <c r="A732" s="3" t="s">
        <v>18</v>
      </c>
      <c r="B732" s="3">
        <v>44227</v>
      </c>
      <c r="C732" s="6">
        <v>618</v>
      </c>
      <c r="D732" s="2">
        <f>LEN(Table3[[#This Row],[CLID]])</f>
        <v>7</v>
      </c>
      <c r="I732" s="3"/>
    </row>
    <row r="733" spans="1:9" x14ac:dyDescent="0.25">
      <c r="A733" s="3" t="s">
        <v>20</v>
      </c>
      <c r="B733" s="3">
        <v>43861</v>
      </c>
      <c r="C733" s="6">
        <v>19825</v>
      </c>
      <c r="D733" s="2">
        <f>LEN(Table3[[#This Row],[CLID]])</f>
        <v>7</v>
      </c>
      <c r="I733" s="3"/>
    </row>
    <row r="734" spans="1:9" x14ac:dyDescent="0.25">
      <c r="A734" s="3" t="s">
        <v>20</v>
      </c>
      <c r="B734" s="3">
        <v>43890</v>
      </c>
      <c r="C734" s="6">
        <v>28323</v>
      </c>
      <c r="D734" s="2">
        <f>LEN(Table3[[#This Row],[CLID]])</f>
        <v>7</v>
      </c>
      <c r="I734" s="3"/>
    </row>
    <row r="735" spans="1:9" x14ac:dyDescent="0.25">
      <c r="A735" s="3" t="s">
        <v>20</v>
      </c>
      <c r="B735" s="3">
        <v>43921</v>
      </c>
      <c r="C735" s="6">
        <v>25490</v>
      </c>
      <c r="D735" s="2">
        <f>LEN(Table3[[#This Row],[CLID]])</f>
        <v>7</v>
      </c>
      <c r="I735" s="3"/>
    </row>
    <row r="736" spans="1:9" x14ac:dyDescent="0.25">
      <c r="A736" s="3" t="s">
        <v>20</v>
      </c>
      <c r="B736" s="3">
        <v>43951</v>
      </c>
      <c r="C736" s="6">
        <v>36816</v>
      </c>
      <c r="D736" s="2">
        <f>LEN(Table3[[#This Row],[CLID]])</f>
        <v>7</v>
      </c>
      <c r="I736" s="3"/>
    </row>
    <row r="737" spans="1:9" x14ac:dyDescent="0.25">
      <c r="A737" s="3" t="s">
        <v>20</v>
      </c>
      <c r="B737" s="3">
        <v>43982</v>
      </c>
      <c r="C737" s="6">
        <v>28322</v>
      </c>
      <c r="D737" s="2">
        <f>LEN(Table3[[#This Row],[CLID]])</f>
        <v>7</v>
      </c>
      <c r="I737" s="3"/>
    </row>
    <row r="738" spans="1:9" x14ac:dyDescent="0.25">
      <c r="A738" s="3" t="s">
        <v>20</v>
      </c>
      <c r="B738" s="3">
        <v>44012</v>
      </c>
      <c r="C738" s="6">
        <v>25486</v>
      </c>
      <c r="D738" s="2">
        <f>LEN(Table3[[#This Row],[CLID]])</f>
        <v>7</v>
      </c>
      <c r="I738" s="3"/>
    </row>
    <row r="739" spans="1:9" x14ac:dyDescent="0.25">
      <c r="A739" s="3" t="s">
        <v>20</v>
      </c>
      <c r="B739" s="3">
        <v>44043</v>
      </c>
      <c r="C739" s="6">
        <v>16995</v>
      </c>
      <c r="D739" s="2">
        <f>LEN(Table3[[#This Row],[CLID]])</f>
        <v>7</v>
      </c>
      <c r="I739" s="3"/>
    </row>
    <row r="740" spans="1:9" x14ac:dyDescent="0.25">
      <c r="A740" s="3" t="s">
        <v>20</v>
      </c>
      <c r="B740" s="3">
        <v>44074</v>
      </c>
      <c r="C740" s="6">
        <v>19826</v>
      </c>
      <c r="D740" s="2">
        <f>LEN(Table3[[#This Row],[CLID]])</f>
        <v>7</v>
      </c>
      <c r="I740" s="3"/>
    </row>
    <row r="741" spans="1:9" x14ac:dyDescent="0.25">
      <c r="A741" s="3" t="s">
        <v>20</v>
      </c>
      <c r="B741" s="3">
        <v>44104</v>
      </c>
      <c r="C741" s="6">
        <v>14163</v>
      </c>
      <c r="D741" s="2">
        <f>LEN(Table3[[#This Row],[CLID]])</f>
        <v>7</v>
      </c>
      <c r="I741" s="3"/>
    </row>
    <row r="742" spans="1:9" x14ac:dyDescent="0.25">
      <c r="A742" s="3" t="s">
        <v>20</v>
      </c>
      <c r="B742" s="3">
        <v>44135</v>
      </c>
      <c r="C742" s="6">
        <v>22655</v>
      </c>
      <c r="D742" s="2">
        <f>LEN(Table3[[#This Row],[CLID]])</f>
        <v>7</v>
      </c>
      <c r="I742" s="3"/>
    </row>
    <row r="743" spans="1:9" x14ac:dyDescent="0.25">
      <c r="A743" s="3" t="s">
        <v>20</v>
      </c>
      <c r="B743" s="3">
        <v>44165</v>
      </c>
      <c r="C743" s="6">
        <v>19822</v>
      </c>
      <c r="D743" s="2">
        <f>LEN(Table3[[#This Row],[CLID]])</f>
        <v>7</v>
      </c>
      <c r="I743" s="3"/>
    </row>
    <row r="744" spans="1:9" x14ac:dyDescent="0.25">
      <c r="A744" s="3" t="s">
        <v>20</v>
      </c>
      <c r="B744" s="3">
        <v>44196</v>
      </c>
      <c r="C744" s="6">
        <v>25485</v>
      </c>
      <c r="D744" s="2">
        <f>LEN(Table3[[#This Row],[CLID]])</f>
        <v>7</v>
      </c>
      <c r="I744" s="3"/>
    </row>
    <row r="745" spans="1:9" x14ac:dyDescent="0.25">
      <c r="A745" s="3" t="s">
        <v>20</v>
      </c>
      <c r="B745" s="3">
        <v>44377</v>
      </c>
      <c r="C745" s="6">
        <v>26509</v>
      </c>
      <c r="D745" s="2">
        <f>LEN(Table3[[#This Row],[CLID]])</f>
        <v>7</v>
      </c>
      <c r="I745" s="3"/>
    </row>
    <row r="746" spans="1:9" x14ac:dyDescent="0.25">
      <c r="A746" s="3" t="s">
        <v>20</v>
      </c>
      <c r="B746" s="3">
        <v>44347</v>
      </c>
      <c r="C746" s="6">
        <v>28176</v>
      </c>
      <c r="D746" s="2">
        <f>LEN(Table3[[#This Row],[CLID]])</f>
        <v>7</v>
      </c>
      <c r="I746" s="3"/>
    </row>
    <row r="747" spans="1:9" x14ac:dyDescent="0.25">
      <c r="A747" s="3" t="s">
        <v>20</v>
      </c>
      <c r="B747" s="3">
        <v>44316</v>
      </c>
      <c r="C747" s="6">
        <v>37182</v>
      </c>
      <c r="D747" s="2">
        <f>LEN(Table3[[#This Row],[CLID]])</f>
        <v>7</v>
      </c>
      <c r="I747" s="3"/>
    </row>
    <row r="748" spans="1:9" x14ac:dyDescent="0.25">
      <c r="A748" s="3" t="s">
        <v>20</v>
      </c>
      <c r="B748" s="3">
        <v>44286</v>
      </c>
      <c r="C748" s="6">
        <v>25741</v>
      </c>
      <c r="D748" s="2">
        <f>LEN(Table3[[#This Row],[CLID]])</f>
        <v>7</v>
      </c>
      <c r="I748" s="3"/>
    </row>
    <row r="749" spans="1:9" x14ac:dyDescent="0.25">
      <c r="A749" s="3" t="s">
        <v>20</v>
      </c>
      <c r="B749" s="3">
        <v>44255</v>
      </c>
      <c r="C749" s="6">
        <v>28605</v>
      </c>
      <c r="D749" s="2">
        <f>LEN(Table3[[#This Row],[CLID]])</f>
        <v>7</v>
      </c>
      <c r="I749" s="3"/>
    </row>
    <row r="750" spans="1:9" x14ac:dyDescent="0.25">
      <c r="A750" s="3" t="s">
        <v>20</v>
      </c>
      <c r="B750" s="3">
        <v>44227</v>
      </c>
      <c r="C750" s="6">
        <v>20218</v>
      </c>
      <c r="D750" s="2">
        <f>LEN(Table3[[#This Row],[CLID]])</f>
        <v>7</v>
      </c>
      <c r="I750" s="3"/>
    </row>
    <row r="751" spans="1:9" x14ac:dyDescent="0.25">
      <c r="A751" s="3" t="s">
        <v>32</v>
      </c>
      <c r="B751" s="3">
        <v>43861</v>
      </c>
      <c r="C751" s="6">
        <v>967</v>
      </c>
      <c r="D751" s="2">
        <f>LEN(Table3[[#This Row],[CLID]])</f>
        <v>7</v>
      </c>
      <c r="I751" s="3"/>
    </row>
    <row r="752" spans="1:9" x14ac:dyDescent="0.25">
      <c r="A752" s="3" t="s">
        <v>32</v>
      </c>
      <c r="B752" s="3">
        <v>43890</v>
      </c>
      <c r="C752" s="6">
        <v>1088</v>
      </c>
      <c r="D752" s="2">
        <f>LEN(Table3[[#This Row],[CLID]])</f>
        <v>7</v>
      </c>
      <c r="I752" s="3"/>
    </row>
    <row r="753" spans="1:9" x14ac:dyDescent="0.25">
      <c r="A753" s="3" t="s">
        <v>32</v>
      </c>
      <c r="B753" s="3">
        <v>43921</v>
      </c>
      <c r="C753" s="6">
        <v>1209</v>
      </c>
      <c r="D753" s="2">
        <f>LEN(Table3[[#This Row],[CLID]])</f>
        <v>7</v>
      </c>
      <c r="I753" s="3"/>
    </row>
    <row r="754" spans="1:9" x14ac:dyDescent="0.25">
      <c r="A754" s="3" t="s">
        <v>32</v>
      </c>
      <c r="B754" s="3">
        <v>43951</v>
      </c>
      <c r="C754" s="6">
        <v>1449</v>
      </c>
      <c r="D754" s="2">
        <f>LEN(Table3[[#This Row],[CLID]])</f>
        <v>7</v>
      </c>
      <c r="I754" s="3"/>
    </row>
    <row r="755" spans="1:9" x14ac:dyDescent="0.25">
      <c r="A755" s="3" t="s">
        <v>32</v>
      </c>
      <c r="B755" s="3">
        <v>43982</v>
      </c>
      <c r="C755" s="6">
        <v>1327</v>
      </c>
      <c r="D755" s="2">
        <f>LEN(Table3[[#This Row],[CLID]])</f>
        <v>7</v>
      </c>
      <c r="I755" s="3"/>
    </row>
    <row r="756" spans="1:9" x14ac:dyDescent="0.25">
      <c r="A756" s="3" t="s">
        <v>32</v>
      </c>
      <c r="B756" s="3">
        <v>44012</v>
      </c>
      <c r="C756" s="6">
        <v>964</v>
      </c>
      <c r="D756" s="2">
        <f>LEN(Table3[[#This Row],[CLID]])</f>
        <v>7</v>
      </c>
      <c r="I756" s="3"/>
    </row>
    <row r="757" spans="1:9" x14ac:dyDescent="0.25">
      <c r="A757" s="3" t="s">
        <v>32</v>
      </c>
      <c r="B757" s="3">
        <v>44043</v>
      </c>
      <c r="C757" s="6">
        <v>844</v>
      </c>
      <c r="D757" s="2">
        <f>LEN(Table3[[#This Row],[CLID]])</f>
        <v>7</v>
      </c>
      <c r="I757" s="3"/>
    </row>
    <row r="758" spans="1:9" x14ac:dyDescent="0.25">
      <c r="A758" s="3" t="s">
        <v>32</v>
      </c>
      <c r="B758" s="3">
        <v>44074</v>
      </c>
      <c r="C758" s="6">
        <v>728</v>
      </c>
      <c r="D758" s="2">
        <f>LEN(Table3[[#This Row],[CLID]])</f>
        <v>7</v>
      </c>
      <c r="I758" s="3"/>
    </row>
    <row r="759" spans="1:9" x14ac:dyDescent="0.25">
      <c r="A759" s="3" t="s">
        <v>32</v>
      </c>
      <c r="B759" s="3">
        <v>44104</v>
      </c>
      <c r="C759" s="6">
        <v>729</v>
      </c>
      <c r="D759" s="2">
        <f>LEN(Table3[[#This Row],[CLID]])</f>
        <v>7</v>
      </c>
      <c r="I759" s="3"/>
    </row>
    <row r="760" spans="1:9" x14ac:dyDescent="0.25">
      <c r="A760" s="3" t="s">
        <v>32</v>
      </c>
      <c r="B760" s="3">
        <v>44135</v>
      </c>
      <c r="C760" s="6">
        <v>849</v>
      </c>
      <c r="D760" s="2">
        <f>LEN(Table3[[#This Row],[CLID]])</f>
        <v>7</v>
      </c>
      <c r="I760" s="3"/>
    </row>
    <row r="761" spans="1:9" x14ac:dyDescent="0.25">
      <c r="A761" s="3" t="s">
        <v>32</v>
      </c>
      <c r="B761" s="3">
        <v>44165</v>
      </c>
      <c r="C761" s="6">
        <v>970</v>
      </c>
      <c r="D761" s="2">
        <f>LEN(Table3[[#This Row],[CLID]])</f>
        <v>7</v>
      </c>
      <c r="I761" s="3"/>
    </row>
    <row r="762" spans="1:9" x14ac:dyDescent="0.25">
      <c r="A762" s="3" t="s">
        <v>32</v>
      </c>
      <c r="B762" s="3">
        <v>44196</v>
      </c>
      <c r="C762" s="6">
        <v>965</v>
      </c>
      <c r="D762" s="2">
        <f>LEN(Table3[[#This Row],[CLID]])</f>
        <v>7</v>
      </c>
      <c r="I762" s="3"/>
    </row>
    <row r="763" spans="1:9" x14ac:dyDescent="0.25">
      <c r="A763" s="3" t="s">
        <v>32</v>
      </c>
      <c r="B763" s="3">
        <v>44377</v>
      </c>
      <c r="C763" s="6">
        <v>985</v>
      </c>
      <c r="D763" s="2">
        <f>LEN(Table3[[#This Row],[CLID]])</f>
        <v>7</v>
      </c>
      <c r="I763" s="3"/>
    </row>
    <row r="764" spans="1:9" x14ac:dyDescent="0.25">
      <c r="A764" s="3" t="s">
        <v>32</v>
      </c>
      <c r="B764" s="3">
        <v>44347</v>
      </c>
      <c r="C764" s="6">
        <v>1318</v>
      </c>
      <c r="D764" s="2">
        <f>LEN(Table3[[#This Row],[CLID]])</f>
        <v>7</v>
      </c>
      <c r="I764" s="3"/>
    </row>
    <row r="765" spans="1:9" x14ac:dyDescent="0.25">
      <c r="A765" s="3" t="s">
        <v>32</v>
      </c>
      <c r="B765" s="3">
        <v>44316</v>
      </c>
      <c r="C765" s="6">
        <v>1435</v>
      </c>
      <c r="D765" s="2">
        <f>LEN(Table3[[#This Row],[CLID]])</f>
        <v>7</v>
      </c>
      <c r="I765" s="3"/>
    </row>
    <row r="766" spans="1:9" x14ac:dyDescent="0.25">
      <c r="A766" s="3" t="s">
        <v>32</v>
      </c>
      <c r="B766" s="3">
        <v>44286</v>
      </c>
      <c r="C766" s="6">
        <v>1221</v>
      </c>
      <c r="D766" s="2">
        <f>LEN(Table3[[#This Row],[CLID]])</f>
        <v>7</v>
      </c>
      <c r="I766" s="3"/>
    </row>
    <row r="767" spans="1:9" x14ac:dyDescent="0.25">
      <c r="A767" s="3" t="s">
        <v>32</v>
      </c>
      <c r="B767" s="3">
        <v>44255</v>
      </c>
      <c r="C767" s="6">
        <v>1076</v>
      </c>
      <c r="D767" s="2">
        <f>LEN(Table3[[#This Row],[CLID]])</f>
        <v>7</v>
      </c>
      <c r="I767" s="3"/>
    </row>
    <row r="768" spans="1:9" x14ac:dyDescent="0.25">
      <c r="A768" s="3" t="s">
        <v>32</v>
      </c>
      <c r="B768" s="3">
        <v>44227</v>
      </c>
      <c r="C768" s="6">
        <v>998</v>
      </c>
      <c r="D768" s="2">
        <f>LEN(Table3[[#This Row],[CLID]])</f>
        <v>7</v>
      </c>
      <c r="I768" s="3"/>
    </row>
    <row r="769" spans="1:9" x14ac:dyDescent="0.25">
      <c r="A769" s="3" t="s">
        <v>4</v>
      </c>
      <c r="B769" s="3">
        <v>43861</v>
      </c>
      <c r="C769" s="6">
        <v>82</v>
      </c>
      <c r="D769" s="2">
        <f>LEN(Table3[[#This Row],[CLID]])</f>
        <v>7</v>
      </c>
      <c r="I769" s="3"/>
    </row>
    <row r="770" spans="1:9" x14ac:dyDescent="0.25">
      <c r="A770" s="3" t="s">
        <v>4</v>
      </c>
      <c r="B770" s="3">
        <v>43890</v>
      </c>
      <c r="C770" s="6">
        <v>101</v>
      </c>
      <c r="D770" s="2">
        <f>LEN(Table3[[#This Row],[CLID]])</f>
        <v>7</v>
      </c>
      <c r="I770" s="3"/>
    </row>
    <row r="771" spans="1:9" x14ac:dyDescent="0.25">
      <c r="A771" s="3" t="s">
        <v>4</v>
      </c>
      <c r="B771" s="3">
        <v>43921</v>
      </c>
      <c r="C771" s="6">
        <v>102</v>
      </c>
      <c r="D771" s="2">
        <f>LEN(Table3[[#This Row],[CLID]])</f>
        <v>7</v>
      </c>
      <c r="I771" s="3"/>
    </row>
    <row r="772" spans="1:9" x14ac:dyDescent="0.25">
      <c r="A772" s="3" t="s">
        <v>4</v>
      </c>
      <c r="B772" s="3">
        <v>43951</v>
      </c>
      <c r="C772" s="6">
        <v>126</v>
      </c>
      <c r="D772" s="2">
        <f>LEN(Table3[[#This Row],[CLID]])</f>
        <v>7</v>
      </c>
      <c r="I772" s="3"/>
    </row>
    <row r="773" spans="1:9" x14ac:dyDescent="0.25">
      <c r="A773" s="3" t="s">
        <v>4</v>
      </c>
      <c r="B773" s="3">
        <v>43982</v>
      </c>
      <c r="C773" s="6">
        <v>108</v>
      </c>
      <c r="D773" s="2">
        <f>LEN(Table3[[#This Row],[CLID]])</f>
        <v>7</v>
      </c>
      <c r="I773" s="3"/>
    </row>
    <row r="774" spans="1:9" x14ac:dyDescent="0.25">
      <c r="A774" s="3" t="s">
        <v>4</v>
      </c>
      <c r="B774" s="3">
        <v>44012</v>
      </c>
      <c r="C774" s="6">
        <v>88</v>
      </c>
      <c r="D774" s="2">
        <f>LEN(Table3[[#This Row],[CLID]])</f>
        <v>7</v>
      </c>
      <c r="I774" s="3"/>
    </row>
    <row r="775" spans="1:9" x14ac:dyDescent="0.25">
      <c r="A775" s="3" t="s">
        <v>4</v>
      </c>
      <c r="B775" s="3">
        <v>44043</v>
      </c>
      <c r="C775" s="6">
        <v>68</v>
      </c>
      <c r="D775" s="2">
        <f>LEN(Table3[[#This Row],[CLID]])</f>
        <v>7</v>
      </c>
      <c r="I775" s="3"/>
    </row>
    <row r="776" spans="1:9" x14ac:dyDescent="0.25">
      <c r="A776" s="3" t="s">
        <v>4</v>
      </c>
      <c r="B776" s="3">
        <v>44074</v>
      </c>
      <c r="C776" s="6">
        <v>70</v>
      </c>
      <c r="D776" s="2">
        <f>LEN(Table3[[#This Row],[CLID]])</f>
        <v>7</v>
      </c>
      <c r="I776" s="3"/>
    </row>
    <row r="777" spans="1:9" x14ac:dyDescent="0.25">
      <c r="A777" s="3" t="s">
        <v>4</v>
      </c>
      <c r="B777" s="3">
        <v>44104</v>
      </c>
      <c r="C777" s="6">
        <v>58</v>
      </c>
      <c r="D777" s="2">
        <f>LEN(Table3[[#This Row],[CLID]])</f>
        <v>7</v>
      </c>
      <c r="I777" s="3"/>
    </row>
    <row r="778" spans="1:9" x14ac:dyDescent="0.25">
      <c r="A778" s="3" t="s">
        <v>4</v>
      </c>
      <c r="B778" s="3">
        <v>44135</v>
      </c>
      <c r="C778" s="6">
        <v>76</v>
      </c>
      <c r="D778" s="2">
        <f>LEN(Table3[[#This Row],[CLID]])</f>
        <v>7</v>
      </c>
      <c r="I778" s="3"/>
    </row>
    <row r="779" spans="1:9" x14ac:dyDescent="0.25">
      <c r="A779" s="3" t="s">
        <v>4</v>
      </c>
      <c r="B779" s="3">
        <v>44165</v>
      </c>
      <c r="C779" s="6">
        <v>81</v>
      </c>
      <c r="D779" s="2">
        <f>LEN(Table3[[#This Row],[CLID]])</f>
        <v>7</v>
      </c>
      <c r="I779" s="3"/>
    </row>
    <row r="780" spans="1:9" x14ac:dyDescent="0.25">
      <c r="A780" s="3" t="s">
        <v>4</v>
      </c>
      <c r="B780" s="3">
        <v>44196</v>
      </c>
      <c r="C780" s="6">
        <v>88</v>
      </c>
      <c r="D780" s="2">
        <f>LEN(Table3[[#This Row],[CLID]])</f>
        <v>7</v>
      </c>
      <c r="I780" s="3"/>
    </row>
    <row r="781" spans="1:9" x14ac:dyDescent="0.25">
      <c r="A781" s="3" t="s">
        <v>4</v>
      </c>
      <c r="B781" s="3">
        <v>44377</v>
      </c>
      <c r="C781" s="6">
        <v>91</v>
      </c>
      <c r="D781" s="2">
        <f>LEN(Table3[[#This Row],[CLID]])</f>
        <v>7</v>
      </c>
      <c r="I781" s="3"/>
    </row>
    <row r="782" spans="1:9" x14ac:dyDescent="0.25">
      <c r="A782" s="3" t="s">
        <v>4</v>
      </c>
      <c r="B782" s="3">
        <v>44347</v>
      </c>
      <c r="C782" s="6">
        <v>109</v>
      </c>
      <c r="D782" s="2">
        <f>LEN(Table3[[#This Row],[CLID]])</f>
        <v>7</v>
      </c>
      <c r="I782" s="3"/>
    </row>
    <row r="783" spans="1:9" x14ac:dyDescent="0.25">
      <c r="A783" s="3" t="s">
        <v>4</v>
      </c>
      <c r="B783" s="3">
        <v>44316</v>
      </c>
      <c r="C783" s="6">
        <v>130</v>
      </c>
      <c r="D783" s="2">
        <f>LEN(Table3[[#This Row],[CLID]])</f>
        <v>7</v>
      </c>
      <c r="I783" s="3"/>
    </row>
    <row r="784" spans="1:9" x14ac:dyDescent="0.25">
      <c r="A784" s="3" t="s">
        <v>4</v>
      </c>
      <c r="B784" s="3">
        <v>44286</v>
      </c>
      <c r="C784" s="6">
        <v>105</v>
      </c>
      <c r="D784" s="2">
        <f>LEN(Table3[[#This Row],[CLID]])</f>
        <v>7</v>
      </c>
      <c r="I784" s="3"/>
    </row>
    <row r="785" spans="1:9" x14ac:dyDescent="0.25">
      <c r="A785" s="3" t="s">
        <v>4</v>
      </c>
      <c r="B785" s="3">
        <v>44255</v>
      </c>
      <c r="C785" s="6">
        <v>98</v>
      </c>
      <c r="D785" s="2">
        <f>LEN(Table3[[#This Row],[CLID]])</f>
        <v>7</v>
      </c>
      <c r="I785" s="3"/>
    </row>
    <row r="786" spans="1:9" x14ac:dyDescent="0.25">
      <c r="A786" s="3" t="s">
        <v>4</v>
      </c>
      <c r="B786" s="3">
        <v>44227</v>
      </c>
      <c r="C786" s="6">
        <v>77</v>
      </c>
      <c r="D786" s="2">
        <f>LEN(Table3[[#This Row],[CLID]])</f>
        <v>7</v>
      </c>
      <c r="I786" s="3"/>
    </row>
    <row r="787" spans="1:9" x14ac:dyDescent="0.25">
      <c r="A787" s="3" t="s">
        <v>19</v>
      </c>
      <c r="B787" s="3">
        <v>43861</v>
      </c>
      <c r="C787" s="6">
        <v>568</v>
      </c>
      <c r="D787" s="2">
        <f>LEN(Table3[[#This Row],[CLID]])</f>
        <v>7</v>
      </c>
      <c r="I787" s="3"/>
    </row>
    <row r="788" spans="1:9" x14ac:dyDescent="0.25">
      <c r="A788" s="3" t="s">
        <v>19</v>
      </c>
      <c r="B788" s="3">
        <v>43890</v>
      </c>
      <c r="C788" s="6">
        <v>636</v>
      </c>
      <c r="D788" s="2">
        <f>LEN(Table3[[#This Row],[CLID]])</f>
        <v>7</v>
      </c>
      <c r="I788" s="3"/>
    </row>
    <row r="789" spans="1:9" x14ac:dyDescent="0.25">
      <c r="A789" s="3" t="s">
        <v>19</v>
      </c>
      <c r="B789" s="3">
        <v>43921</v>
      </c>
      <c r="C789" s="6">
        <v>707</v>
      </c>
      <c r="D789" s="2">
        <f>LEN(Table3[[#This Row],[CLID]])</f>
        <v>7</v>
      </c>
      <c r="I789" s="3"/>
    </row>
    <row r="790" spans="1:9" x14ac:dyDescent="0.25">
      <c r="A790" s="3" t="s">
        <v>19</v>
      </c>
      <c r="B790" s="3">
        <v>43951</v>
      </c>
      <c r="C790" s="6">
        <v>849</v>
      </c>
      <c r="D790" s="2">
        <f>LEN(Table3[[#This Row],[CLID]])</f>
        <v>7</v>
      </c>
      <c r="I790" s="3"/>
    </row>
    <row r="791" spans="1:9" x14ac:dyDescent="0.25">
      <c r="A791" s="3" t="s">
        <v>19</v>
      </c>
      <c r="B791" s="3">
        <v>43982</v>
      </c>
      <c r="C791" s="6">
        <v>779</v>
      </c>
      <c r="D791" s="2">
        <f>LEN(Table3[[#This Row],[CLID]])</f>
        <v>7</v>
      </c>
      <c r="I791" s="3"/>
    </row>
    <row r="792" spans="1:9" x14ac:dyDescent="0.25">
      <c r="A792" s="3" t="s">
        <v>19</v>
      </c>
      <c r="B792" s="3">
        <v>44012</v>
      </c>
      <c r="C792" s="6">
        <v>566</v>
      </c>
      <c r="D792" s="2">
        <f>LEN(Table3[[#This Row],[CLID]])</f>
        <v>7</v>
      </c>
      <c r="I792" s="3"/>
    </row>
    <row r="793" spans="1:9" x14ac:dyDescent="0.25">
      <c r="A793" s="3" t="s">
        <v>19</v>
      </c>
      <c r="B793" s="3">
        <v>44043</v>
      </c>
      <c r="C793" s="6">
        <v>498</v>
      </c>
      <c r="D793" s="2">
        <f>LEN(Table3[[#This Row],[CLID]])</f>
        <v>7</v>
      </c>
      <c r="I793" s="3"/>
    </row>
    <row r="794" spans="1:9" x14ac:dyDescent="0.25">
      <c r="A794" s="3" t="s">
        <v>19</v>
      </c>
      <c r="B794" s="3">
        <v>44074</v>
      </c>
      <c r="C794" s="6">
        <v>426</v>
      </c>
      <c r="D794" s="2">
        <f>LEN(Table3[[#This Row],[CLID]])</f>
        <v>7</v>
      </c>
      <c r="I794" s="3"/>
    </row>
    <row r="795" spans="1:9" x14ac:dyDescent="0.25">
      <c r="A795" s="3" t="s">
        <v>19</v>
      </c>
      <c r="B795" s="3">
        <v>44104</v>
      </c>
      <c r="C795" s="6">
        <v>423</v>
      </c>
      <c r="D795" s="2">
        <f>LEN(Table3[[#This Row],[CLID]])</f>
        <v>7</v>
      </c>
      <c r="I795" s="3"/>
    </row>
    <row r="796" spans="1:9" x14ac:dyDescent="0.25">
      <c r="A796" s="3" t="s">
        <v>19</v>
      </c>
      <c r="B796" s="3">
        <v>44135</v>
      </c>
      <c r="C796" s="6">
        <v>495</v>
      </c>
      <c r="D796" s="2">
        <f>LEN(Table3[[#This Row],[CLID]])</f>
        <v>7</v>
      </c>
      <c r="I796" s="3"/>
    </row>
    <row r="797" spans="1:9" x14ac:dyDescent="0.25">
      <c r="A797" s="3" t="s">
        <v>19</v>
      </c>
      <c r="B797" s="3">
        <v>44165</v>
      </c>
      <c r="C797" s="6">
        <v>569</v>
      </c>
      <c r="D797" s="2">
        <f>LEN(Table3[[#This Row],[CLID]])</f>
        <v>7</v>
      </c>
      <c r="I797" s="3"/>
    </row>
    <row r="798" spans="1:9" x14ac:dyDescent="0.25">
      <c r="A798" s="3" t="s">
        <v>19</v>
      </c>
      <c r="B798" s="3">
        <v>44196</v>
      </c>
      <c r="C798" s="6">
        <v>567</v>
      </c>
      <c r="D798" s="2">
        <f>LEN(Table3[[#This Row],[CLID]])</f>
        <v>7</v>
      </c>
      <c r="I798" s="3"/>
    </row>
    <row r="799" spans="1:9" x14ac:dyDescent="0.25">
      <c r="A799" s="3" t="s">
        <v>19</v>
      </c>
      <c r="B799" s="3">
        <v>44377</v>
      </c>
      <c r="C799" s="6">
        <v>563</v>
      </c>
      <c r="D799" s="2">
        <f>LEN(Table3[[#This Row],[CLID]])</f>
        <v>7</v>
      </c>
      <c r="I799" s="3"/>
    </row>
    <row r="800" spans="1:9" x14ac:dyDescent="0.25">
      <c r="A800" s="3" t="s">
        <v>19</v>
      </c>
      <c r="B800" s="3">
        <v>44347</v>
      </c>
      <c r="C800" s="6">
        <v>789</v>
      </c>
      <c r="D800" s="2">
        <f>LEN(Table3[[#This Row],[CLID]])</f>
        <v>7</v>
      </c>
      <c r="I800" s="3"/>
    </row>
    <row r="801" spans="1:9" x14ac:dyDescent="0.25">
      <c r="A801" s="3" t="s">
        <v>19</v>
      </c>
      <c r="B801" s="3">
        <v>44316</v>
      </c>
      <c r="C801" s="6">
        <v>862</v>
      </c>
      <c r="D801" s="2">
        <f>LEN(Table3[[#This Row],[CLID]])</f>
        <v>7</v>
      </c>
      <c r="I801" s="3"/>
    </row>
    <row r="802" spans="1:9" x14ac:dyDescent="0.25">
      <c r="A802" s="3" t="s">
        <v>19</v>
      </c>
      <c r="B802" s="3">
        <v>44286</v>
      </c>
      <c r="C802" s="6">
        <v>702</v>
      </c>
      <c r="D802" s="2">
        <f>LEN(Table3[[#This Row],[CLID]])</f>
        <v>7</v>
      </c>
      <c r="I802" s="3"/>
    </row>
    <row r="803" spans="1:9" x14ac:dyDescent="0.25">
      <c r="A803" s="3" t="s">
        <v>19</v>
      </c>
      <c r="B803" s="3">
        <v>44255</v>
      </c>
      <c r="C803" s="6">
        <v>652</v>
      </c>
      <c r="D803" s="2">
        <f>LEN(Table3[[#This Row],[CLID]])</f>
        <v>7</v>
      </c>
      <c r="I803" s="3"/>
    </row>
    <row r="804" spans="1:9" x14ac:dyDescent="0.25">
      <c r="A804" s="3" t="s">
        <v>19</v>
      </c>
      <c r="B804" s="3">
        <v>44227</v>
      </c>
      <c r="C804" s="6">
        <v>557</v>
      </c>
      <c r="D804" s="2">
        <f>LEN(Table3[[#This Row],[CLID]])</f>
        <v>7</v>
      </c>
      <c r="I804" s="3"/>
    </row>
    <row r="805" spans="1:9" x14ac:dyDescent="0.25">
      <c r="A805" s="3" t="s">
        <v>29</v>
      </c>
      <c r="B805" s="3">
        <v>43861</v>
      </c>
      <c r="C805" s="6">
        <v>902</v>
      </c>
      <c r="D805" s="2">
        <f>LEN(Table3[[#This Row],[CLID]])</f>
        <v>7</v>
      </c>
      <c r="I805" s="3"/>
    </row>
    <row r="806" spans="1:9" x14ac:dyDescent="0.25">
      <c r="A806" s="3" t="s">
        <v>29</v>
      </c>
      <c r="B806" s="3">
        <v>43890</v>
      </c>
      <c r="C806" s="6">
        <v>897</v>
      </c>
      <c r="D806" s="2">
        <f>LEN(Table3[[#This Row],[CLID]])</f>
        <v>7</v>
      </c>
      <c r="I806" s="3"/>
    </row>
    <row r="807" spans="1:9" x14ac:dyDescent="0.25">
      <c r="A807" s="3" t="s">
        <v>29</v>
      </c>
      <c r="B807" s="3">
        <v>43921</v>
      </c>
      <c r="C807" s="6">
        <v>1112</v>
      </c>
      <c r="D807" s="2">
        <f>LEN(Table3[[#This Row],[CLID]])</f>
        <v>7</v>
      </c>
      <c r="I807" s="3"/>
    </row>
    <row r="808" spans="1:9" x14ac:dyDescent="0.25">
      <c r="A808" s="3" t="s">
        <v>29</v>
      </c>
      <c r="B808" s="3">
        <v>43951</v>
      </c>
      <c r="C808" s="6">
        <v>1214</v>
      </c>
      <c r="D808" s="2">
        <f>LEN(Table3[[#This Row],[CLID]])</f>
        <v>7</v>
      </c>
      <c r="I808" s="3"/>
    </row>
    <row r="809" spans="1:9" x14ac:dyDescent="0.25">
      <c r="A809" s="3" t="s">
        <v>29</v>
      </c>
      <c r="B809" s="3">
        <v>43982</v>
      </c>
      <c r="C809" s="6">
        <v>1219</v>
      </c>
      <c r="D809" s="2">
        <f>LEN(Table3[[#This Row],[CLID]])</f>
        <v>7</v>
      </c>
      <c r="I809" s="3"/>
    </row>
    <row r="810" spans="1:9" x14ac:dyDescent="0.25">
      <c r="A810" s="3" t="s">
        <v>29</v>
      </c>
      <c r="B810" s="3">
        <v>44012</v>
      </c>
      <c r="C810" s="6">
        <v>795</v>
      </c>
      <c r="D810" s="2">
        <f>LEN(Table3[[#This Row],[CLID]])</f>
        <v>7</v>
      </c>
      <c r="I810" s="3"/>
    </row>
    <row r="811" spans="1:9" x14ac:dyDescent="0.25">
      <c r="A811" s="3" t="s">
        <v>29</v>
      </c>
      <c r="B811" s="3">
        <v>44043</v>
      </c>
      <c r="C811" s="6">
        <v>794</v>
      </c>
      <c r="D811" s="2">
        <f>LEN(Table3[[#This Row],[CLID]])</f>
        <v>7</v>
      </c>
      <c r="I811" s="3"/>
    </row>
    <row r="812" spans="1:9" x14ac:dyDescent="0.25">
      <c r="A812" s="3" t="s">
        <v>29</v>
      </c>
      <c r="B812" s="3">
        <v>44074</v>
      </c>
      <c r="C812" s="6">
        <v>581</v>
      </c>
      <c r="D812" s="2">
        <f>LEN(Table3[[#This Row],[CLID]])</f>
        <v>7</v>
      </c>
      <c r="I812" s="3"/>
    </row>
    <row r="813" spans="1:9" x14ac:dyDescent="0.25">
      <c r="A813" s="3" t="s">
        <v>29</v>
      </c>
      <c r="B813" s="3">
        <v>44104</v>
      </c>
      <c r="C813" s="6">
        <v>690</v>
      </c>
      <c r="D813" s="2">
        <f>LEN(Table3[[#This Row],[CLID]])</f>
        <v>7</v>
      </c>
      <c r="I813" s="3"/>
    </row>
    <row r="814" spans="1:9" x14ac:dyDescent="0.25">
      <c r="A814" s="3" t="s">
        <v>29</v>
      </c>
      <c r="B814" s="3">
        <v>44135</v>
      </c>
      <c r="C814" s="6">
        <v>690</v>
      </c>
      <c r="D814" s="2">
        <f>LEN(Table3[[#This Row],[CLID]])</f>
        <v>7</v>
      </c>
      <c r="I814" s="3"/>
    </row>
    <row r="815" spans="1:9" x14ac:dyDescent="0.25">
      <c r="A815" s="3" t="s">
        <v>29</v>
      </c>
      <c r="B815" s="3">
        <v>44165</v>
      </c>
      <c r="C815" s="6">
        <v>899</v>
      </c>
      <c r="D815" s="2">
        <f>LEN(Table3[[#This Row],[CLID]])</f>
        <v>7</v>
      </c>
      <c r="I815" s="3"/>
    </row>
    <row r="816" spans="1:9" x14ac:dyDescent="0.25">
      <c r="A816" s="3" t="s">
        <v>29</v>
      </c>
      <c r="B816" s="3">
        <v>44196</v>
      </c>
      <c r="C816" s="6">
        <v>793</v>
      </c>
      <c r="D816" s="2">
        <f>LEN(Table3[[#This Row],[CLID]])</f>
        <v>7</v>
      </c>
      <c r="I816" s="3"/>
    </row>
    <row r="817" spans="1:9" x14ac:dyDescent="0.25">
      <c r="A817" s="3" t="s">
        <v>29</v>
      </c>
      <c r="B817" s="3">
        <v>44377</v>
      </c>
      <c r="C817" s="6">
        <v>820</v>
      </c>
      <c r="D817" s="2">
        <f>LEN(Table3[[#This Row],[CLID]])</f>
        <v>7</v>
      </c>
      <c r="I817" s="3"/>
    </row>
    <row r="818" spans="1:9" x14ac:dyDescent="0.25">
      <c r="A818" s="3" t="s">
        <v>29</v>
      </c>
      <c r="B818" s="3">
        <v>44347</v>
      </c>
      <c r="C818" s="6">
        <v>1231</v>
      </c>
      <c r="D818" s="2">
        <f>LEN(Table3[[#This Row],[CLID]])</f>
        <v>7</v>
      </c>
      <c r="I818" s="3"/>
    </row>
    <row r="819" spans="1:9" x14ac:dyDescent="0.25">
      <c r="A819" s="3" t="s">
        <v>29</v>
      </c>
      <c r="B819" s="3">
        <v>44316</v>
      </c>
      <c r="C819" s="6">
        <v>1204</v>
      </c>
      <c r="D819" s="2">
        <f>LEN(Table3[[#This Row],[CLID]])</f>
        <v>7</v>
      </c>
      <c r="I819" s="3"/>
    </row>
    <row r="820" spans="1:9" x14ac:dyDescent="0.25">
      <c r="A820" s="3" t="s">
        <v>29</v>
      </c>
      <c r="B820" s="3">
        <v>44286</v>
      </c>
      <c r="C820" s="6">
        <v>1120</v>
      </c>
      <c r="D820" s="2">
        <f>LEN(Table3[[#This Row],[CLID]])</f>
        <v>7</v>
      </c>
      <c r="I820" s="3"/>
    </row>
    <row r="821" spans="1:9" x14ac:dyDescent="0.25">
      <c r="A821" s="3" t="s">
        <v>29</v>
      </c>
      <c r="B821" s="3">
        <v>44255</v>
      </c>
      <c r="C821" s="6">
        <v>945</v>
      </c>
      <c r="D821" s="2">
        <f>LEN(Table3[[#This Row],[CLID]])</f>
        <v>7</v>
      </c>
      <c r="I821" s="3"/>
    </row>
    <row r="822" spans="1:9" x14ac:dyDescent="0.25">
      <c r="A822" s="3" t="s">
        <v>29</v>
      </c>
      <c r="B822" s="3">
        <v>44227</v>
      </c>
      <c r="C822" s="6">
        <v>936</v>
      </c>
      <c r="D822" s="2">
        <f>LEN(Table3[[#This Row],[CLID]])</f>
        <v>7</v>
      </c>
      <c r="I822" s="3"/>
    </row>
    <row r="823" spans="1:9" x14ac:dyDescent="0.25">
      <c r="A823" s="3" t="s">
        <v>39</v>
      </c>
      <c r="B823" s="3">
        <v>43861</v>
      </c>
      <c r="C823" s="6">
        <v>1244</v>
      </c>
      <c r="D823" s="2">
        <f>LEN(Table3[[#This Row],[CLID]])</f>
        <v>7</v>
      </c>
      <c r="I823" s="3"/>
    </row>
    <row r="824" spans="1:9" x14ac:dyDescent="0.25">
      <c r="A824" s="3" t="s">
        <v>39</v>
      </c>
      <c r="B824" s="3">
        <v>43890</v>
      </c>
      <c r="C824" s="6">
        <v>1240</v>
      </c>
      <c r="D824" s="2">
        <f>LEN(Table3[[#This Row],[CLID]])</f>
        <v>7</v>
      </c>
      <c r="I824" s="3"/>
    </row>
    <row r="825" spans="1:9" x14ac:dyDescent="0.25">
      <c r="A825" s="3" t="s">
        <v>39</v>
      </c>
      <c r="B825" s="3">
        <v>43921</v>
      </c>
      <c r="C825" s="6">
        <v>1534</v>
      </c>
      <c r="D825" s="2">
        <f>LEN(Table3[[#This Row],[CLID]])</f>
        <v>7</v>
      </c>
      <c r="I825" s="3"/>
    </row>
    <row r="826" spans="1:9" x14ac:dyDescent="0.25">
      <c r="A826" s="3" t="s">
        <v>39</v>
      </c>
      <c r="B826" s="3">
        <v>43951</v>
      </c>
      <c r="C826" s="6">
        <v>1675</v>
      </c>
      <c r="D826" s="2">
        <f>LEN(Table3[[#This Row],[CLID]])</f>
        <v>7</v>
      </c>
      <c r="I826" s="3"/>
    </row>
    <row r="827" spans="1:9" x14ac:dyDescent="0.25">
      <c r="A827" s="3" t="s">
        <v>39</v>
      </c>
      <c r="B827" s="3">
        <v>43982</v>
      </c>
      <c r="C827" s="6">
        <v>1680</v>
      </c>
      <c r="D827" s="2">
        <f>LEN(Table3[[#This Row],[CLID]])</f>
        <v>7</v>
      </c>
      <c r="I827" s="3"/>
    </row>
    <row r="828" spans="1:9" x14ac:dyDescent="0.25">
      <c r="A828" s="3" t="s">
        <v>39</v>
      </c>
      <c r="B828" s="3">
        <v>44012</v>
      </c>
      <c r="C828" s="6">
        <v>1094</v>
      </c>
      <c r="D828" s="2">
        <f>LEN(Table3[[#This Row],[CLID]])</f>
        <v>7</v>
      </c>
      <c r="I828" s="3"/>
    </row>
    <row r="829" spans="1:9" x14ac:dyDescent="0.25">
      <c r="A829" s="3" t="s">
        <v>39</v>
      </c>
      <c r="B829" s="3">
        <v>44043</v>
      </c>
      <c r="C829" s="6">
        <v>1095</v>
      </c>
      <c r="D829" s="2">
        <f>LEN(Table3[[#This Row],[CLID]])</f>
        <v>7</v>
      </c>
      <c r="I829" s="3"/>
    </row>
    <row r="830" spans="1:9" x14ac:dyDescent="0.25">
      <c r="A830" s="3" t="s">
        <v>39</v>
      </c>
      <c r="B830" s="3">
        <v>44074</v>
      </c>
      <c r="C830" s="6">
        <v>807</v>
      </c>
      <c r="D830" s="2">
        <f>LEN(Table3[[#This Row],[CLID]])</f>
        <v>7</v>
      </c>
      <c r="I830" s="3"/>
    </row>
    <row r="831" spans="1:9" x14ac:dyDescent="0.25">
      <c r="A831" s="3" t="s">
        <v>39</v>
      </c>
      <c r="B831" s="3">
        <v>44104</v>
      </c>
      <c r="C831" s="6">
        <v>950</v>
      </c>
      <c r="D831" s="2">
        <f>LEN(Table3[[#This Row],[CLID]])</f>
        <v>7</v>
      </c>
      <c r="I831" s="3"/>
    </row>
    <row r="832" spans="1:9" x14ac:dyDescent="0.25">
      <c r="A832" s="3" t="s">
        <v>39</v>
      </c>
      <c r="B832" s="3">
        <v>44135</v>
      </c>
      <c r="C832" s="6">
        <v>947</v>
      </c>
      <c r="D832" s="2">
        <f>LEN(Table3[[#This Row],[CLID]])</f>
        <v>7</v>
      </c>
      <c r="I832" s="3"/>
    </row>
    <row r="833" spans="1:9" x14ac:dyDescent="0.25">
      <c r="A833" s="3" t="s">
        <v>39</v>
      </c>
      <c r="B833" s="3">
        <v>44165</v>
      </c>
      <c r="C833" s="6">
        <v>1239</v>
      </c>
      <c r="D833" s="2">
        <f>LEN(Table3[[#This Row],[CLID]])</f>
        <v>7</v>
      </c>
      <c r="I833" s="3"/>
    </row>
    <row r="834" spans="1:9" x14ac:dyDescent="0.25">
      <c r="A834" s="3" t="s">
        <v>39</v>
      </c>
      <c r="B834" s="3">
        <v>44196</v>
      </c>
      <c r="C834" s="6">
        <v>1092</v>
      </c>
      <c r="D834" s="2">
        <f>LEN(Table3[[#This Row],[CLID]])</f>
        <v>7</v>
      </c>
      <c r="I834" s="3"/>
    </row>
    <row r="835" spans="1:9" x14ac:dyDescent="0.25">
      <c r="A835" s="3" t="s">
        <v>39</v>
      </c>
      <c r="B835" s="3">
        <v>44377</v>
      </c>
      <c r="C835" s="6">
        <v>1153</v>
      </c>
      <c r="D835" s="2">
        <f>LEN(Table3[[#This Row],[CLID]])</f>
        <v>7</v>
      </c>
      <c r="I835" s="3"/>
    </row>
    <row r="836" spans="1:9" x14ac:dyDescent="0.25">
      <c r="A836" s="3" t="s">
        <v>39</v>
      </c>
      <c r="B836" s="3">
        <v>44347</v>
      </c>
      <c r="C836" s="6">
        <v>1659</v>
      </c>
      <c r="D836" s="2">
        <f>LEN(Table3[[#This Row],[CLID]])</f>
        <v>7</v>
      </c>
      <c r="I836" s="3"/>
    </row>
    <row r="837" spans="1:9" x14ac:dyDescent="0.25">
      <c r="A837" s="3" t="s">
        <v>39</v>
      </c>
      <c r="B837" s="3">
        <v>44316</v>
      </c>
      <c r="C837" s="6">
        <v>1710</v>
      </c>
      <c r="D837" s="2">
        <f>LEN(Table3[[#This Row],[CLID]])</f>
        <v>7</v>
      </c>
      <c r="I837" s="3"/>
    </row>
    <row r="838" spans="1:9" x14ac:dyDescent="0.25">
      <c r="A838" s="3" t="s">
        <v>39</v>
      </c>
      <c r="B838" s="3">
        <v>44286</v>
      </c>
      <c r="C838" s="6">
        <v>1546</v>
      </c>
      <c r="D838" s="2">
        <f>LEN(Table3[[#This Row],[CLID]])</f>
        <v>7</v>
      </c>
      <c r="I838" s="3"/>
    </row>
    <row r="839" spans="1:9" x14ac:dyDescent="0.25">
      <c r="A839" s="3" t="s">
        <v>39</v>
      </c>
      <c r="B839" s="3">
        <v>44255</v>
      </c>
      <c r="C839" s="6">
        <v>1289</v>
      </c>
      <c r="D839" s="2">
        <f>LEN(Table3[[#This Row],[CLID]])</f>
        <v>7</v>
      </c>
      <c r="I839" s="3"/>
    </row>
    <row r="840" spans="1:9" x14ac:dyDescent="0.25">
      <c r="A840" s="3" t="s">
        <v>39</v>
      </c>
      <c r="B840" s="3">
        <v>44227</v>
      </c>
      <c r="C840" s="6">
        <v>1236</v>
      </c>
      <c r="D840" s="2">
        <f>LEN(Table3[[#This Row],[CLID]])</f>
        <v>7</v>
      </c>
      <c r="I840" s="3"/>
    </row>
    <row r="841" spans="1:9" x14ac:dyDescent="0.25">
      <c r="A841" s="3" t="s">
        <v>47</v>
      </c>
      <c r="B841" s="3">
        <v>43861</v>
      </c>
      <c r="C841" s="6">
        <v>1362</v>
      </c>
      <c r="D841" s="2">
        <f>LEN(Table3[[#This Row],[CLID]])</f>
        <v>7</v>
      </c>
      <c r="I841" s="3"/>
    </row>
    <row r="842" spans="1:9" x14ac:dyDescent="0.25">
      <c r="A842" s="3" t="s">
        <v>47</v>
      </c>
      <c r="B842" s="3">
        <v>43890</v>
      </c>
      <c r="C842" s="6">
        <v>1719</v>
      </c>
      <c r="D842" s="2">
        <f>LEN(Table3[[#This Row],[CLID]])</f>
        <v>7</v>
      </c>
      <c r="I842" s="3"/>
    </row>
    <row r="843" spans="1:9" x14ac:dyDescent="0.25">
      <c r="A843" s="3" t="s">
        <v>47</v>
      </c>
      <c r="B843" s="3">
        <v>43921</v>
      </c>
      <c r="C843" s="6">
        <v>1717</v>
      </c>
      <c r="D843" s="2">
        <f>LEN(Table3[[#This Row],[CLID]])</f>
        <v>7</v>
      </c>
      <c r="I843" s="3"/>
    </row>
    <row r="844" spans="1:9" x14ac:dyDescent="0.25">
      <c r="A844" s="3" t="s">
        <v>47</v>
      </c>
      <c r="B844" s="3">
        <v>43951</v>
      </c>
      <c r="C844" s="6">
        <v>2259</v>
      </c>
      <c r="D844" s="2">
        <f>LEN(Table3[[#This Row],[CLID]])</f>
        <v>7</v>
      </c>
      <c r="I844" s="3"/>
    </row>
    <row r="845" spans="1:9" x14ac:dyDescent="0.25">
      <c r="A845" s="3" t="s">
        <v>47</v>
      </c>
      <c r="B845" s="3">
        <v>43982</v>
      </c>
      <c r="C845" s="6">
        <v>1898</v>
      </c>
      <c r="D845" s="2">
        <f>LEN(Table3[[#This Row],[CLID]])</f>
        <v>7</v>
      </c>
      <c r="I845" s="3"/>
    </row>
    <row r="846" spans="1:9" x14ac:dyDescent="0.25">
      <c r="A846" s="3" t="s">
        <v>47</v>
      </c>
      <c r="B846" s="3">
        <v>44012</v>
      </c>
      <c r="C846" s="6">
        <v>1539</v>
      </c>
      <c r="D846" s="2">
        <f>LEN(Table3[[#This Row],[CLID]])</f>
        <v>7</v>
      </c>
      <c r="I846" s="3"/>
    </row>
    <row r="847" spans="1:9" x14ac:dyDescent="0.25">
      <c r="A847" s="3" t="s">
        <v>47</v>
      </c>
      <c r="B847" s="3">
        <v>44043</v>
      </c>
      <c r="C847" s="6">
        <v>1180</v>
      </c>
      <c r="D847" s="2">
        <f>LEN(Table3[[#This Row],[CLID]])</f>
        <v>7</v>
      </c>
      <c r="I847" s="3"/>
    </row>
    <row r="848" spans="1:9" x14ac:dyDescent="0.25">
      <c r="A848" s="3" t="s">
        <v>47</v>
      </c>
      <c r="B848" s="3">
        <v>44074</v>
      </c>
      <c r="C848" s="6">
        <v>1175</v>
      </c>
      <c r="D848" s="2">
        <f>LEN(Table3[[#This Row],[CLID]])</f>
        <v>7</v>
      </c>
      <c r="I848" s="3"/>
    </row>
    <row r="849" spans="1:9" x14ac:dyDescent="0.25">
      <c r="A849" s="3" t="s">
        <v>47</v>
      </c>
      <c r="B849" s="3">
        <v>44104</v>
      </c>
      <c r="C849" s="6">
        <v>999</v>
      </c>
      <c r="D849" s="2">
        <f>LEN(Table3[[#This Row],[CLID]])</f>
        <v>7</v>
      </c>
      <c r="I849" s="3"/>
    </row>
    <row r="850" spans="1:9" x14ac:dyDescent="0.25">
      <c r="A850" s="3" t="s">
        <v>47</v>
      </c>
      <c r="B850" s="3">
        <v>44135</v>
      </c>
      <c r="C850" s="6">
        <v>1361</v>
      </c>
      <c r="D850" s="2">
        <f>LEN(Table3[[#This Row],[CLID]])</f>
        <v>7</v>
      </c>
      <c r="I850" s="3"/>
    </row>
    <row r="851" spans="1:9" x14ac:dyDescent="0.25">
      <c r="A851" s="3" t="s">
        <v>47</v>
      </c>
      <c r="B851" s="3">
        <v>44165</v>
      </c>
      <c r="C851" s="6">
        <v>1358</v>
      </c>
      <c r="D851" s="2">
        <f>LEN(Table3[[#This Row],[CLID]])</f>
        <v>7</v>
      </c>
      <c r="I851" s="3"/>
    </row>
    <row r="852" spans="1:9" x14ac:dyDescent="0.25">
      <c r="A852" s="3" t="s">
        <v>47</v>
      </c>
      <c r="B852" s="3">
        <v>44196</v>
      </c>
      <c r="C852" s="6">
        <v>1542</v>
      </c>
      <c r="D852" s="2">
        <f>LEN(Table3[[#This Row],[CLID]])</f>
        <v>7</v>
      </c>
      <c r="I852" s="3"/>
    </row>
    <row r="853" spans="1:9" x14ac:dyDescent="0.25">
      <c r="A853" s="3" t="s">
        <v>47</v>
      </c>
      <c r="B853" s="3">
        <v>44377</v>
      </c>
      <c r="C853" s="6">
        <v>1553</v>
      </c>
      <c r="D853" s="2">
        <f>LEN(Table3[[#This Row],[CLID]])</f>
        <v>7</v>
      </c>
      <c r="I853" s="3"/>
    </row>
    <row r="854" spans="1:9" x14ac:dyDescent="0.25">
      <c r="A854" s="3" t="s">
        <v>47</v>
      </c>
      <c r="B854" s="3">
        <v>44347</v>
      </c>
      <c r="C854" s="6">
        <v>1998</v>
      </c>
      <c r="D854" s="2">
        <f>LEN(Table3[[#This Row],[CLID]])</f>
        <v>7</v>
      </c>
      <c r="I854" s="3"/>
    </row>
    <row r="855" spans="1:9" x14ac:dyDescent="0.25">
      <c r="A855" s="3" t="s">
        <v>47</v>
      </c>
      <c r="B855" s="3">
        <v>44316</v>
      </c>
      <c r="C855" s="6">
        <v>2309</v>
      </c>
      <c r="D855" s="2">
        <f>LEN(Table3[[#This Row],[CLID]])</f>
        <v>7</v>
      </c>
      <c r="I855" s="3"/>
    </row>
    <row r="856" spans="1:9" x14ac:dyDescent="0.25">
      <c r="A856" s="3" t="s">
        <v>47</v>
      </c>
      <c r="B856" s="3">
        <v>44286</v>
      </c>
      <c r="C856" s="6">
        <v>1701</v>
      </c>
      <c r="D856" s="2">
        <f>LEN(Table3[[#This Row],[CLID]])</f>
        <v>7</v>
      </c>
      <c r="I856" s="3"/>
    </row>
    <row r="857" spans="1:9" x14ac:dyDescent="0.25">
      <c r="A857" s="3" t="s">
        <v>47</v>
      </c>
      <c r="B857" s="3">
        <v>44255</v>
      </c>
      <c r="C857" s="6">
        <v>1790</v>
      </c>
      <c r="D857" s="2">
        <f>LEN(Table3[[#This Row],[CLID]])</f>
        <v>7</v>
      </c>
      <c r="I857" s="3"/>
    </row>
    <row r="858" spans="1:9" x14ac:dyDescent="0.25">
      <c r="A858" s="3" t="s">
        <v>47</v>
      </c>
      <c r="B858" s="3">
        <v>44227</v>
      </c>
      <c r="C858" s="6">
        <v>1353</v>
      </c>
      <c r="D858" s="2">
        <f>LEN(Table3[[#This Row],[CLID]])</f>
        <v>7</v>
      </c>
      <c r="I858" s="3"/>
    </row>
    <row r="859" spans="1:9" x14ac:dyDescent="0.25">
      <c r="A859" s="3" t="s">
        <v>1</v>
      </c>
      <c r="B859" s="3">
        <v>43861</v>
      </c>
      <c r="C859" s="6">
        <v>28034</v>
      </c>
      <c r="D859" s="2">
        <f>LEN(Table3[[#This Row],[CLID]])</f>
        <v>7</v>
      </c>
      <c r="I859" s="3"/>
    </row>
    <row r="860" spans="1:9" x14ac:dyDescent="0.25">
      <c r="A860" s="3" t="s">
        <v>1</v>
      </c>
      <c r="B860" s="3">
        <v>43890</v>
      </c>
      <c r="C860" s="6">
        <v>24922</v>
      </c>
      <c r="D860" s="2">
        <f>LEN(Table3[[#This Row],[CLID]])</f>
        <v>7</v>
      </c>
      <c r="I860" s="3"/>
    </row>
    <row r="861" spans="1:9" x14ac:dyDescent="0.25">
      <c r="A861" s="3" t="s">
        <v>1</v>
      </c>
      <c r="B861" s="3">
        <v>43921</v>
      </c>
      <c r="C861" s="6">
        <v>34268</v>
      </c>
      <c r="D861" s="2">
        <f>LEN(Table3[[#This Row],[CLID]])</f>
        <v>7</v>
      </c>
      <c r="I861" s="3"/>
    </row>
    <row r="862" spans="1:9" x14ac:dyDescent="0.25">
      <c r="A862" s="3" t="s">
        <v>1</v>
      </c>
      <c r="B862" s="3">
        <v>43951</v>
      </c>
      <c r="C862" s="6">
        <v>34268</v>
      </c>
      <c r="D862" s="2">
        <f>LEN(Table3[[#This Row],[CLID]])</f>
        <v>7</v>
      </c>
      <c r="I862" s="3"/>
    </row>
    <row r="863" spans="1:9" x14ac:dyDescent="0.25">
      <c r="A863" s="3" t="s">
        <v>1</v>
      </c>
      <c r="B863" s="3">
        <v>43982</v>
      </c>
      <c r="C863" s="6">
        <v>37380</v>
      </c>
      <c r="D863" s="2">
        <f>LEN(Table3[[#This Row],[CLID]])</f>
        <v>7</v>
      </c>
      <c r="I863" s="3"/>
    </row>
    <row r="864" spans="1:9" x14ac:dyDescent="0.25">
      <c r="A864" s="3" t="s">
        <v>1</v>
      </c>
      <c r="B864" s="3">
        <v>44012</v>
      </c>
      <c r="C864" s="6">
        <v>21809</v>
      </c>
      <c r="D864" s="2">
        <f>LEN(Table3[[#This Row],[CLID]])</f>
        <v>7</v>
      </c>
      <c r="I864" s="3"/>
    </row>
    <row r="865" spans="1:9" x14ac:dyDescent="0.25">
      <c r="A865" s="3" t="s">
        <v>1</v>
      </c>
      <c r="B865" s="3">
        <v>44043</v>
      </c>
      <c r="C865" s="6">
        <v>24920</v>
      </c>
      <c r="D865" s="2">
        <f>LEN(Table3[[#This Row],[CLID]])</f>
        <v>7</v>
      </c>
      <c r="I865" s="3"/>
    </row>
    <row r="866" spans="1:9" x14ac:dyDescent="0.25">
      <c r="A866" s="3" t="s">
        <v>1</v>
      </c>
      <c r="B866" s="3">
        <v>44074</v>
      </c>
      <c r="C866" s="6">
        <v>15576</v>
      </c>
      <c r="D866" s="2">
        <f>LEN(Table3[[#This Row],[CLID]])</f>
        <v>7</v>
      </c>
      <c r="I866" s="3"/>
    </row>
    <row r="867" spans="1:9" x14ac:dyDescent="0.25">
      <c r="A867" s="3" t="s">
        <v>1</v>
      </c>
      <c r="B867" s="3">
        <v>44104</v>
      </c>
      <c r="C867" s="6">
        <v>21809</v>
      </c>
      <c r="D867" s="2">
        <f>LEN(Table3[[#This Row],[CLID]])</f>
        <v>7</v>
      </c>
      <c r="I867" s="3"/>
    </row>
    <row r="868" spans="1:9" x14ac:dyDescent="0.25">
      <c r="A868" s="3" t="s">
        <v>1</v>
      </c>
      <c r="B868" s="3">
        <v>44135</v>
      </c>
      <c r="C868" s="6">
        <v>18694</v>
      </c>
      <c r="D868" s="2">
        <f>LEN(Table3[[#This Row],[CLID]])</f>
        <v>7</v>
      </c>
      <c r="I868" s="3"/>
    </row>
    <row r="869" spans="1:9" x14ac:dyDescent="0.25">
      <c r="A869" s="3" t="s">
        <v>1</v>
      </c>
      <c r="B869" s="3">
        <v>44165</v>
      </c>
      <c r="C869" s="6">
        <v>28037</v>
      </c>
      <c r="D869" s="2">
        <f>LEN(Table3[[#This Row],[CLID]])</f>
        <v>7</v>
      </c>
      <c r="I869" s="3"/>
    </row>
    <row r="870" spans="1:9" x14ac:dyDescent="0.25">
      <c r="A870" s="3" t="s">
        <v>1</v>
      </c>
      <c r="B870" s="3">
        <v>44196</v>
      </c>
      <c r="C870" s="6">
        <v>21809</v>
      </c>
      <c r="D870" s="2">
        <f>LEN(Table3[[#This Row],[CLID]])</f>
        <v>7</v>
      </c>
      <c r="I870" s="3"/>
    </row>
    <row r="871" spans="1:9" x14ac:dyDescent="0.25">
      <c r="A871" s="3" t="s">
        <v>1</v>
      </c>
      <c r="B871" s="3">
        <v>44377</v>
      </c>
      <c r="C871" s="6">
        <v>22463</v>
      </c>
      <c r="D871" s="2">
        <f>LEN(Table3[[#This Row],[CLID]])</f>
        <v>7</v>
      </c>
      <c r="I871" s="3"/>
    </row>
    <row r="872" spans="1:9" x14ac:dyDescent="0.25">
      <c r="A872" s="3" t="s">
        <v>1</v>
      </c>
      <c r="B872" s="3">
        <v>44347</v>
      </c>
      <c r="C872" s="6">
        <v>38501</v>
      </c>
      <c r="D872" s="2">
        <f>LEN(Table3[[#This Row],[CLID]])</f>
        <v>7</v>
      </c>
      <c r="I872" s="3"/>
    </row>
    <row r="873" spans="1:9" x14ac:dyDescent="0.25">
      <c r="A873" s="3" t="s">
        <v>1</v>
      </c>
      <c r="B873" s="3">
        <v>44316</v>
      </c>
      <c r="C873" s="6">
        <v>33923</v>
      </c>
      <c r="D873" s="2">
        <f>LEN(Table3[[#This Row],[CLID]])</f>
        <v>7</v>
      </c>
      <c r="I873" s="3"/>
    </row>
    <row r="874" spans="1:9" x14ac:dyDescent="0.25">
      <c r="A874" s="3" t="s">
        <v>1</v>
      </c>
      <c r="B874" s="3">
        <v>44286</v>
      </c>
      <c r="C874" s="6">
        <v>35291</v>
      </c>
      <c r="D874" s="2">
        <f>LEN(Table3[[#This Row],[CLID]])</f>
        <v>7</v>
      </c>
      <c r="I874" s="3"/>
    </row>
    <row r="875" spans="1:9" x14ac:dyDescent="0.25">
      <c r="A875" s="3" t="s">
        <v>1</v>
      </c>
      <c r="B875" s="3">
        <v>44255</v>
      </c>
      <c r="C875" s="6">
        <v>24798</v>
      </c>
      <c r="D875" s="2">
        <f>LEN(Table3[[#This Row],[CLID]])</f>
        <v>7</v>
      </c>
      <c r="I875" s="3"/>
    </row>
    <row r="876" spans="1:9" x14ac:dyDescent="0.25">
      <c r="A876" s="3" t="s">
        <v>1</v>
      </c>
      <c r="B876" s="3">
        <v>44227</v>
      </c>
      <c r="C876" s="6">
        <v>29157</v>
      </c>
      <c r="D876" s="2">
        <f>LEN(Table3[[#This Row],[CLID]])</f>
        <v>7</v>
      </c>
      <c r="I876" s="3"/>
    </row>
    <row r="877" spans="1:9" x14ac:dyDescent="0.25">
      <c r="A877" s="3" t="s">
        <v>5</v>
      </c>
      <c r="B877" s="3">
        <v>43861</v>
      </c>
      <c r="C877" s="6">
        <v>142</v>
      </c>
      <c r="D877" s="2">
        <f>LEN(Table3[[#This Row],[CLID]])</f>
        <v>7</v>
      </c>
      <c r="I877" s="3"/>
    </row>
    <row r="878" spans="1:9" x14ac:dyDescent="0.25">
      <c r="A878" s="3" t="s">
        <v>5</v>
      </c>
      <c r="B878" s="3">
        <v>43890</v>
      </c>
      <c r="C878" s="6">
        <v>125</v>
      </c>
      <c r="D878" s="2">
        <f>LEN(Table3[[#This Row],[CLID]])</f>
        <v>7</v>
      </c>
      <c r="I878" s="3"/>
    </row>
    <row r="879" spans="1:9" x14ac:dyDescent="0.25">
      <c r="A879" s="3" t="s">
        <v>5</v>
      </c>
      <c r="B879" s="3">
        <v>43921</v>
      </c>
      <c r="C879" s="6">
        <v>171</v>
      </c>
      <c r="D879" s="2">
        <f>LEN(Table3[[#This Row],[CLID]])</f>
        <v>7</v>
      </c>
      <c r="I879" s="3"/>
    </row>
    <row r="880" spans="1:9" x14ac:dyDescent="0.25">
      <c r="A880" s="3" t="s">
        <v>5</v>
      </c>
      <c r="B880" s="3">
        <v>43951</v>
      </c>
      <c r="C880" s="6">
        <v>168</v>
      </c>
      <c r="D880" s="2">
        <f>LEN(Table3[[#This Row],[CLID]])</f>
        <v>7</v>
      </c>
      <c r="I880" s="3"/>
    </row>
    <row r="881" spans="1:9" x14ac:dyDescent="0.25">
      <c r="A881" s="3" t="s">
        <v>5</v>
      </c>
      <c r="B881" s="3">
        <v>43982</v>
      </c>
      <c r="C881" s="6">
        <v>183</v>
      </c>
      <c r="D881" s="2">
        <f>LEN(Table3[[#This Row],[CLID]])</f>
        <v>7</v>
      </c>
      <c r="I881" s="3"/>
    </row>
    <row r="882" spans="1:9" x14ac:dyDescent="0.25">
      <c r="A882" s="3" t="s">
        <v>5</v>
      </c>
      <c r="B882" s="3">
        <v>44012</v>
      </c>
      <c r="C882" s="6">
        <v>109</v>
      </c>
      <c r="D882" s="2">
        <f>LEN(Table3[[#This Row],[CLID]])</f>
        <v>7</v>
      </c>
      <c r="I882" s="3"/>
    </row>
    <row r="883" spans="1:9" x14ac:dyDescent="0.25">
      <c r="A883" s="3" t="s">
        <v>5</v>
      </c>
      <c r="B883" s="3">
        <v>44043</v>
      </c>
      <c r="C883" s="6">
        <v>125</v>
      </c>
      <c r="D883" s="2">
        <f>LEN(Table3[[#This Row],[CLID]])</f>
        <v>7</v>
      </c>
      <c r="I883" s="3"/>
    </row>
    <row r="884" spans="1:9" x14ac:dyDescent="0.25">
      <c r="A884" s="3" t="s">
        <v>5</v>
      </c>
      <c r="B884" s="3">
        <v>44074</v>
      </c>
      <c r="C884" s="6">
        <v>80</v>
      </c>
      <c r="D884" s="2">
        <f>LEN(Table3[[#This Row],[CLID]])</f>
        <v>7</v>
      </c>
      <c r="I884" s="3"/>
    </row>
    <row r="885" spans="1:9" x14ac:dyDescent="0.25">
      <c r="A885" s="3" t="s">
        <v>5</v>
      </c>
      <c r="B885" s="3">
        <v>44104</v>
      </c>
      <c r="C885" s="6">
        <v>111</v>
      </c>
      <c r="D885" s="2">
        <f>LEN(Table3[[#This Row],[CLID]])</f>
        <v>7</v>
      </c>
      <c r="I885" s="3"/>
    </row>
    <row r="886" spans="1:9" x14ac:dyDescent="0.25">
      <c r="A886" s="3" t="s">
        <v>5</v>
      </c>
      <c r="B886" s="3">
        <v>44135</v>
      </c>
      <c r="C886" s="6">
        <v>96</v>
      </c>
      <c r="D886" s="2">
        <f>LEN(Table3[[#This Row],[CLID]])</f>
        <v>7</v>
      </c>
      <c r="I886" s="3"/>
    </row>
    <row r="887" spans="1:9" x14ac:dyDescent="0.25">
      <c r="A887" s="3" t="s">
        <v>5</v>
      </c>
      <c r="B887" s="3">
        <v>44165</v>
      </c>
      <c r="C887" s="6">
        <v>136</v>
      </c>
      <c r="D887" s="2">
        <f>LEN(Table3[[#This Row],[CLID]])</f>
        <v>7</v>
      </c>
      <c r="I887" s="3"/>
    </row>
    <row r="888" spans="1:9" x14ac:dyDescent="0.25">
      <c r="A888" s="3" t="s">
        <v>5</v>
      </c>
      <c r="B888" s="3">
        <v>44196</v>
      </c>
      <c r="C888" s="6">
        <v>107</v>
      </c>
      <c r="D888" s="2">
        <f>LEN(Table3[[#This Row],[CLID]])</f>
        <v>7</v>
      </c>
      <c r="I888" s="3"/>
    </row>
    <row r="889" spans="1:9" x14ac:dyDescent="0.25">
      <c r="A889" s="3" t="s">
        <v>5</v>
      </c>
      <c r="B889" s="3">
        <v>44255</v>
      </c>
      <c r="C889" s="6">
        <v>126</v>
      </c>
      <c r="D889" s="2">
        <f>LEN(Table3[[#This Row],[CLID]])</f>
        <v>7</v>
      </c>
      <c r="I889" s="3"/>
    </row>
    <row r="890" spans="1:9" x14ac:dyDescent="0.25">
      <c r="A890" s="3" t="s">
        <v>5</v>
      </c>
      <c r="B890" s="3">
        <v>44227</v>
      </c>
      <c r="C890" s="6">
        <v>140</v>
      </c>
      <c r="D890" s="2">
        <f>LEN(Table3[[#This Row],[CLID]])</f>
        <v>7</v>
      </c>
      <c r="I890" s="3"/>
    </row>
    <row r="891" spans="1:9" x14ac:dyDescent="0.25">
      <c r="A891" s="3" t="s">
        <v>9</v>
      </c>
      <c r="B891" s="3">
        <v>43861</v>
      </c>
      <c r="C891" s="6">
        <v>220</v>
      </c>
      <c r="D891" s="2">
        <f>LEN(Table3[[#This Row],[CLID]])</f>
        <v>7</v>
      </c>
      <c r="I891" s="3"/>
    </row>
    <row r="892" spans="1:9" x14ac:dyDescent="0.25">
      <c r="A892" s="3" t="s">
        <v>9</v>
      </c>
      <c r="B892" s="3">
        <v>43890</v>
      </c>
      <c r="C892" s="6">
        <v>219</v>
      </c>
      <c r="D892" s="2">
        <f>LEN(Table3[[#This Row],[CLID]])</f>
        <v>7</v>
      </c>
      <c r="I892" s="3"/>
    </row>
    <row r="893" spans="1:9" x14ac:dyDescent="0.25">
      <c r="A893" s="3" t="s">
        <v>9</v>
      </c>
      <c r="B893" s="3">
        <v>43921</v>
      </c>
      <c r="C893" s="6">
        <v>266</v>
      </c>
      <c r="D893" s="2">
        <f>LEN(Table3[[#This Row],[CLID]])</f>
        <v>7</v>
      </c>
      <c r="I893" s="3"/>
    </row>
    <row r="894" spans="1:9" x14ac:dyDescent="0.25">
      <c r="A894" s="3" t="s">
        <v>9</v>
      </c>
      <c r="B894" s="3">
        <v>43951</v>
      </c>
      <c r="C894" s="6">
        <v>294</v>
      </c>
      <c r="D894" s="2">
        <f>LEN(Table3[[#This Row],[CLID]])</f>
        <v>7</v>
      </c>
      <c r="I894" s="3"/>
    </row>
    <row r="895" spans="1:9" x14ac:dyDescent="0.25">
      <c r="A895" s="3" t="s">
        <v>9</v>
      </c>
      <c r="B895" s="3">
        <v>43982</v>
      </c>
      <c r="C895" s="6">
        <v>295</v>
      </c>
      <c r="D895" s="2">
        <f>LEN(Table3[[#This Row],[CLID]])</f>
        <v>7</v>
      </c>
      <c r="I895" s="3"/>
    </row>
    <row r="896" spans="1:9" x14ac:dyDescent="0.25">
      <c r="A896" s="3" t="s">
        <v>9</v>
      </c>
      <c r="B896" s="3">
        <v>44012</v>
      </c>
      <c r="C896" s="6">
        <v>193</v>
      </c>
      <c r="D896" s="2">
        <f>LEN(Table3[[#This Row],[CLID]])</f>
        <v>7</v>
      </c>
      <c r="I896" s="3"/>
    </row>
    <row r="897" spans="1:9" x14ac:dyDescent="0.25">
      <c r="A897" s="3" t="s">
        <v>9</v>
      </c>
      <c r="B897" s="3">
        <v>44043</v>
      </c>
      <c r="C897" s="6">
        <v>190</v>
      </c>
      <c r="D897" s="2">
        <f>LEN(Table3[[#This Row],[CLID]])</f>
        <v>7</v>
      </c>
      <c r="I897" s="3"/>
    </row>
    <row r="898" spans="1:9" x14ac:dyDescent="0.25">
      <c r="A898" s="3" t="s">
        <v>9</v>
      </c>
      <c r="B898" s="3">
        <v>44074</v>
      </c>
      <c r="C898" s="6">
        <v>143</v>
      </c>
      <c r="D898" s="2">
        <f>LEN(Table3[[#This Row],[CLID]])</f>
        <v>7</v>
      </c>
      <c r="I898" s="3"/>
    </row>
    <row r="899" spans="1:9" x14ac:dyDescent="0.25">
      <c r="A899" s="3" t="s">
        <v>9</v>
      </c>
      <c r="B899" s="3">
        <v>44104</v>
      </c>
      <c r="C899" s="6">
        <v>170</v>
      </c>
      <c r="D899" s="2">
        <f>LEN(Table3[[#This Row],[CLID]])</f>
        <v>7</v>
      </c>
      <c r="I899" s="3"/>
    </row>
    <row r="900" spans="1:9" x14ac:dyDescent="0.25">
      <c r="A900" s="3" t="s">
        <v>9</v>
      </c>
      <c r="B900" s="3">
        <v>44135</v>
      </c>
      <c r="C900" s="6">
        <v>170</v>
      </c>
      <c r="D900" s="2">
        <f>LEN(Table3[[#This Row],[CLID]])</f>
        <v>7</v>
      </c>
      <c r="I900" s="3"/>
    </row>
    <row r="901" spans="1:9" x14ac:dyDescent="0.25">
      <c r="A901" s="3" t="s">
        <v>9</v>
      </c>
      <c r="B901" s="3">
        <v>44165</v>
      </c>
      <c r="C901" s="6">
        <v>214</v>
      </c>
      <c r="D901" s="2">
        <f>LEN(Table3[[#This Row],[CLID]])</f>
        <v>7</v>
      </c>
      <c r="I901" s="3"/>
    </row>
    <row r="902" spans="1:9" x14ac:dyDescent="0.25">
      <c r="A902" s="3" t="s">
        <v>9</v>
      </c>
      <c r="B902" s="3">
        <v>44196</v>
      </c>
      <c r="C902" s="6">
        <v>194</v>
      </c>
      <c r="D902" s="2">
        <f>LEN(Table3[[#This Row],[CLID]])</f>
        <v>7</v>
      </c>
      <c r="I902" s="3"/>
    </row>
    <row r="903" spans="1:9" x14ac:dyDescent="0.25">
      <c r="A903" s="3" t="s">
        <v>9</v>
      </c>
      <c r="B903" s="3">
        <v>44377</v>
      </c>
      <c r="C903" s="6">
        <v>195</v>
      </c>
      <c r="D903" s="2">
        <f>LEN(Table3[[#This Row],[CLID]])</f>
        <v>7</v>
      </c>
      <c r="I903" s="3"/>
    </row>
    <row r="904" spans="1:9" x14ac:dyDescent="0.25">
      <c r="A904" s="3" t="s">
        <v>9</v>
      </c>
      <c r="B904" s="3">
        <v>44347</v>
      </c>
      <c r="C904" s="6">
        <v>290</v>
      </c>
      <c r="D904" s="2">
        <f>LEN(Table3[[#This Row],[CLID]])</f>
        <v>7</v>
      </c>
      <c r="I904" s="3"/>
    </row>
    <row r="905" spans="1:9" x14ac:dyDescent="0.25">
      <c r="A905" s="3" t="s">
        <v>9</v>
      </c>
      <c r="B905" s="3">
        <v>44316</v>
      </c>
      <c r="C905" s="6">
        <v>294</v>
      </c>
      <c r="D905" s="2">
        <f>LEN(Table3[[#This Row],[CLID]])</f>
        <v>7</v>
      </c>
      <c r="I905" s="3"/>
    </row>
    <row r="906" spans="1:9" x14ac:dyDescent="0.25">
      <c r="A906" s="3" t="s">
        <v>9</v>
      </c>
      <c r="B906" s="3">
        <v>44286</v>
      </c>
      <c r="C906" s="6">
        <v>270</v>
      </c>
      <c r="D906" s="2">
        <f>LEN(Table3[[#This Row],[CLID]])</f>
        <v>7</v>
      </c>
      <c r="I906" s="3"/>
    </row>
    <row r="907" spans="1:9" x14ac:dyDescent="0.25">
      <c r="A907" s="3" t="s">
        <v>9</v>
      </c>
      <c r="B907" s="3">
        <v>44255</v>
      </c>
      <c r="C907" s="6">
        <v>224</v>
      </c>
      <c r="D907" s="2">
        <f>LEN(Table3[[#This Row],[CLID]])</f>
        <v>7</v>
      </c>
      <c r="I907" s="3"/>
    </row>
    <row r="908" spans="1:9" x14ac:dyDescent="0.25">
      <c r="A908" s="3" t="s">
        <v>9</v>
      </c>
      <c r="B908" s="3">
        <v>44227</v>
      </c>
      <c r="C908" s="6">
        <v>222</v>
      </c>
      <c r="D908" s="2">
        <f>LEN(Table3[[#This Row],[CLID]])</f>
        <v>7</v>
      </c>
      <c r="I908" s="3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970E71EA876A498E0D2F01875283F6" ma:contentTypeVersion="6" ma:contentTypeDescription="Create a new document." ma:contentTypeScope="" ma:versionID="5d840cc89bcbc2089af674a53b93d282">
  <xsd:schema xmlns:xsd="http://www.w3.org/2001/XMLSchema" xmlns:xs="http://www.w3.org/2001/XMLSchema" xmlns:p="http://schemas.microsoft.com/office/2006/metadata/properties" xmlns:ns3="4501c685-a731-4468-bd2a-46eb76ec11e7" targetNamespace="http://schemas.microsoft.com/office/2006/metadata/properties" ma:root="true" ma:fieldsID="944a86f983c3d9355510e8c71b914207" ns3:_="">
    <xsd:import namespace="4501c685-a731-4468-bd2a-46eb76ec11e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01c685-a731-4468-bd2a-46eb76ec11e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01c685-a731-4468-bd2a-46eb76ec11e7" xsi:nil="true"/>
  </documentManagement>
</p:properties>
</file>

<file path=customXml/itemProps1.xml><?xml version="1.0" encoding="utf-8"?>
<ds:datastoreItem xmlns:ds="http://schemas.openxmlformats.org/officeDocument/2006/customXml" ds:itemID="{9C3ADB6A-08FE-46D4-BE5D-7E09D64C297F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D5E7CDD0-86A1-4D26-BE21-97B658130C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01c685-a731-4468-bd2a-46eb76ec11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EA93C25-0ECE-4A7D-A817-E49796BFCCF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D66B9F6-496F-41C6-88F5-84A743FF35B3}">
  <ds:schemaRefs>
    <ds:schemaRef ds:uri="4501c685-a731-4468-bd2a-46eb76ec11e7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7fa5be20-dc39-4186-a780-7e1bcec99d18}" enabled="1" method="Standard" siteId="{c5063431-d7f2-48db-ac62-eaeaa2e0bff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Email</vt:lpstr>
      <vt:lpstr>Summary</vt:lpstr>
      <vt:lpstr>Forecast</vt:lpstr>
      <vt:lpstr>Pivot</vt:lpstr>
      <vt:lpstr>Volume Data</vt:lpstr>
      <vt:lpstr>EXT0070122021 (OG)</vt:lpstr>
      <vt:lpstr>Sheet3 (OG)</vt:lpstr>
      <vt:lpstr>Geo Data</vt:lpstr>
      <vt:lpstr>EXT0070122021 (OG)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Brattin</dc:creator>
  <cp:lastModifiedBy>Michael Essel</cp:lastModifiedBy>
  <cp:lastPrinted>2026-06-20T23:32:56Z</cp:lastPrinted>
  <dcterms:created xsi:type="dcterms:W3CDTF">2009-09-15T21:43:27Z</dcterms:created>
  <dcterms:modified xsi:type="dcterms:W3CDTF">2026-09-09T14:59:38Z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0x01010079970E71EA876A498E0D2F01875283F6</vt:lpwstr>
  </property>
</Properties>
</file>